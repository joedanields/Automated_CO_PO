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ory Assessment " sheetId="1" r:id="rId4"/>
  </sheets>
  <definedNames/>
  <calcPr/>
  <extLst>
    <ext uri="GoogleSheetsCustomDataVersion2">
      <go:sheetsCustomData xmlns:go="http://customooxmlschemas.google.com/" r:id="rId5" roundtripDataChecksum="8hz1mbln5/cbZky09atcoO0x72td9s8js3R5VlqV/4A="/>
    </ext>
  </extLst>
</workbook>
</file>

<file path=xl/sharedStrings.xml><?xml version="1.0" encoding="utf-8"?>
<sst xmlns="http://schemas.openxmlformats.org/spreadsheetml/2006/main" count="88" uniqueCount="60">
  <si>
    <t xml:space="preserve">ASSESSMENT OF ATTAINMENT OF COURSE OUTCOMES </t>
  </si>
  <si>
    <t>Direct Tools</t>
  </si>
  <si>
    <t>Internal Assessment</t>
  </si>
  <si>
    <t>External Assessment</t>
  </si>
  <si>
    <t>COURSE OUTCOMES</t>
  </si>
  <si>
    <t>CO1</t>
  </si>
  <si>
    <t>CO2</t>
  </si>
  <si>
    <t>CO3</t>
  </si>
  <si>
    <t>CO4</t>
  </si>
  <si>
    <t>CO5</t>
  </si>
  <si>
    <t xml:space="preserve">ALL CO'S </t>
  </si>
  <si>
    <t>SPLIT UP MARKS</t>
  </si>
  <si>
    <t>S.NO</t>
  </si>
  <si>
    <t>REG. NO</t>
  </si>
  <si>
    <t>NAME</t>
  </si>
  <si>
    <t>IA1</t>
  </si>
  <si>
    <t>ASSIGNMENT 1</t>
  </si>
  <si>
    <t>TOTAL (Normalized Score 40%)</t>
  </si>
  <si>
    <t>IA2</t>
  </si>
  <si>
    <t>ASSIGNMENT 2</t>
  </si>
  <si>
    <t>UNIVERSITY GRADE</t>
  </si>
  <si>
    <t>KGiSL  INSTITUTE OF TECHNOLOGY, COIMBATORE - 641035</t>
  </si>
  <si>
    <t>Course Code :</t>
  </si>
  <si>
    <t>Course  Name :</t>
  </si>
  <si>
    <t>Faculty Name :</t>
  </si>
  <si>
    <t>Academic Year :</t>
  </si>
  <si>
    <t xml:space="preserve">2022 - 2023 (EVEN)   </t>
  </si>
  <si>
    <t>Class :</t>
  </si>
  <si>
    <t>Regulation :</t>
  </si>
  <si>
    <t>R2021- AUC</t>
  </si>
  <si>
    <t>Department :</t>
  </si>
  <si>
    <t>Computer Science &amp; Engineering</t>
  </si>
  <si>
    <t>ATTAINMENT LEVEL</t>
  </si>
  <si>
    <t>% of students scoring the expected marks</t>
  </si>
  <si>
    <t>Weightage</t>
  </si>
  <si>
    <t>OVERALL WEIGHTAGE IN CO'S</t>
  </si>
  <si>
    <t>Course End Survey</t>
  </si>
  <si>
    <t>CO NO</t>
  </si>
  <si>
    <t>ATT LEVEL</t>
  </si>
  <si>
    <t>C304.1</t>
  </si>
  <si>
    <t>C304.2</t>
  </si>
  <si>
    <t>C304.3</t>
  </si>
  <si>
    <t>C304.4</t>
  </si>
  <si>
    <t>C304.5</t>
  </si>
  <si>
    <t>Indirect Tools</t>
  </si>
  <si>
    <t xml:space="preserve"> CO'S </t>
  </si>
  <si>
    <t>Expected proficiency Level</t>
  </si>
  <si>
    <t xml:space="preserve">No of Students Exp Prof Level				</t>
  </si>
  <si>
    <t>CO attainment  in %</t>
  </si>
  <si>
    <t>CO attainment in levels</t>
  </si>
  <si>
    <t>Indirect Attainment data is derived from the IQAC-issued Course End Survey, verified by the IQAC, and approved by the Principal.
The collected student survey data is consolidated and verified by the IQAC cell.</t>
  </si>
  <si>
    <t>RA</t>
  </si>
  <si>
    <t>B+</t>
  </si>
  <si>
    <t>B</t>
  </si>
  <si>
    <t>Expected proficiency / marks in %</t>
  </si>
  <si>
    <t>C</t>
  </si>
  <si>
    <t>No of Students scored the expected marks</t>
  </si>
  <si>
    <t>Course Outcome attainment  in %</t>
  </si>
  <si>
    <t>Course Outcome attainment in levels</t>
  </si>
  <si>
    <t>\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</si>
</sst>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1.0"/>
      <color theme="1"/>
      <name val="Calibri"/>
      <scheme val="minor"/>
    </font>
    <font>
      <b/>
      <sz val="10.0"/>
      <color rgb="FF000000"/>
      <name val="Arial"/>
    </font>
    <font>
      <sz val="10.0"/>
      <color rgb="FF000000"/>
      <name val="Arial"/>
    </font>
    <font/>
    <font>
      <b/>
      <sz val="11.0"/>
      <color rgb="FF000000"/>
      <name val="Arial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Arial"/>
    </font>
    <font>
      <b/>
      <sz val="9.0"/>
      <color rgb="FF000000"/>
      <name val="Arial"/>
    </font>
    <font>
      <b/>
      <sz val="14.0"/>
      <color rgb="FF000000"/>
      <name val="Calibri"/>
    </font>
    <font>
      <sz val="10.0"/>
      <color rgb="FF000000"/>
      <name val="Cambria"/>
    </font>
    <font>
      <sz val="12.0"/>
      <color rgb="FF000000"/>
      <name val="Times New Roman"/>
    </font>
    <font>
      <b/>
      <sz val="11.0"/>
      <color theme="1"/>
      <name val="Arial"/>
    </font>
    <font>
      <sz val="11.0"/>
      <color theme="1"/>
      <name val="Arial"/>
    </font>
    <font>
      <b/>
      <sz val="10.0"/>
      <color rgb="FFC00000"/>
      <name val="Arial"/>
    </font>
    <font>
      <b/>
      <sz val="10.0"/>
      <color rgb="FF0070C0"/>
      <name val="Arial"/>
    </font>
    <font>
      <b/>
      <sz val="11.0"/>
      <color theme="1"/>
      <name val="Times New Roman"/>
    </font>
    <font>
      <b/>
      <sz val="12.0"/>
      <color theme="1"/>
      <name val="Arial"/>
    </font>
    <font>
      <b/>
      <sz val="12.0"/>
      <color rgb="FF000000"/>
      <name val="Times New Roman"/>
    </font>
    <font>
      <b/>
      <sz val="9.0"/>
      <color rgb="FF000000"/>
      <name val="Libre Franklin"/>
    </font>
    <font>
      <b/>
      <sz val="11.0"/>
      <color rgb="FF000000"/>
      <name val="Libre Franklin"/>
    </font>
    <font>
      <b/>
      <sz val="12.0"/>
      <color rgb="FF000000"/>
      <name val="Libre Franklin"/>
    </font>
    <font>
      <b/>
      <sz val="10.0"/>
      <color rgb="FF000000"/>
      <name val="Libre Franklin"/>
    </font>
    <font>
      <b/>
      <sz val="11.0"/>
      <color theme="1"/>
      <name val="Libre Franklin"/>
    </font>
    <font>
      <b/>
      <sz val="8.0"/>
      <color rgb="FF000000"/>
      <name val="Times New Roman"/>
    </font>
    <font>
      <b/>
      <sz val="11.0"/>
      <color rgb="FF000000"/>
      <name val="Times New Roman"/>
    </font>
    <font>
      <i/>
      <sz val="11.0"/>
      <color theme="1"/>
      <name val="Calibri"/>
    </font>
    <font>
      <b/>
      <sz val="12.0"/>
      <color theme="1"/>
      <name val="Times New Roman"/>
    </font>
    <font>
      <b/>
      <sz val="10.0"/>
      <color theme="1"/>
      <name val="Arial"/>
    </font>
    <font>
      <sz val="12.0"/>
      <color theme="1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1.0"/>
      <color rgb="FFFF00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  <fill>
      <patternFill patternType="solid">
        <fgColor rgb="FFDAEEF3"/>
        <bgColor rgb="FFDAEEF3"/>
      </patternFill>
    </fill>
    <fill>
      <patternFill patternType="solid">
        <fgColor rgb="FFDBE5F1"/>
        <bgColor rgb="FFDBE5F1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E5DFEC"/>
        <bgColor rgb="FFE5DFEC"/>
      </patternFill>
    </fill>
    <fill>
      <patternFill patternType="solid">
        <fgColor rgb="FF92D050"/>
        <bgColor rgb="FF92D050"/>
      </patternFill>
    </fill>
    <fill>
      <patternFill patternType="solid">
        <fgColor rgb="FFCCC0D9"/>
        <bgColor rgb="FFCCC0D9"/>
      </patternFill>
    </fill>
    <fill>
      <patternFill patternType="solid">
        <fgColor rgb="FFE5B8B7"/>
        <bgColor rgb="FFE5B8B7"/>
      </patternFill>
    </fill>
  </fills>
  <borders count="4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7" fillId="4" fontId="4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Font="1"/>
    <xf borderId="0" fillId="0" fontId="5" numFmtId="0" xfId="0" applyAlignment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4" fillId="5" fontId="4" numFmtId="0" xfId="0" applyAlignment="1" applyBorder="1" applyFill="1" applyFont="1">
      <alignment horizontal="center" vertical="center"/>
    </xf>
    <xf borderId="11" fillId="0" fontId="3" numFmtId="0" xfId="0" applyBorder="1" applyFont="1"/>
    <xf borderId="12" fillId="4" fontId="5" numFmtId="0" xfId="0" applyAlignment="1" applyBorder="1" applyFont="1">
      <alignment horizontal="center"/>
    </xf>
    <xf borderId="13" fillId="5" fontId="4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4" fillId="5" fontId="1" numFmtId="0" xfId="0" applyAlignment="1" applyBorder="1" applyFont="1">
      <alignment horizontal="center" shrinkToFit="0" vertical="center" wrapText="1"/>
    </xf>
    <xf borderId="15" fillId="6" fontId="4" numFmtId="0" xfId="0" applyAlignment="1" applyBorder="1" applyFill="1" applyFont="1">
      <alignment horizontal="center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6" fontId="4" numFmtId="0" xfId="0" applyAlignment="1" applyBorder="1" applyFont="1">
      <alignment horizontal="center" shrinkToFit="0" vertical="center" wrapText="1"/>
    </xf>
    <xf borderId="19" fillId="0" fontId="3" numFmtId="0" xfId="0" applyBorder="1" applyFont="1"/>
    <xf borderId="13" fillId="6" fontId="4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8" fillId="7" fontId="1" numFmtId="0" xfId="0" applyAlignment="1" applyBorder="1" applyFill="1" applyFont="1">
      <alignment horizontal="center" vertical="center"/>
    </xf>
    <xf borderId="20" fillId="8" fontId="4" numFmtId="0" xfId="0" applyAlignment="1" applyBorder="1" applyFill="1" applyFont="1">
      <alignment horizontal="center" vertical="center"/>
    </xf>
    <xf borderId="20" fillId="9" fontId="4" numFmtId="0" xfId="0" applyAlignment="1" applyBorder="1" applyFill="1" applyFont="1">
      <alignment horizontal="center" vertical="center"/>
    </xf>
    <xf borderId="13" fillId="8" fontId="4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7" numFmtId="0" xfId="0" applyFont="1"/>
    <xf borderId="20" fillId="0" fontId="1" numFmtId="0" xfId="0" applyAlignment="1" applyBorder="1" applyFont="1">
      <alignment horizontal="center" vertical="center"/>
    </xf>
    <xf borderId="20" fillId="10" fontId="1" numFmtId="0" xfId="0" applyAlignment="1" applyBorder="1" applyFill="1" applyFont="1">
      <alignment horizontal="center" shrinkToFit="0" textRotation="90" vertical="center" wrapText="1"/>
    </xf>
    <xf borderId="20" fillId="7" fontId="8" numFmtId="0" xfId="0" applyAlignment="1" applyBorder="1" applyFont="1">
      <alignment horizontal="center" shrinkToFit="0" textRotation="90" vertical="center" wrapText="1"/>
    </xf>
    <xf borderId="13" fillId="10" fontId="1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20" fillId="0" fontId="10" numFmtId="0" xfId="0" applyAlignment="1" applyBorder="1" applyFont="1">
      <alignment horizontal="center" vertical="center"/>
    </xf>
    <xf borderId="20" fillId="0" fontId="11" numFmtId="1" xfId="0" applyAlignment="1" applyBorder="1" applyFont="1" applyNumberFormat="1">
      <alignment horizontal="left" shrinkToFit="0" wrapText="1"/>
    </xf>
    <xf borderId="20" fillId="0" fontId="11" numFmtId="0" xfId="0" applyAlignment="1" applyBorder="1" applyFont="1">
      <alignment horizontal="left" shrinkToFit="0" wrapText="1"/>
    </xf>
    <xf borderId="20" fillId="8" fontId="12" numFmtId="0" xfId="0" applyAlignment="1" applyBorder="1" applyFont="1">
      <alignment horizontal="right"/>
    </xf>
    <xf borderId="20" fillId="8" fontId="13" numFmtId="0" xfId="0" applyAlignment="1" applyBorder="1" applyFont="1">
      <alignment horizontal="center" vertical="center"/>
    </xf>
    <xf borderId="20" fillId="0" fontId="4" numFmtId="1" xfId="0" applyAlignment="1" applyBorder="1" applyFont="1" applyNumberFormat="1">
      <alignment horizontal="center" vertical="center"/>
    </xf>
    <xf borderId="20" fillId="8" fontId="12" numFmtId="0" xfId="0" applyAlignment="1" applyBorder="1" applyFont="1">
      <alignment horizontal="center"/>
    </xf>
    <xf borderId="0" fillId="0" fontId="7" numFmtId="1" xfId="0" applyAlignment="1" applyFont="1" applyNumberFormat="1">
      <alignment horizontal="center" vertical="center"/>
    </xf>
    <xf borderId="0" fillId="0" fontId="14" numFmtId="0" xfId="0" applyAlignment="1" applyFont="1">
      <alignment horizontal="right"/>
    </xf>
    <xf borderId="21" fillId="4" fontId="15" numFmtId="0" xfId="0" applyAlignment="1" applyBorder="1" applyFont="1">
      <alignment horizontal="left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22" fillId="8" fontId="16" numFmtId="0" xfId="0" applyAlignment="1" applyBorder="1" applyFont="1">
      <alignment horizontal="center"/>
    </xf>
    <xf borderId="21" fillId="11" fontId="17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8" numFmtId="0" xfId="0" applyAlignment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1" fillId="0" fontId="19" numFmtId="0" xfId="0" applyAlignment="1" applyBorder="1" applyFont="1">
      <alignment horizontal="center" shrinkToFit="0" vertical="center" wrapText="1"/>
    </xf>
    <xf borderId="4" fillId="0" fontId="20" numFmtId="0" xfId="0" applyAlignment="1" applyBorder="1" applyFont="1">
      <alignment horizontal="center" vertical="center"/>
    </xf>
    <xf borderId="13" fillId="12" fontId="21" numFmtId="1" xfId="0" applyAlignment="1" applyBorder="1" applyFill="1" applyFont="1" applyNumberFormat="1">
      <alignment readingOrder="0" vertical="center"/>
    </xf>
    <xf borderId="23" fillId="12" fontId="21" numFmtId="0" xfId="0" applyAlignment="1" applyBorder="1" applyFont="1">
      <alignment horizontal="left" vertical="center"/>
    </xf>
    <xf borderId="24" fillId="0" fontId="3" numFmtId="0" xfId="0" applyBorder="1" applyFont="1"/>
    <xf borderId="25" fillId="0" fontId="3" numFmtId="0" xfId="0" applyBorder="1" applyFont="1"/>
    <xf borderId="13" fillId="12" fontId="21" numFmtId="1" xfId="0" applyAlignment="1" applyBorder="1" applyFont="1" applyNumberFormat="1">
      <alignment vertical="center"/>
    </xf>
    <xf borderId="26" fillId="0" fontId="3" numFmtId="0" xfId="0" applyBorder="1" applyFont="1"/>
    <xf borderId="27" fillId="0" fontId="3" numFmtId="0" xfId="0" applyBorder="1" applyFont="1"/>
    <xf borderId="13" fillId="12" fontId="21" numFmtId="1" xfId="0" applyAlignment="1" applyBorder="1" applyFont="1" applyNumberFormat="1">
      <alignment readingOrder="0"/>
    </xf>
    <xf borderId="23" fillId="12" fontId="21" numFmtId="0" xfId="0" applyAlignment="1" applyBorder="1" applyFont="1">
      <alignment horizontal="left"/>
    </xf>
    <xf borderId="4" fillId="13" fontId="22" numFmtId="0" xfId="0" applyAlignment="1" applyBorder="1" applyFill="1" applyFont="1">
      <alignment horizontal="center" shrinkToFit="0" vertical="center" wrapText="1"/>
    </xf>
    <xf borderId="4" fillId="5" fontId="22" numFmtId="0" xfId="0" applyAlignment="1" applyBorder="1" applyFont="1">
      <alignment horizontal="center" vertical="center"/>
    </xf>
    <xf borderId="4" fillId="4" fontId="22" numFmtId="0" xfId="0" applyAlignment="1" applyBorder="1" applyFont="1">
      <alignment horizontal="center" shrinkToFit="0" wrapText="1"/>
    </xf>
    <xf borderId="13" fillId="8" fontId="20" numFmtId="9" xfId="0" applyAlignment="1" applyBorder="1" applyFont="1" applyNumberFormat="1">
      <alignment horizontal="center" vertical="center"/>
    </xf>
    <xf borderId="1" fillId="8" fontId="20" numFmtId="9" xfId="0" applyAlignment="1" applyBorder="1" applyFont="1" applyNumberFormat="1">
      <alignment horizontal="center" vertical="center"/>
    </xf>
    <xf borderId="28" fillId="0" fontId="3" numFmtId="0" xfId="0" applyBorder="1" applyFont="1"/>
    <xf borderId="4" fillId="4" fontId="23" numFmtId="0" xfId="0" applyAlignment="1" applyBorder="1" applyFont="1">
      <alignment horizontal="center"/>
    </xf>
    <xf borderId="4" fillId="8" fontId="20" numFmtId="9" xfId="0" applyAlignment="1" applyBorder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7" fillId="0" fontId="24" numFmtId="0" xfId="0" applyAlignment="1" applyBorder="1" applyFont="1">
      <alignment horizontal="center" shrinkToFit="0" vertical="center" wrapText="1"/>
    </xf>
    <xf borderId="0" fillId="0" fontId="5" numFmtId="2" xfId="0" applyAlignment="1" applyFont="1" applyNumberFormat="1">
      <alignment horizontal="center"/>
    </xf>
    <xf borderId="29" fillId="0" fontId="3" numFmtId="0" xfId="0" applyBorder="1" applyFont="1"/>
    <xf borderId="29" fillId="0" fontId="7" numFmtId="0" xfId="0" applyAlignment="1" applyBorder="1" applyFont="1">
      <alignment horizontal="center" vertical="center"/>
    </xf>
    <xf borderId="22" fillId="14" fontId="2" numFmtId="2" xfId="0" applyAlignment="1" applyBorder="1" applyFill="1" applyFont="1" applyNumberFormat="1">
      <alignment horizontal="center" vertical="center"/>
    </xf>
    <xf borderId="20" fillId="14" fontId="2" numFmtId="2" xfId="0" applyAlignment="1" applyBorder="1" applyFont="1" applyNumberFormat="1">
      <alignment horizontal="center" vertical="center"/>
    </xf>
    <xf borderId="20" fillId="14" fontId="5" numFmtId="2" xfId="0" applyAlignment="1" applyBorder="1" applyFont="1" applyNumberFormat="1">
      <alignment horizontal="center"/>
    </xf>
    <xf borderId="4" fillId="2" fontId="6" numFmtId="0" xfId="0" applyAlignment="1" applyBorder="1" applyFont="1">
      <alignment horizontal="center"/>
    </xf>
    <xf borderId="4" fillId="3" fontId="4" numFmtId="0" xfId="0" applyAlignment="1" applyBorder="1" applyFont="1">
      <alignment horizontal="center" shrinkToFit="0" vertical="center" wrapText="1"/>
    </xf>
    <xf borderId="4" fillId="5" fontId="4" numFmtId="0" xfId="0" applyAlignment="1" applyBorder="1" applyFont="1">
      <alignment horizontal="center" shrinkToFit="0" vertical="center" wrapText="1"/>
    </xf>
    <xf borderId="4" fillId="6" fontId="4" numFmtId="0" xfId="0" applyAlignment="1" applyBorder="1" applyFont="1">
      <alignment horizontal="center" shrinkToFit="0" vertical="center" wrapText="1"/>
    </xf>
    <xf borderId="20" fillId="10" fontId="1" numFmtId="0" xfId="0" applyAlignment="1" applyBorder="1" applyFont="1">
      <alignment horizontal="center" shrinkToFit="0" vertical="center" wrapText="1"/>
    </xf>
    <xf borderId="4" fillId="10" fontId="25" numFmtId="0" xfId="0" applyAlignment="1" applyBorder="1" applyFont="1">
      <alignment horizontal="center" shrinkToFit="0" wrapText="1"/>
    </xf>
    <xf borderId="20" fillId="0" fontId="5" numFmtId="0" xfId="0" applyAlignment="1" applyBorder="1" applyFont="1">
      <alignment horizontal="center" vertical="center"/>
    </xf>
    <xf borderId="4" fillId="10" fontId="25" numFmtId="0" xfId="0" applyAlignment="1" applyBorder="1" applyFont="1">
      <alignment horizontal="center" readingOrder="0" shrinkToFit="0" wrapText="1"/>
    </xf>
    <xf borderId="4" fillId="10" fontId="1" numFmtId="0" xfId="0" applyAlignment="1" applyBorder="1" applyFont="1">
      <alignment horizontal="center" shrinkToFit="0" vertical="center" wrapText="1"/>
    </xf>
    <xf borderId="11" fillId="0" fontId="5" numFmtId="1" xfId="0" applyAlignment="1" applyBorder="1" applyFont="1" applyNumberFormat="1">
      <alignment horizontal="center"/>
    </xf>
    <xf borderId="20" fillId="0" fontId="5" numFmtId="1" xfId="0" applyAlignment="1" applyBorder="1" applyFont="1" applyNumberFormat="1">
      <alignment horizontal="center"/>
    </xf>
    <xf borderId="30" fillId="10" fontId="1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32" fillId="0" fontId="3" numFmtId="0" xfId="0" applyBorder="1" applyFont="1"/>
    <xf borderId="33" fillId="14" fontId="7" numFmtId="1" xfId="0" applyAlignment="1" applyBorder="1" applyFont="1" applyNumberFormat="1">
      <alignment horizontal="center" vertical="center"/>
    </xf>
    <xf borderId="34" fillId="14" fontId="7" numFmtId="1" xfId="0" applyAlignment="1" applyBorder="1" applyFont="1" applyNumberFormat="1">
      <alignment horizontal="center" vertical="center"/>
    </xf>
    <xf borderId="1" fillId="0" fontId="26" numFmtId="0" xfId="0" applyAlignment="1" applyBorder="1" applyFont="1">
      <alignment horizontal="center" shrinkToFit="0" vertical="center" wrapText="1"/>
    </xf>
    <xf borderId="35" fillId="15" fontId="6" numFmtId="0" xfId="0" applyAlignment="1" applyBorder="1" applyFill="1" applyFont="1">
      <alignment horizontal="center" vertical="center"/>
    </xf>
    <xf borderId="36" fillId="0" fontId="3" numFmtId="0" xfId="0" applyBorder="1" applyFont="1"/>
    <xf borderId="37" fillId="0" fontId="3" numFmtId="0" xfId="0" applyBorder="1" applyFont="1"/>
    <xf borderId="38" fillId="7" fontId="4" numFmtId="1" xfId="0" applyAlignment="1" applyBorder="1" applyFont="1" applyNumberFormat="1">
      <alignment horizontal="center" readingOrder="0" vertical="center"/>
    </xf>
    <xf borderId="13" fillId="7" fontId="27" numFmtId="0" xfId="0" applyAlignment="1" applyBorder="1" applyFont="1">
      <alignment horizontal="center" readingOrder="0" shrinkToFit="0" vertical="center" wrapText="1"/>
    </xf>
    <xf borderId="20" fillId="0" fontId="2" numFmtId="0" xfId="0" applyAlignment="1" applyBorder="1" applyFont="1">
      <alignment horizontal="center" vertical="center"/>
    </xf>
    <xf borderId="4" fillId="10" fontId="28" numFmtId="0" xfId="0" applyAlignment="1" applyBorder="1" applyFont="1">
      <alignment horizontal="center" shrinkToFit="0" vertical="center" wrapText="1"/>
    </xf>
    <xf borderId="39" fillId="0" fontId="3" numFmtId="0" xfId="0" applyBorder="1" applyFont="1"/>
    <xf borderId="40" fillId="5" fontId="7" numFmtId="1" xfId="0" applyAlignment="1" applyBorder="1" applyFont="1" applyNumberFormat="1">
      <alignment horizontal="center" vertical="center"/>
    </xf>
    <xf borderId="13" fillId="5" fontId="7" numFmtId="1" xfId="0" applyAlignment="1" applyBorder="1" applyFont="1" applyNumberFormat="1">
      <alignment horizontal="center" vertical="center"/>
    </xf>
    <xf borderId="21" fillId="11" fontId="29" numFmtId="0" xfId="0" applyAlignment="1" applyBorder="1" applyFont="1">
      <alignment horizontal="center" vertical="center"/>
    </xf>
    <xf borderId="40" fillId="16" fontId="7" numFmtId="1" xfId="0" applyAlignment="1" applyBorder="1" applyFill="1" applyFont="1" applyNumberFormat="1">
      <alignment horizontal="center" vertical="center"/>
    </xf>
    <xf borderId="13" fillId="16" fontId="7" numFmtId="1" xfId="0" applyAlignment="1" applyBorder="1" applyFont="1" applyNumberFormat="1">
      <alignment horizontal="center" vertical="center"/>
    </xf>
    <xf borderId="0" fillId="0" fontId="30" numFmtId="0" xfId="0" applyAlignment="1" applyFont="1">
      <alignment vertical="center"/>
    </xf>
    <xf borderId="0" fillId="0" fontId="30" numFmtId="0" xfId="0" applyFont="1"/>
    <xf borderId="41" fillId="0" fontId="3" numFmtId="0" xfId="0" applyBorder="1" applyFont="1"/>
    <xf borderId="42" fillId="0" fontId="3" numFmtId="0" xfId="0" applyBorder="1" applyFont="1"/>
    <xf borderId="43" fillId="0" fontId="3" numFmtId="0" xfId="0" applyBorder="1" applyFont="1"/>
    <xf borderId="44" fillId="14" fontId="7" numFmtId="1" xfId="0" applyAlignment="1" applyBorder="1" applyFont="1" applyNumberFormat="1">
      <alignment horizontal="center" vertical="center"/>
    </xf>
    <xf borderId="45" fillId="0" fontId="3" numFmtId="0" xfId="0" applyBorder="1" applyFont="1"/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4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30" numFmtId="0" xfId="0" applyAlignment="1" applyFont="1">
      <alignment vertical="top"/>
    </xf>
    <xf borderId="0" fillId="0" fontId="31" numFmtId="0" xfId="0" applyFont="1"/>
    <xf borderId="0" fillId="0" fontId="4" numFmtId="0" xfId="0" applyAlignment="1" applyFont="1">
      <alignment horizontal="left" vertical="center"/>
    </xf>
    <xf borderId="0" fillId="0" fontId="2" numFmtId="0" xfId="0" applyAlignment="1" applyFont="1">
      <alignment horizontal="center" shrinkToFit="0" wrapText="1"/>
    </xf>
    <xf borderId="0" fillId="0" fontId="5" numFmtId="1" xfId="0" applyAlignment="1" applyFont="1" applyNumberFormat="1">
      <alignment vertical="center"/>
    </xf>
    <xf borderId="0" fillId="0" fontId="30" numFmtId="0" xfId="0" applyAlignment="1" applyFont="1">
      <alignment horizontal="center" vertical="center"/>
    </xf>
    <xf borderId="0" fillId="0" fontId="30" numFmtId="0" xfId="0" applyAlignment="1" applyFont="1">
      <alignment horizontal="left"/>
    </xf>
    <xf borderId="0" fillId="0" fontId="32" numFmtId="0" xfId="0" applyFont="1"/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FF"/>
                </a:solidFill>
                <a:latin typeface="+mn-lt"/>
              </a:defRPr>
            </a:pPr>
            <a:r>
              <a:rPr b="1" i="0" sz="1200">
                <a:solidFill>
                  <a:srgbClr val="0000FF"/>
                </a:solidFill>
                <a:latin typeface="+mn-lt"/>
              </a:rPr>
              <a:t>C304 - COURSE OUTCOMES ATTAINMENT LEVELS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Attainment Level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cat>
            <c:strRef>
              <c:f>'Theory Assessment '!$AC$25:$AC$29</c:f>
            </c:strRef>
          </c:cat>
          <c:val>
            <c:numRef>
              <c:f>'Theory Assessment '!$AD$25:$AD$29</c:f>
              <c:numCache/>
            </c:numRef>
          </c:val>
        </c:ser>
        <c:ser>
          <c:idx val="1"/>
          <c:order val="1"/>
          <c:cat>
            <c:strRef>
              <c:f>'Theory Assessment '!$AC$25:$AC$29</c:f>
            </c:strRef>
          </c:cat>
          <c:val>
            <c:numRef>
              <c:f>'Theory Assessment '!$AE$22:$AE$23</c:f>
              <c:numCache/>
            </c:numRef>
          </c:val>
        </c:ser>
        <c:ser>
          <c:idx val="2"/>
          <c:order val="2"/>
          <c:cat>
            <c:strRef>
              <c:f>'Theory Assessment '!$AC$25:$AC$29</c:f>
            </c:strRef>
          </c:cat>
          <c:val>
            <c:numRef>
              <c:f>'Theory Assessment '!$AF$22:$AF$23</c:f>
              <c:numCache/>
            </c:numRef>
          </c:val>
        </c:ser>
        <c:overlap val="100"/>
        <c:axId val="97780981"/>
        <c:axId val="418019249"/>
      </c:barChart>
      <c:catAx>
        <c:axId val="977809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18019249"/>
      </c:catAx>
      <c:valAx>
        <c:axId val="418019249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7780981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32</xdr:col>
      <xdr:colOff>161925</xdr:colOff>
      <xdr:row>21</xdr:row>
      <xdr:rowOff>190500</xdr:rowOff>
    </xdr:from>
    <xdr:ext cx="2914650" cy="1800225"/>
    <xdr:graphicFrame>
      <xdr:nvGraphicFramePr>
        <xdr:cNvPr id="90247098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28</xdr:col>
      <xdr:colOff>85725</xdr:colOff>
      <xdr:row>5</xdr:row>
      <xdr:rowOff>342900</xdr:rowOff>
    </xdr:from>
    <xdr:ext cx="742950" cy="514350"/>
    <xdr:pic>
      <xdr:nvPicPr>
        <xdr:cNvPr descr="NEW logo (2).png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29"/>
    <col customWidth="1" min="2" max="2" width="18.0"/>
    <col customWidth="1" min="3" max="3" width="30.0"/>
    <col customWidth="1" min="4" max="5" width="4.71"/>
    <col customWidth="1" hidden="1" min="6" max="6" width="5.71"/>
    <col customWidth="1" min="7" max="7" width="5.71"/>
    <col customWidth="1" min="8" max="9" width="4.71"/>
    <col customWidth="1" hidden="1" min="10" max="10" width="4.71"/>
    <col customWidth="1" min="11" max="18" width="4.71"/>
    <col customWidth="1" hidden="1" min="19" max="19" width="4.71"/>
    <col customWidth="1" min="20" max="22" width="4.71"/>
    <col customWidth="1" hidden="1" min="23" max="23" width="4.71"/>
    <col customWidth="1" min="24" max="25" width="4.71"/>
    <col customWidth="1" min="26" max="26" width="15.71"/>
    <col customWidth="1" min="27" max="28" width="4.71"/>
    <col customWidth="1" min="29" max="29" width="7.71"/>
    <col customWidth="1" min="30" max="30" width="7.57"/>
    <col customWidth="1" min="31" max="31" width="4.71"/>
    <col customWidth="1" min="32" max="32" width="5.14"/>
    <col customWidth="1" min="33" max="34" width="5.43"/>
    <col customWidth="1" min="35" max="35" width="5.71"/>
    <col customWidth="1" min="36" max="36" width="7.43"/>
    <col customWidth="1" min="37" max="37" width="6.71"/>
    <col customWidth="1" min="38" max="38" width="4.71"/>
    <col customWidth="1" min="39" max="40" width="6.14"/>
    <col customWidth="1" min="41" max="41" width="6.43"/>
    <col customWidth="1" min="42" max="42" width="5.29"/>
    <col customWidth="1" min="43" max="44" width="3.71"/>
    <col customWidth="1" min="45" max="45" width="9.14"/>
  </cols>
  <sheetData>
    <row r="1"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  <c r="AR1" s="3"/>
      <c r="AS1" s="4"/>
    </row>
    <row r="2" ht="19.5" customHeight="1">
      <c r="A2" s="5" t="s">
        <v>0</v>
      </c>
      <c r="B2" s="6"/>
      <c r="C2" s="7"/>
      <c r="D2" s="8" t="s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10"/>
      <c r="AA2" s="11"/>
      <c r="AB2" s="12"/>
      <c r="AC2" s="12"/>
      <c r="AE2" s="13"/>
      <c r="AQ2" s="14"/>
      <c r="AR2" s="14"/>
      <c r="AS2" s="14"/>
    </row>
    <row r="3" ht="30.0" customHeight="1">
      <c r="A3" s="15"/>
      <c r="B3" s="16"/>
      <c r="C3" s="17"/>
      <c r="D3" s="18" t="s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9"/>
      <c r="Y3" s="20"/>
      <c r="Z3" s="21" t="s">
        <v>3</v>
      </c>
      <c r="AA3" s="22"/>
      <c r="AB3" s="12"/>
      <c r="AC3" s="13"/>
      <c r="AS3" s="14"/>
    </row>
    <row r="4" ht="15.0" customHeight="1">
      <c r="A4" s="23" t="s">
        <v>4</v>
      </c>
      <c r="B4" s="9"/>
      <c r="C4" s="19"/>
      <c r="D4" s="24" t="s">
        <v>5</v>
      </c>
      <c r="E4" s="25"/>
      <c r="F4" s="25"/>
      <c r="G4" s="26"/>
      <c r="H4" s="27" t="s">
        <v>6</v>
      </c>
      <c r="I4" s="25"/>
      <c r="J4" s="25"/>
      <c r="K4" s="26"/>
      <c r="L4" s="27" t="s">
        <v>7</v>
      </c>
      <c r="M4" s="25"/>
      <c r="N4" s="25"/>
      <c r="O4" s="25"/>
      <c r="P4" s="26"/>
      <c r="Q4" s="27" t="s">
        <v>8</v>
      </c>
      <c r="R4" s="25"/>
      <c r="S4" s="25"/>
      <c r="T4" s="26"/>
      <c r="U4" s="27" t="s">
        <v>9</v>
      </c>
      <c r="V4" s="25"/>
      <c r="W4" s="25"/>
      <c r="X4" s="26"/>
      <c r="Y4" s="28"/>
      <c r="Z4" s="29" t="s">
        <v>10</v>
      </c>
      <c r="AA4" s="22"/>
      <c r="AB4" s="12"/>
      <c r="AC4" s="30"/>
    </row>
    <row r="5" ht="17.25" customHeight="1">
      <c r="A5" s="31" t="s">
        <v>11</v>
      </c>
      <c r="B5" s="25"/>
      <c r="C5" s="26"/>
      <c r="D5" s="32">
        <v>24.0</v>
      </c>
      <c r="E5" s="32">
        <v>16.0</v>
      </c>
      <c r="F5" s="32"/>
      <c r="G5" s="33">
        <v>40.0</v>
      </c>
      <c r="H5" s="32">
        <v>24.0</v>
      </c>
      <c r="I5" s="32">
        <v>16.0</v>
      </c>
      <c r="J5" s="32"/>
      <c r="K5" s="33">
        <v>40.0</v>
      </c>
      <c r="L5" s="32">
        <v>12.0</v>
      </c>
      <c r="M5" s="32">
        <v>12.0</v>
      </c>
      <c r="N5" s="32">
        <v>8.0</v>
      </c>
      <c r="O5" s="32">
        <v>8.0</v>
      </c>
      <c r="P5" s="33">
        <v>40.0</v>
      </c>
      <c r="Q5" s="32">
        <v>24.0</v>
      </c>
      <c r="R5" s="32">
        <v>16.0</v>
      </c>
      <c r="S5" s="32"/>
      <c r="T5" s="33">
        <v>40.0</v>
      </c>
      <c r="U5" s="32">
        <v>24.0</v>
      </c>
      <c r="V5" s="32">
        <v>16.0</v>
      </c>
      <c r="W5" s="32"/>
      <c r="X5" s="33">
        <v>40.0</v>
      </c>
      <c r="Y5" s="28"/>
      <c r="Z5" s="34">
        <v>100.0</v>
      </c>
      <c r="AA5" s="22"/>
      <c r="AB5" s="12"/>
      <c r="AH5" s="35"/>
      <c r="AI5" s="35"/>
      <c r="AJ5" s="35"/>
      <c r="AK5" s="36"/>
    </row>
    <row r="6" ht="91.5" customHeight="1">
      <c r="A6" s="37" t="s">
        <v>12</v>
      </c>
      <c r="B6" s="37" t="s">
        <v>13</v>
      </c>
      <c r="C6" s="37" t="s">
        <v>14</v>
      </c>
      <c r="D6" s="38" t="s">
        <v>15</v>
      </c>
      <c r="E6" s="38" t="s">
        <v>16</v>
      </c>
      <c r="F6" s="38"/>
      <c r="G6" s="39" t="s">
        <v>17</v>
      </c>
      <c r="H6" s="38" t="s">
        <v>15</v>
      </c>
      <c r="I6" s="38" t="s">
        <v>16</v>
      </c>
      <c r="J6" s="38"/>
      <c r="K6" s="39" t="s">
        <v>17</v>
      </c>
      <c r="L6" s="38" t="s">
        <v>15</v>
      </c>
      <c r="M6" s="38" t="s">
        <v>18</v>
      </c>
      <c r="N6" s="38" t="s">
        <v>16</v>
      </c>
      <c r="O6" s="38" t="s">
        <v>19</v>
      </c>
      <c r="P6" s="39" t="s">
        <v>17</v>
      </c>
      <c r="Q6" s="38" t="s">
        <v>18</v>
      </c>
      <c r="R6" s="38" t="s">
        <v>19</v>
      </c>
      <c r="S6" s="38"/>
      <c r="T6" s="39" t="s">
        <v>17</v>
      </c>
      <c r="U6" s="38" t="s">
        <v>18</v>
      </c>
      <c r="V6" s="38" t="s">
        <v>19</v>
      </c>
      <c r="W6" s="38"/>
      <c r="X6" s="39" t="s">
        <v>17</v>
      </c>
      <c r="Y6" s="28"/>
      <c r="Z6" s="40" t="s">
        <v>20</v>
      </c>
      <c r="AA6" s="22"/>
      <c r="AB6" s="35"/>
      <c r="AC6" s="41" t="s">
        <v>21</v>
      </c>
    </row>
    <row r="7" ht="16.5" customHeight="1">
      <c r="A7" s="42">
        <v>1.0</v>
      </c>
      <c r="B7" s="43"/>
      <c r="C7" s="44"/>
      <c r="D7" s="45">
        <v>24.0</v>
      </c>
      <c r="E7" s="45">
        <v>15.0</v>
      </c>
      <c r="F7" s="46"/>
      <c r="G7" s="47">
        <f t="shared" ref="G7:G141" si="1">IFERROR(ROUND((SUM(D7:F7)/SUM(D$5:F$5))*G$5,0),0)</f>
        <v>39</v>
      </c>
      <c r="H7" s="45">
        <v>23.0</v>
      </c>
      <c r="I7" s="45">
        <v>15.0</v>
      </c>
      <c r="J7" s="46"/>
      <c r="K7" s="47">
        <f t="shared" ref="K7:K141" si="2">IFERROR(ROUND((SUM(H7:J7)/SUM(H$5:J$5))*K$5,0),0)</f>
        <v>38</v>
      </c>
      <c r="L7" s="45">
        <v>10.0</v>
      </c>
      <c r="M7" s="45">
        <v>10.0</v>
      </c>
      <c r="N7" s="45">
        <v>5.0</v>
      </c>
      <c r="O7" s="45">
        <v>5.0</v>
      </c>
      <c r="P7" s="47">
        <f t="shared" ref="P7:P141" si="3">IFERROR(ROUND((SUM(L7:O7)/SUM(L$5:O$5))*P$5,0),0)</f>
        <v>30</v>
      </c>
      <c r="Q7" s="32">
        <v>10.0</v>
      </c>
      <c r="R7" s="32">
        <v>15.0</v>
      </c>
      <c r="S7" s="45"/>
      <c r="T7" s="47">
        <f t="shared" ref="T7:T141" si="4">IFERROR(ROUND((SUM(Q7:S7)/SUM(Q$5:S$5))*T$5,0),0)</f>
        <v>25</v>
      </c>
      <c r="U7" s="32">
        <v>23.0</v>
      </c>
      <c r="V7" s="32">
        <v>15.0</v>
      </c>
      <c r="W7" s="45"/>
      <c r="X7" s="47">
        <f t="shared" ref="X7:X141" si="5">IFERROR(ROUND((SUM(U7:W7)/SUM(U$5:W$5))*X$5,0),0)</f>
        <v>38</v>
      </c>
      <c r="Y7" s="28"/>
      <c r="Z7" s="48"/>
      <c r="AA7" s="22"/>
      <c r="AB7" s="49"/>
      <c r="AD7" s="50" t="s">
        <v>22</v>
      </c>
      <c r="AF7" s="51"/>
      <c r="AG7" s="35"/>
      <c r="AP7" s="52"/>
      <c r="AQ7" s="53"/>
      <c r="AR7" s="36"/>
      <c r="AS7" s="36"/>
      <c r="AT7" s="36"/>
      <c r="AU7" s="36"/>
      <c r="AV7" s="36"/>
      <c r="AW7" s="36"/>
      <c r="AX7" s="36"/>
      <c r="AY7" s="36"/>
      <c r="AZ7" s="36"/>
      <c r="BA7" s="36"/>
    </row>
    <row r="8" ht="16.5" customHeight="1">
      <c r="A8" s="42">
        <v>2.0</v>
      </c>
      <c r="B8" s="43"/>
      <c r="C8" s="44"/>
      <c r="D8" s="45"/>
      <c r="E8" s="45"/>
      <c r="F8" s="46"/>
      <c r="G8" s="47">
        <f t="shared" si="1"/>
        <v>0</v>
      </c>
      <c r="H8" s="45"/>
      <c r="I8" s="45"/>
      <c r="J8" s="46"/>
      <c r="K8" s="47">
        <f t="shared" si="2"/>
        <v>0</v>
      </c>
      <c r="L8" s="45"/>
      <c r="M8" s="45"/>
      <c r="N8" s="45"/>
      <c r="O8" s="45"/>
      <c r="P8" s="47">
        <f t="shared" si="3"/>
        <v>0</v>
      </c>
      <c r="Q8" s="32"/>
      <c r="R8" s="32"/>
      <c r="S8" s="45"/>
      <c r="T8" s="47">
        <f t="shared" si="4"/>
        <v>0</v>
      </c>
      <c r="U8" s="32"/>
      <c r="V8" s="32"/>
      <c r="W8" s="45"/>
      <c r="X8" s="47">
        <f t="shared" si="5"/>
        <v>0</v>
      </c>
      <c r="Y8" s="28"/>
      <c r="Z8" s="54"/>
      <c r="AA8" s="22"/>
      <c r="AB8" s="49"/>
      <c r="AD8" s="50" t="s">
        <v>23</v>
      </c>
      <c r="AF8" s="51"/>
    </row>
    <row r="9" ht="16.5" customHeight="1">
      <c r="A9" s="42">
        <v>3.0</v>
      </c>
      <c r="B9" s="43"/>
      <c r="C9" s="44"/>
      <c r="D9" s="45"/>
      <c r="E9" s="45"/>
      <c r="F9" s="46"/>
      <c r="G9" s="47">
        <f t="shared" si="1"/>
        <v>0</v>
      </c>
      <c r="H9" s="45"/>
      <c r="I9" s="45"/>
      <c r="J9" s="46"/>
      <c r="K9" s="47">
        <f t="shared" si="2"/>
        <v>0</v>
      </c>
      <c r="L9" s="45"/>
      <c r="M9" s="45"/>
      <c r="N9" s="45"/>
      <c r="O9" s="45"/>
      <c r="P9" s="47">
        <f t="shared" si="3"/>
        <v>0</v>
      </c>
      <c r="Q9" s="32"/>
      <c r="R9" s="32"/>
      <c r="S9" s="45"/>
      <c r="T9" s="47">
        <f t="shared" si="4"/>
        <v>0</v>
      </c>
      <c r="U9" s="32"/>
      <c r="V9" s="32"/>
      <c r="W9" s="45"/>
      <c r="X9" s="47">
        <f t="shared" si="5"/>
        <v>0</v>
      </c>
      <c r="Y9" s="28"/>
      <c r="Z9" s="54"/>
      <c r="AA9" s="22"/>
      <c r="AB9" s="49"/>
      <c r="AD9" s="50" t="s">
        <v>24</v>
      </c>
      <c r="AF9" s="51"/>
    </row>
    <row r="10" ht="16.5" customHeight="1">
      <c r="A10" s="42">
        <v>4.0</v>
      </c>
      <c r="B10" s="43"/>
      <c r="C10" s="44"/>
      <c r="D10" s="45"/>
      <c r="E10" s="45"/>
      <c r="F10" s="46"/>
      <c r="G10" s="47">
        <f t="shared" si="1"/>
        <v>0</v>
      </c>
      <c r="H10" s="45"/>
      <c r="I10" s="45"/>
      <c r="J10" s="46"/>
      <c r="K10" s="47">
        <f t="shared" si="2"/>
        <v>0</v>
      </c>
      <c r="L10" s="45"/>
      <c r="M10" s="45"/>
      <c r="N10" s="45"/>
      <c r="O10" s="45"/>
      <c r="P10" s="47">
        <f t="shared" si="3"/>
        <v>0</v>
      </c>
      <c r="Q10" s="32"/>
      <c r="R10" s="32"/>
      <c r="S10" s="45"/>
      <c r="T10" s="47">
        <f t="shared" si="4"/>
        <v>0</v>
      </c>
      <c r="U10" s="32"/>
      <c r="V10" s="32"/>
      <c r="W10" s="45"/>
      <c r="X10" s="47">
        <f t="shared" si="5"/>
        <v>0</v>
      </c>
      <c r="Y10" s="28"/>
      <c r="Z10" s="54"/>
      <c r="AA10" s="22"/>
      <c r="AB10" s="49"/>
      <c r="AD10" s="50" t="s">
        <v>25</v>
      </c>
      <c r="AF10" s="51" t="s">
        <v>26</v>
      </c>
    </row>
    <row r="11" ht="16.5" customHeight="1">
      <c r="A11" s="42">
        <v>5.0</v>
      </c>
      <c r="B11" s="43"/>
      <c r="C11" s="44"/>
      <c r="D11" s="45"/>
      <c r="E11" s="45"/>
      <c r="F11" s="46"/>
      <c r="G11" s="47">
        <f t="shared" si="1"/>
        <v>0</v>
      </c>
      <c r="H11" s="45"/>
      <c r="I11" s="45"/>
      <c r="J11" s="46"/>
      <c r="K11" s="47">
        <f t="shared" si="2"/>
        <v>0</v>
      </c>
      <c r="L11" s="45"/>
      <c r="M11" s="45"/>
      <c r="N11" s="45"/>
      <c r="O11" s="45"/>
      <c r="P11" s="47">
        <f t="shared" si="3"/>
        <v>0</v>
      </c>
      <c r="Q11" s="32"/>
      <c r="R11" s="32"/>
      <c r="S11" s="45"/>
      <c r="T11" s="47">
        <f t="shared" si="4"/>
        <v>0</v>
      </c>
      <c r="U11" s="32"/>
      <c r="V11" s="32"/>
      <c r="W11" s="45"/>
      <c r="X11" s="47">
        <f t="shared" si="5"/>
        <v>0</v>
      </c>
      <c r="Y11" s="28"/>
      <c r="Z11" s="54"/>
      <c r="AA11" s="22"/>
      <c r="AB11" s="49"/>
      <c r="AD11" s="50" t="s">
        <v>27</v>
      </c>
      <c r="AF11" s="51"/>
    </row>
    <row r="12" ht="16.5" customHeight="1">
      <c r="A12" s="42">
        <v>6.0</v>
      </c>
      <c r="B12" s="43"/>
      <c r="C12" s="44"/>
      <c r="D12" s="45"/>
      <c r="E12" s="45"/>
      <c r="F12" s="46"/>
      <c r="G12" s="47">
        <f t="shared" si="1"/>
        <v>0</v>
      </c>
      <c r="H12" s="45"/>
      <c r="I12" s="45"/>
      <c r="J12" s="46"/>
      <c r="K12" s="47">
        <f t="shared" si="2"/>
        <v>0</v>
      </c>
      <c r="L12" s="45"/>
      <c r="M12" s="45"/>
      <c r="N12" s="45"/>
      <c r="O12" s="45"/>
      <c r="P12" s="47">
        <f t="shared" si="3"/>
        <v>0</v>
      </c>
      <c r="Q12" s="32"/>
      <c r="R12" s="32"/>
      <c r="S12" s="45"/>
      <c r="T12" s="47">
        <f t="shared" si="4"/>
        <v>0</v>
      </c>
      <c r="U12" s="32"/>
      <c r="V12" s="32"/>
      <c r="W12" s="45"/>
      <c r="X12" s="47">
        <f t="shared" si="5"/>
        <v>0</v>
      </c>
      <c r="Y12" s="28"/>
      <c r="Z12" s="54"/>
      <c r="AA12" s="22"/>
      <c r="AB12" s="49"/>
      <c r="AD12" s="50" t="s">
        <v>28</v>
      </c>
      <c r="AF12" s="51" t="s">
        <v>29</v>
      </c>
      <c r="AP12" s="55"/>
      <c r="AQ12" s="3"/>
      <c r="AR12" s="3"/>
      <c r="AS12" s="14"/>
    </row>
    <row r="13" ht="16.5" customHeight="1">
      <c r="A13" s="42">
        <v>7.0</v>
      </c>
      <c r="B13" s="43"/>
      <c r="C13" s="44"/>
      <c r="D13" s="45"/>
      <c r="E13" s="45"/>
      <c r="F13" s="46"/>
      <c r="G13" s="47">
        <f t="shared" si="1"/>
        <v>0</v>
      </c>
      <c r="H13" s="45"/>
      <c r="I13" s="45"/>
      <c r="J13" s="46"/>
      <c r="K13" s="47">
        <f t="shared" si="2"/>
        <v>0</v>
      </c>
      <c r="L13" s="45"/>
      <c r="M13" s="45"/>
      <c r="N13" s="45"/>
      <c r="O13" s="45"/>
      <c r="P13" s="47">
        <f t="shared" si="3"/>
        <v>0</v>
      </c>
      <c r="Q13" s="32"/>
      <c r="R13" s="32"/>
      <c r="S13" s="45"/>
      <c r="T13" s="47">
        <f t="shared" si="4"/>
        <v>0</v>
      </c>
      <c r="U13" s="32"/>
      <c r="V13" s="32"/>
      <c r="W13" s="45"/>
      <c r="X13" s="47">
        <f t="shared" si="5"/>
        <v>0</v>
      </c>
      <c r="Y13" s="28"/>
      <c r="Z13" s="54"/>
      <c r="AA13" s="22"/>
      <c r="AB13" s="49"/>
      <c r="AC13" s="13"/>
      <c r="AD13" s="50" t="s">
        <v>30</v>
      </c>
      <c r="AE13" s="13"/>
      <c r="AF13" s="51" t="s">
        <v>31</v>
      </c>
      <c r="AG13" s="13"/>
      <c r="AP13" s="55"/>
      <c r="AQ13" s="3"/>
      <c r="AR13" s="3"/>
      <c r="AS13" s="14"/>
    </row>
    <row r="14" ht="16.5" customHeight="1">
      <c r="A14" s="42">
        <v>8.0</v>
      </c>
      <c r="B14" s="43"/>
      <c r="C14" s="44"/>
      <c r="D14" s="45"/>
      <c r="E14" s="45"/>
      <c r="F14" s="46"/>
      <c r="G14" s="47">
        <f t="shared" si="1"/>
        <v>0</v>
      </c>
      <c r="H14" s="45"/>
      <c r="I14" s="45"/>
      <c r="J14" s="46"/>
      <c r="K14" s="47">
        <f t="shared" si="2"/>
        <v>0</v>
      </c>
      <c r="L14" s="45"/>
      <c r="M14" s="45"/>
      <c r="N14" s="45"/>
      <c r="O14" s="45"/>
      <c r="P14" s="47">
        <f t="shared" si="3"/>
        <v>0</v>
      </c>
      <c r="Q14" s="32"/>
      <c r="R14" s="32"/>
      <c r="S14" s="45"/>
      <c r="T14" s="47">
        <f t="shared" si="4"/>
        <v>0</v>
      </c>
      <c r="U14" s="32"/>
      <c r="V14" s="32"/>
      <c r="W14" s="45"/>
      <c r="X14" s="47">
        <f t="shared" si="5"/>
        <v>0</v>
      </c>
      <c r="Y14" s="28"/>
      <c r="Z14" s="54"/>
      <c r="AA14" s="22"/>
      <c r="AB14" s="49"/>
      <c r="AC14" s="49"/>
      <c r="AD14" s="49"/>
      <c r="AE14" s="49"/>
      <c r="AF14" s="49"/>
      <c r="AI14" s="56"/>
      <c r="AJ14" s="56"/>
      <c r="AK14" s="57"/>
      <c r="AL14" s="58"/>
      <c r="AM14" s="58"/>
      <c r="AN14" s="58"/>
      <c r="AO14" s="58"/>
      <c r="AP14" s="55"/>
      <c r="AQ14" s="3"/>
      <c r="AR14" s="3"/>
      <c r="AS14" s="14"/>
    </row>
    <row r="15" ht="16.5" customHeight="1">
      <c r="A15" s="42">
        <v>9.0</v>
      </c>
      <c r="B15" s="43"/>
      <c r="C15" s="44"/>
      <c r="D15" s="45"/>
      <c r="E15" s="45"/>
      <c r="F15" s="46"/>
      <c r="G15" s="47">
        <f t="shared" si="1"/>
        <v>0</v>
      </c>
      <c r="H15" s="45"/>
      <c r="I15" s="45"/>
      <c r="J15" s="46"/>
      <c r="K15" s="47">
        <f t="shared" si="2"/>
        <v>0</v>
      </c>
      <c r="L15" s="45"/>
      <c r="M15" s="45"/>
      <c r="N15" s="45"/>
      <c r="O15" s="45"/>
      <c r="P15" s="47">
        <f t="shared" si="3"/>
        <v>0</v>
      </c>
      <c r="Q15" s="32"/>
      <c r="R15" s="32"/>
      <c r="S15" s="45"/>
      <c r="T15" s="47">
        <f t="shared" si="4"/>
        <v>0</v>
      </c>
      <c r="U15" s="32"/>
      <c r="V15" s="32"/>
      <c r="W15" s="45"/>
      <c r="X15" s="47">
        <f t="shared" si="5"/>
        <v>0</v>
      </c>
      <c r="Y15" s="28"/>
      <c r="Z15" s="54"/>
      <c r="AA15" s="22"/>
      <c r="AB15" s="49"/>
      <c r="AC15" s="59" t="s">
        <v>32</v>
      </c>
      <c r="AD15" s="7"/>
      <c r="AE15" s="60">
        <v>1.0</v>
      </c>
      <c r="AF15" s="61">
        <v>60.0</v>
      </c>
      <c r="AG15" s="62" t="s">
        <v>33</v>
      </c>
      <c r="AH15" s="9"/>
      <c r="AI15" s="9"/>
      <c r="AJ15" s="9"/>
      <c r="AK15" s="9"/>
      <c r="AL15" s="9"/>
      <c r="AM15" s="9"/>
      <c r="AN15" s="9"/>
      <c r="AO15" s="9"/>
      <c r="AP15" s="19"/>
      <c r="AQ15" s="3"/>
      <c r="AR15" s="3"/>
      <c r="AS15" s="14"/>
    </row>
    <row r="16" ht="16.5" customHeight="1">
      <c r="A16" s="42">
        <v>10.0</v>
      </c>
      <c r="B16" s="43"/>
      <c r="C16" s="44"/>
      <c r="D16" s="45"/>
      <c r="E16" s="45"/>
      <c r="F16" s="46"/>
      <c r="G16" s="47">
        <f t="shared" si="1"/>
        <v>0</v>
      </c>
      <c r="H16" s="45"/>
      <c r="I16" s="45"/>
      <c r="J16" s="46"/>
      <c r="K16" s="47">
        <f t="shared" si="2"/>
        <v>0</v>
      </c>
      <c r="L16" s="45"/>
      <c r="M16" s="45"/>
      <c r="N16" s="45"/>
      <c r="O16" s="45"/>
      <c r="P16" s="47">
        <f t="shared" si="3"/>
        <v>0</v>
      </c>
      <c r="Q16" s="32"/>
      <c r="R16" s="32"/>
      <c r="S16" s="45"/>
      <c r="T16" s="47">
        <f t="shared" si="4"/>
        <v>0</v>
      </c>
      <c r="U16" s="32"/>
      <c r="V16" s="32"/>
      <c r="W16" s="45"/>
      <c r="X16" s="47">
        <f t="shared" si="5"/>
        <v>0</v>
      </c>
      <c r="Y16" s="28"/>
      <c r="Z16" s="54"/>
      <c r="AA16" s="22"/>
      <c r="AB16" s="49"/>
      <c r="AC16" s="63"/>
      <c r="AD16" s="64"/>
      <c r="AE16" s="60">
        <v>2.0</v>
      </c>
      <c r="AF16" s="65">
        <v>70.0</v>
      </c>
      <c r="AG16" s="62" t="s">
        <v>33</v>
      </c>
      <c r="AH16" s="9"/>
      <c r="AI16" s="9"/>
      <c r="AJ16" s="9"/>
      <c r="AK16" s="9"/>
      <c r="AL16" s="9"/>
      <c r="AM16" s="9"/>
      <c r="AN16" s="9"/>
      <c r="AO16" s="9"/>
      <c r="AP16" s="19"/>
      <c r="AQ16" s="3"/>
      <c r="AR16" s="3"/>
      <c r="AS16" s="14"/>
    </row>
    <row r="17" ht="16.5" customHeight="1">
      <c r="A17" s="42">
        <v>11.0</v>
      </c>
      <c r="B17" s="43"/>
      <c r="C17" s="44"/>
      <c r="D17" s="45"/>
      <c r="E17" s="45"/>
      <c r="F17" s="46"/>
      <c r="G17" s="47">
        <f t="shared" si="1"/>
        <v>0</v>
      </c>
      <c r="H17" s="45"/>
      <c r="I17" s="45"/>
      <c r="J17" s="46"/>
      <c r="K17" s="47">
        <f t="shared" si="2"/>
        <v>0</v>
      </c>
      <c r="L17" s="45"/>
      <c r="M17" s="45"/>
      <c r="N17" s="45"/>
      <c r="O17" s="45"/>
      <c r="P17" s="47">
        <f t="shared" si="3"/>
        <v>0</v>
      </c>
      <c r="Q17" s="32"/>
      <c r="R17" s="32"/>
      <c r="S17" s="45"/>
      <c r="T17" s="47">
        <f t="shared" si="4"/>
        <v>0</v>
      </c>
      <c r="U17" s="32"/>
      <c r="V17" s="32"/>
      <c r="W17" s="45"/>
      <c r="X17" s="47">
        <f t="shared" si="5"/>
        <v>0</v>
      </c>
      <c r="Y17" s="28"/>
      <c r="Z17" s="54"/>
      <c r="AA17" s="22"/>
      <c r="AB17" s="49"/>
      <c r="AC17" s="66"/>
      <c r="AD17" s="67"/>
      <c r="AE17" s="60">
        <v>3.0</v>
      </c>
      <c r="AF17" s="68">
        <v>80.0</v>
      </c>
      <c r="AG17" s="69" t="s">
        <v>33</v>
      </c>
      <c r="AH17" s="9"/>
      <c r="AI17" s="9"/>
      <c r="AJ17" s="9"/>
      <c r="AK17" s="9"/>
      <c r="AL17" s="9"/>
      <c r="AM17" s="9"/>
      <c r="AN17" s="9"/>
      <c r="AO17" s="9"/>
      <c r="AP17" s="19"/>
      <c r="AQ17" s="3"/>
      <c r="AR17" s="3"/>
      <c r="AS17" s="14"/>
    </row>
    <row r="18" ht="16.5" customHeight="1">
      <c r="A18" s="42">
        <v>12.0</v>
      </c>
      <c r="B18" s="43"/>
      <c r="C18" s="44"/>
      <c r="D18" s="45"/>
      <c r="E18" s="45"/>
      <c r="F18" s="46"/>
      <c r="G18" s="47">
        <f t="shared" si="1"/>
        <v>0</v>
      </c>
      <c r="H18" s="45"/>
      <c r="I18" s="45"/>
      <c r="J18" s="46"/>
      <c r="K18" s="47">
        <f t="shared" si="2"/>
        <v>0</v>
      </c>
      <c r="L18" s="45"/>
      <c r="M18" s="45"/>
      <c r="N18" s="45"/>
      <c r="O18" s="45"/>
      <c r="P18" s="47">
        <f t="shared" si="3"/>
        <v>0</v>
      </c>
      <c r="Q18" s="32"/>
      <c r="R18" s="32"/>
      <c r="S18" s="45"/>
      <c r="T18" s="47">
        <f t="shared" si="4"/>
        <v>0</v>
      </c>
      <c r="U18" s="32"/>
      <c r="V18" s="32"/>
      <c r="W18" s="45"/>
      <c r="X18" s="47">
        <f t="shared" si="5"/>
        <v>0</v>
      </c>
      <c r="Y18" s="28"/>
      <c r="Z18" s="54"/>
      <c r="AA18" s="22"/>
      <c r="AB18" s="49"/>
      <c r="AC18" s="70" t="s">
        <v>34</v>
      </c>
      <c r="AD18" s="9"/>
      <c r="AE18" s="9"/>
      <c r="AF18" s="9"/>
      <c r="AG18" s="9"/>
      <c r="AH18" s="9"/>
      <c r="AI18" s="9"/>
      <c r="AJ18" s="10"/>
      <c r="AK18" s="71" t="s">
        <v>35</v>
      </c>
      <c r="AL18" s="9"/>
      <c r="AM18" s="9"/>
      <c r="AN18" s="9"/>
      <c r="AO18" s="9"/>
      <c r="AP18" s="19"/>
      <c r="AQ18" s="3"/>
      <c r="AR18" s="3"/>
      <c r="AS18" s="14"/>
    </row>
    <row r="19" ht="16.5" customHeight="1">
      <c r="A19" s="42">
        <v>13.0</v>
      </c>
      <c r="B19" s="43"/>
      <c r="C19" s="44"/>
      <c r="D19" s="45"/>
      <c r="E19" s="45"/>
      <c r="F19" s="46"/>
      <c r="G19" s="47">
        <f t="shared" si="1"/>
        <v>0</v>
      </c>
      <c r="H19" s="45"/>
      <c r="I19" s="45"/>
      <c r="J19" s="46"/>
      <c r="K19" s="47">
        <f t="shared" si="2"/>
        <v>0</v>
      </c>
      <c r="L19" s="45"/>
      <c r="M19" s="45"/>
      <c r="N19" s="45"/>
      <c r="O19" s="45"/>
      <c r="P19" s="47">
        <f t="shared" si="3"/>
        <v>0</v>
      </c>
      <c r="Q19" s="32"/>
      <c r="R19" s="32"/>
      <c r="S19" s="45"/>
      <c r="T19" s="47">
        <f t="shared" si="4"/>
        <v>0</v>
      </c>
      <c r="U19" s="32"/>
      <c r="V19" s="32"/>
      <c r="W19" s="45"/>
      <c r="X19" s="47">
        <f t="shared" si="5"/>
        <v>0</v>
      </c>
      <c r="Y19" s="28"/>
      <c r="Z19" s="54"/>
      <c r="AA19" s="22"/>
      <c r="AB19" s="49"/>
      <c r="AC19" s="72" t="s">
        <v>2</v>
      </c>
      <c r="AD19" s="9"/>
      <c r="AE19" s="9"/>
      <c r="AF19" s="9"/>
      <c r="AG19" s="9"/>
      <c r="AH19" s="9"/>
      <c r="AI19" s="19"/>
      <c r="AJ19" s="73">
        <v>0.4</v>
      </c>
      <c r="AK19" s="74">
        <v>0.9</v>
      </c>
      <c r="AL19" s="6"/>
      <c r="AM19" s="6"/>
      <c r="AN19" s="6"/>
      <c r="AO19" s="6"/>
      <c r="AP19" s="7"/>
      <c r="AQ19" s="3"/>
      <c r="AR19" s="3"/>
      <c r="AS19" s="14"/>
    </row>
    <row r="20" ht="16.5" customHeight="1">
      <c r="A20" s="42">
        <v>14.0</v>
      </c>
      <c r="B20" s="43"/>
      <c r="C20" s="44"/>
      <c r="D20" s="45"/>
      <c r="E20" s="45"/>
      <c r="F20" s="46"/>
      <c r="G20" s="47">
        <f t="shared" si="1"/>
        <v>0</v>
      </c>
      <c r="H20" s="45"/>
      <c r="I20" s="45"/>
      <c r="J20" s="46"/>
      <c r="K20" s="47">
        <f t="shared" si="2"/>
        <v>0</v>
      </c>
      <c r="L20" s="45"/>
      <c r="M20" s="45"/>
      <c r="N20" s="45"/>
      <c r="O20" s="45"/>
      <c r="P20" s="47">
        <f t="shared" si="3"/>
        <v>0</v>
      </c>
      <c r="Q20" s="32"/>
      <c r="R20" s="32"/>
      <c r="S20" s="45"/>
      <c r="T20" s="47">
        <f t="shared" si="4"/>
        <v>0</v>
      </c>
      <c r="U20" s="32"/>
      <c r="V20" s="32"/>
      <c r="W20" s="45"/>
      <c r="X20" s="47">
        <f t="shared" si="5"/>
        <v>0</v>
      </c>
      <c r="Y20" s="28"/>
      <c r="Z20" s="54"/>
      <c r="AA20" s="22"/>
      <c r="AB20" s="49"/>
      <c r="AC20" s="72" t="s">
        <v>3</v>
      </c>
      <c r="AD20" s="9"/>
      <c r="AE20" s="9"/>
      <c r="AF20" s="9"/>
      <c r="AG20" s="9"/>
      <c r="AH20" s="9"/>
      <c r="AI20" s="19"/>
      <c r="AJ20" s="73">
        <v>0.6</v>
      </c>
      <c r="AK20" s="66"/>
      <c r="AL20" s="75"/>
      <c r="AM20" s="75"/>
      <c r="AN20" s="75"/>
      <c r="AO20" s="75"/>
      <c r="AP20" s="67"/>
      <c r="AQ20" s="3"/>
      <c r="AR20" s="3"/>
      <c r="AS20" s="14"/>
    </row>
    <row r="21" ht="16.5" customHeight="1">
      <c r="A21" s="42">
        <v>15.0</v>
      </c>
      <c r="B21" s="43"/>
      <c r="C21" s="44"/>
      <c r="D21" s="45"/>
      <c r="E21" s="45"/>
      <c r="F21" s="46"/>
      <c r="G21" s="47">
        <f t="shared" si="1"/>
        <v>0</v>
      </c>
      <c r="H21" s="45"/>
      <c r="I21" s="45"/>
      <c r="J21" s="46"/>
      <c r="K21" s="47">
        <f t="shared" si="2"/>
        <v>0</v>
      </c>
      <c r="L21" s="45"/>
      <c r="M21" s="45"/>
      <c r="N21" s="45"/>
      <c r="O21" s="45"/>
      <c r="P21" s="47">
        <f t="shared" si="3"/>
        <v>0</v>
      </c>
      <c r="Q21" s="32"/>
      <c r="R21" s="32"/>
      <c r="S21" s="45"/>
      <c r="T21" s="47">
        <f t="shared" si="4"/>
        <v>0</v>
      </c>
      <c r="U21" s="32"/>
      <c r="V21" s="32"/>
      <c r="W21" s="45"/>
      <c r="X21" s="47">
        <f t="shared" si="5"/>
        <v>0</v>
      </c>
      <c r="Y21" s="28"/>
      <c r="Z21" s="54"/>
      <c r="AA21" s="22"/>
      <c r="AB21" s="49"/>
      <c r="AC21" s="76" t="s">
        <v>36</v>
      </c>
      <c r="AD21" s="9"/>
      <c r="AE21" s="9"/>
      <c r="AF21" s="9"/>
      <c r="AG21" s="9"/>
      <c r="AH21" s="9"/>
      <c r="AI21" s="9"/>
      <c r="AJ21" s="10"/>
      <c r="AK21" s="77">
        <v>0.1</v>
      </c>
      <c r="AL21" s="9"/>
      <c r="AM21" s="9"/>
      <c r="AN21" s="9"/>
      <c r="AO21" s="9"/>
      <c r="AP21" s="19"/>
      <c r="AQ21" s="3"/>
      <c r="AR21" s="3"/>
      <c r="AS21" s="14"/>
    </row>
    <row r="22" ht="16.5" customHeight="1">
      <c r="A22" s="42">
        <v>16.0</v>
      </c>
      <c r="B22" s="43"/>
      <c r="C22" s="44"/>
      <c r="D22" s="45"/>
      <c r="E22" s="45"/>
      <c r="F22" s="46"/>
      <c r="G22" s="47">
        <f t="shared" si="1"/>
        <v>0</v>
      </c>
      <c r="H22" s="45"/>
      <c r="I22" s="45"/>
      <c r="J22" s="46"/>
      <c r="K22" s="47">
        <f t="shared" si="2"/>
        <v>0</v>
      </c>
      <c r="L22" s="45"/>
      <c r="M22" s="45"/>
      <c r="N22" s="45"/>
      <c r="O22" s="45"/>
      <c r="P22" s="47">
        <f t="shared" si="3"/>
        <v>0</v>
      </c>
      <c r="Q22" s="32"/>
      <c r="R22" s="32"/>
      <c r="S22" s="45"/>
      <c r="T22" s="47">
        <f t="shared" si="4"/>
        <v>0</v>
      </c>
      <c r="U22" s="32"/>
      <c r="V22" s="32"/>
      <c r="W22" s="45"/>
      <c r="X22" s="47">
        <f t="shared" si="5"/>
        <v>0</v>
      </c>
      <c r="Y22" s="28"/>
      <c r="Z22" s="54"/>
      <c r="AA22" s="22"/>
      <c r="AB22" s="49"/>
      <c r="AE22" s="78"/>
      <c r="AF22" s="78"/>
      <c r="AH22" s="78"/>
      <c r="AI22" s="78"/>
      <c r="AJ22" s="78"/>
      <c r="AK22" s="52"/>
      <c r="AL22" s="36"/>
      <c r="AM22" s="36"/>
      <c r="AN22" s="36"/>
      <c r="AP22" s="55"/>
      <c r="AQ22" s="3"/>
      <c r="AR22" s="3"/>
      <c r="AS22" s="14"/>
    </row>
    <row r="23" ht="16.5" customHeight="1">
      <c r="A23" s="42">
        <v>17.0</v>
      </c>
      <c r="B23" s="43"/>
      <c r="C23" s="44"/>
      <c r="D23" s="45"/>
      <c r="E23" s="45"/>
      <c r="F23" s="46"/>
      <c r="G23" s="47">
        <f t="shared" si="1"/>
        <v>0</v>
      </c>
      <c r="H23" s="45"/>
      <c r="I23" s="45"/>
      <c r="J23" s="46"/>
      <c r="K23" s="47">
        <f t="shared" si="2"/>
        <v>0</v>
      </c>
      <c r="L23" s="45"/>
      <c r="M23" s="45"/>
      <c r="N23" s="45"/>
      <c r="O23" s="45"/>
      <c r="P23" s="47">
        <f t="shared" si="3"/>
        <v>0</v>
      </c>
      <c r="Q23" s="32"/>
      <c r="R23" s="32"/>
      <c r="S23" s="45"/>
      <c r="T23" s="47">
        <f t="shared" si="4"/>
        <v>0</v>
      </c>
      <c r="U23" s="32"/>
      <c r="V23" s="32"/>
      <c r="W23" s="45"/>
      <c r="X23" s="47">
        <f t="shared" si="5"/>
        <v>0</v>
      </c>
      <c r="Y23" s="28"/>
      <c r="Z23" s="54"/>
      <c r="AA23" s="22"/>
      <c r="AB23" s="49"/>
      <c r="AC23" s="79" t="s">
        <v>37</v>
      </c>
      <c r="AD23" s="79" t="s">
        <v>38</v>
      </c>
      <c r="AE23" s="80"/>
      <c r="AF23" s="80"/>
      <c r="AH23" s="80"/>
      <c r="AI23" s="80"/>
      <c r="AJ23" s="80"/>
      <c r="AK23" s="52"/>
      <c r="AL23" s="36"/>
      <c r="AM23" s="36"/>
      <c r="AN23" s="36"/>
      <c r="AP23" s="55"/>
      <c r="AQ23" s="3"/>
      <c r="AR23" s="3"/>
      <c r="AS23" s="14"/>
    </row>
    <row r="24" ht="16.5" customHeight="1">
      <c r="A24" s="42">
        <v>18.0</v>
      </c>
      <c r="B24" s="43"/>
      <c r="C24" s="44"/>
      <c r="D24" s="45"/>
      <c r="E24" s="45"/>
      <c r="F24" s="46"/>
      <c r="G24" s="47">
        <f t="shared" si="1"/>
        <v>0</v>
      </c>
      <c r="H24" s="45"/>
      <c r="I24" s="45"/>
      <c r="J24" s="46"/>
      <c r="K24" s="47">
        <f t="shared" si="2"/>
        <v>0</v>
      </c>
      <c r="L24" s="45"/>
      <c r="M24" s="45"/>
      <c r="N24" s="45"/>
      <c r="O24" s="45"/>
      <c r="P24" s="47">
        <f t="shared" si="3"/>
        <v>0</v>
      </c>
      <c r="Q24" s="32"/>
      <c r="R24" s="32"/>
      <c r="S24" s="45"/>
      <c r="T24" s="47">
        <f t="shared" si="4"/>
        <v>0</v>
      </c>
      <c r="U24" s="32"/>
      <c r="V24" s="32"/>
      <c r="W24" s="45"/>
      <c r="X24" s="47">
        <f t="shared" si="5"/>
        <v>0</v>
      </c>
      <c r="Y24" s="28"/>
      <c r="Z24" s="54"/>
      <c r="AA24" s="22"/>
      <c r="AB24" s="49"/>
      <c r="AC24" s="81"/>
      <c r="AD24" s="81"/>
      <c r="AE24" s="36"/>
      <c r="AF24" s="36"/>
      <c r="AG24" s="36"/>
      <c r="AH24" s="78"/>
      <c r="AI24" s="78"/>
      <c r="AJ24" s="78"/>
      <c r="AK24" s="36"/>
      <c r="AL24" s="36"/>
      <c r="AM24" s="36"/>
      <c r="AN24" s="36"/>
      <c r="AP24" s="55"/>
      <c r="AQ24" s="3"/>
      <c r="AR24" s="3"/>
      <c r="AS24" s="14"/>
    </row>
    <row r="25" ht="16.5" customHeight="1">
      <c r="A25" s="42">
        <v>19.0</v>
      </c>
      <c r="B25" s="43"/>
      <c r="C25" s="44"/>
      <c r="D25" s="45"/>
      <c r="E25" s="45"/>
      <c r="F25" s="46"/>
      <c r="G25" s="47">
        <f t="shared" si="1"/>
        <v>0</v>
      </c>
      <c r="H25" s="45"/>
      <c r="I25" s="45"/>
      <c r="J25" s="46"/>
      <c r="K25" s="47">
        <f t="shared" si="2"/>
        <v>0</v>
      </c>
      <c r="L25" s="45"/>
      <c r="M25" s="45"/>
      <c r="N25" s="45"/>
      <c r="O25" s="45"/>
      <c r="P25" s="47">
        <f t="shared" si="3"/>
        <v>0</v>
      </c>
      <c r="Q25" s="32"/>
      <c r="R25" s="32"/>
      <c r="S25" s="45"/>
      <c r="T25" s="47">
        <f t="shared" si="4"/>
        <v>0</v>
      </c>
      <c r="U25" s="32"/>
      <c r="V25" s="32"/>
      <c r="W25" s="45"/>
      <c r="X25" s="47">
        <f t="shared" si="5"/>
        <v>0</v>
      </c>
      <c r="Y25" s="28"/>
      <c r="Z25" s="54"/>
      <c r="AA25" s="22"/>
      <c r="AB25" s="49"/>
      <c r="AC25" s="82" t="s">
        <v>39</v>
      </c>
      <c r="AD25" s="83">
        <f>(((G145*AJ19)+(Z145*AJ20)) * AK19) + (AI42*AK21)</f>
        <v>0.84</v>
      </c>
      <c r="AE25" s="49"/>
      <c r="AF25" s="49"/>
      <c r="AI25" s="56"/>
      <c r="AJ25" s="56"/>
      <c r="AK25" s="57"/>
      <c r="AL25" s="58"/>
      <c r="AM25" s="58"/>
      <c r="AN25" s="58"/>
      <c r="AO25" s="58"/>
      <c r="AP25" s="55"/>
      <c r="AQ25" s="3"/>
      <c r="AR25" s="3"/>
      <c r="AS25" s="14"/>
    </row>
    <row r="26" ht="16.5" customHeight="1">
      <c r="A26" s="42">
        <v>20.0</v>
      </c>
      <c r="B26" s="43"/>
      <c r="C26" s="44"/>
      <c r="D26" s="45"/>
      <c r="E26" s="45"/>
      <c r="F26" s="46"/>
      <c r="G26" s="47">
        <f t="shared" si="1"/>
        <v>0</v>
      </c>
      <c r="H26" s="45"/>
      <c r="I26" s="45"/>
      <c r="J26" s="46"/>
      <c r="K26" s="47">
        <f t="shared" si="2"/>
        <v>0</v>
      </c>
      <c r="L26" s="45"/>
      <c r="M26" s="45"/>
      <c r="N26" s="45"/>
      <c r="O26" s="45"/>
      <c r="P26" s="47">
        <f t="shared" si="3"/>
        <v>0</v>
      </c>
      <c r="Q26" s="32"/>
      <c r="R26" s="32"/>
      <c r="S26" s="45"/>
      <c r="T26" s="47">
        <f t="shared" si="4"/>
        <v>0</v>
      </c>
      <c r="U26" s="32"/>
      <c r="V26" s="32"/>
      <c r="W26" s="45"/>
      <c r="X26" s="47">
        <f t="shared" si="5"/>
        <v>0</v>
      </c>
      <c r="Y26" s="28"/>
      <c r="Z26" s="54"/>
      <c r="AA26" s="22"/>
      <c r="AB26" s="49"/>
      <c r="AC26" s="82" t="s">
        <v>40</v>
      </c>
      <c r="AD26" s="84">
        <f>(((K145*AJ19)+(Z145*AJ20)) * AK19) + (AJ42*AK21)</f>
        <v>0.84</v>
      </c>
      <c r="AE26" s="49"/>
      <c r="AF26" s="49"/>
      <c r="AI26" s="56"/>
      <c r="AJ26" s="56"/>
      <c r="AK26" s="57"/>
      <c r="AL26" s="58"/>
      <c r="AM26" s="58"/>
      <c r="AN26" s="58"/>
      <c r="AO26" s="58"/>
      <c r="AP26" s="55"/>
      <c r="AQ26" s="3"/>
      <c r="AR26" s="3"/>
      <c r="AS26" s="14"/>
    </row>
    <row r="27" ht="16.5" customHeight="1">
      <c r="A27" s="42">
        <v>21.0</v>
      </c>
      <c r="B27" s="43"/>
      <c r="C27" s="44"/>
      <c r="D27" s="45"/>
      <c r="E27" s="45"/>
      <c r="F27" s="46"/>
      <c r="G27" s="47">
        <f t="shared" si="1"/>
        <v>0</v>
      </c>
      <c r="H27" s="45"/>
      <c r="I27" s="45"/>
      <c r="J27" s="46"/>
      <c r="K27" s="47">
        <f t="shared" si="2"/>
        <v>0</v>
      </c>
      <c r="L27" s="45"/>
      <c r="M27" s="45"/>
      <c r="N27" s="45"/>
      <c r="O27" s="45"/>
      <c r="P27" s="47">
        <f t="shared" si="3"/>
        <v>0</v>
      </c>
      <c r="Q27" s="32"/>
      <c r="R27" s="32"/>
      <c r="S27" s="45"/>
      <c r="T27" s="47">
        <f t="shared" si="4"/>
        <v>0</v>
      </c>
      <c r="U27" s="32"/>
      <c r="V27" s="32"/>
      <c r="W27" s="45"/>
      <c r="X27" s="47">
        <f t="shared" si="5"/>
        <v>0</v>
      </c>
      <c r="Y27" s="28"/>
      <c r="Z27" s="54"/>
      <c r="AA27" s="22"/>
      <c r="AB27" s="49"/>
      <c r="AC27" s="82" t="s">
        <v>41</v>
      </c>
      <c r="AD27" s="84">
        <f>(((P145*AJ19)+(Z145*AJ20)) * AK19) + (AK42*AK21)</f>
        <v>0.84</v>
      </c>
      <c r="AP27" s="55"/>
      <c r="AQ27" s="3"/>
      <c r="AR27" s="3"/>
      <c r="AS27" s="14"/>
    </row>
    <row r="28" ht="16.5" customHeight="1">
      <c r="A28" s="42">
        <v>22.0</v>
      </c>
      <c r="B28" s="43"/>
      <c r="C28" s="44"/>
      <c r="D28" s="45"/>
      <c r="E28" s="45"/>
      <c r="F28" s="46"/>
      <c r="G28" s="47">
        <f t="shared" si="1"/>
        <v>0</v>
      </c>
      <c r="H28" s="45"/>
      <c r="I28" s="45"/>
      <c r="J28" s="46"/>
      <c r="K28" s="47">
        <f t="shared" si="2"/>
        <v>0</v>
      </c>
      <c r="L28" s="45"/>
      <c r="M28" s="45"/>
      <c r="N28" s="45"/>
      <c r="O28" s="45"/>
      <c r="P28" s="47">
        <f t="shared" si="3"/>
        <v>0</v>
      </c>
      <c r="Q28" s="32"/>
      <c r="R28" s="32"/>
      <c r="S28" s="45"/>
      <c r="T28" s="47">
        <f t="shared" si="4"/>
        <v>0</v>
      </c>
      <c r="U28" s="32"/>
      <c r="V28" s="32"/>
      <c r="W28" s="45"/>
      <c r="X28" s="47">
        <f t="shared" si="5"/>
        <v>0</v>
      </c>
      <c r="Y28" s="28"/>
      <c r="Z28" s="54"/>
      <c r="AA28" s="22"/>
      <c r="AB28" s="49"/>
      <c r="AC28" s="82" t="s">
        <v>42</v>
      </c>
      <c r="AD28" s="84">
        <f>(((T145*AJ19)+(Z145*AJ20)) * AK19) + (AL42*AK21)</f>
        <v>0.84</v>
      </c>
      <c r="AP28" s="55"/>
      <c r="AQ28" s="3"/>
      <c r="AR28" s="3"/>
      <c r="AS28" s="14"/>
    </row>
    <row r="29" ht="16.5" customHeight="1">
      <c r="A29" s="42">
        <v>23.0</v>
      </c>
      <c r="B29" s="43"/>
      <c r="C29" s="44"/>
      <c r="D29" s="45"/>
      <c r="E29" s="45"/>
      <c r="F29" s="46"/>
      <c r="G29" s="47">
        <f t="shared" si="1"/>
        <v>0</v>
      </c>
      <c r="H29" s="45"/>
      <c r="I29" s="45"/>
      <c r="J29" s="46"/>
      <c r="K29" s="47">
        <f t="shared" si="2"/>
        <v>0</v>
      </c>
      <c r="L29" s="45"/>
      <c r="M29" s="45"/>
      <c r="N29" s="45"/>
      <c r="O29" s="45"/>
      <c r="P29" s="47">
        <f t="shared" si="3"/>
        <v>0</v>
      </c>
      <c r="Q29" s="32"/>
      <c r="R29" s="32"/>
      <c r="S29" s="45"/>
      <c r="T29" s="47">
        <f t="shared" si="4"/>
        <v>0</v>
      </c>
      <c r="U29" s="32"/>
      <c r="V29" s="32"/>
      <c r="W29" s="45"/>
      <c r="X29" s="47">
        <f t="shared" si="5"/>
        <v>0</v>
      </c>
      <c r="Y29" s="28"/>
      <c r="Z29" s="54"/>
      <c r="AA29" s="22"/>
      <c r="AB29" s="49"/>
      <c r="AC29" s="82" t="s">
        <v>43</v>
      </c>
      <c r="AD29" s="85">
        <f>(((X145*AJ19)+(Z145*AJ20)) * AK19) + (AM42*AK21)</f>
        <v>0.84</v>
      </c>
      <c r="AP29" s="55"/>
      <c r="AQ29" s="3"/>
      <c r="AR29" s="3"/>
      <c r="AS29" s="14"/>
    </row>
    <row r="30" ht="16.5" customHeight="1">
      <c r="A30" s="42">
        <v>24.0</v>
      </c>
      <c r="B30" s="43"/>
      <c r="C30" s="44"/>
      <c r="D30" s="45"/>
      <c r="E30" s="45"/>
      <c r="F30" s="46"/>
      <c r="G30" s="47">
        <f t="shared" si="1"/>
        <v>0</v>
      </c>
      <c r="H30" s="45"/>
      <c r="I30" s="45"/>
      <c r="J30" s="46"/>
      <c r="K30" s="47">
        <f t="shared" si="2"/>
        <v>0</v>
      </c>
      <c r="L30" s="45"/>
      <c r="M30" s="45"/>
      <c r="N30" s="45"/>
      <c r="O30" s="45"/>
      <c r="P30" s="47">
        <f t="shared" si="3"/>
        <v>0</v>
      </c>
      <c r="Q30" s="32"/>
      <c r="R30" s="32"/>
      <c r="S30" s="45"/>
      <c r="T30" s="47">
        <f t="shared" si="4"/>
        <v>0</v>
      </c>
      <c r="U30" s="32"/>
      <c r="V30" s="32"/>
      <c r="W30" s="45"/>
      <c r="X30" s="47">
        <f t="shared" si="5"/>
        <v>0</v>
      </c>
      <c r="Y30" s="28"/>
      <c r="Z30" s="54"/>
      <c r="AA30" s="22"/>
      <c r="AB30" s="49"/>
      <c r="AC30" s="13"/>
      <c r="AD30" s="13"/>
      <c r="AP30" s="55"/>
      <c r="AQ30" s="3"/>
      <c r="AR30" s="3"/>
      <c r="AS30" s="14"/>
    </row>
    <row r="31" ht="16.5" customHeight="1">
      <c r="A31" s="42">
        <v>25.0</v>
      </c>
      <c r="B31" s="43"/>
      <c r="C31" s="44"/>
      <c r="D31" s="45"/>
      <c r="E31" s="45"/>
      <c r="F31" s="46"/>
      <c r="G31" s="47">
        <f t="shared" si="1"/>
        <v>0</v>
      </c>
      <c r="H31" s="45"/>
      <c r="I31" s="45"/>
      <c r="J31" s="46"/>
      <c r="K31" s="47">
        <f t="shared" si="2"/>
        <v>0</v>
      </c>
      <c r="L31" s="45"/>
      <c r="M31" s="45"/>
      <c r="N31" s="45"/>
      <c r="O31" s="45"/>
      <c r="P31" s="47">
        <f t="shared" si="3"/>
        <v>0</v>
      </c>
      <c r="Q31" s="32"/>
      <c r="R31" s="32"/>
      <c r="S31" s="45"/>
      <c r="T31" s="47">
        <f t="shared" si="4"/>
        <v>0</v>
      </c>
      <c r="U31" s="32"/>
      <c r="V31" s="32"/>
      <c r="W31" s="45"/>
      <c r="X31" s="47">
        <f t="shared" si="5"/>
        <v>0</v>
      </c>
      <c r="Y31" s="28"/>
      <c r="Z31" s="54"/>
      <c r="AA31" s="22"/>
      <c r="AB31" s="49"/>
      <c r="AP31" s="55"/>
      <c r="AQ31" s="3"/>
      <c r="AR31" s="3"/>
      <c r="AS31" s="14"/>
    </row>
    <row r="32" ht="16.5" customHeight="1">
      <c r="A32" s="42">
        <v>26.0</v>
      </c>
      <c r="B32" s="43"/>
      <c r="C32" s="44"/>
      <c r="D32" s="45"/>
      <c r="E32" s="45"/>
      <c r="F32" s="46"/>
      <c r="G32" s="47">
        <f t="shared" si="1"/>
        <v>0</v>
      </c>
      <c r="H32" s="45"/>
      <c r="I32" s="45"/>
      <c r="J32" s="46"/>
      <c r="K32" s="47">
        <f t="shared" si="2"/>
        <v>0</v>
      </c>
      <c r="L32" s="45"/>
      <c r="M32" s="45"/>
      <c r="N32" s="45"/>
      <c r="O32" s="45"/>
      <c r="P32" s="47">
        <f t="shared" si="3"/>
        <v>0</v>
      </c>
      <c r="Q32" s="32"/>
      <c r="R32" s="32"/>
      <c r="S32" s="45"/>
      <c r="T32" s="47">
        <f t="shared" si="4"/>
        <v>0</v>
      </c>
      <c r="U32" s="32"/>
      <c r="V32" s="32"/>
      <c r="W32" s="45"/>
      <c r="X32" s="47">
        <f t="shared" si="5"/>
        <v>0</v>
      </c>
      <c r="Y32" s="28"/>
      <c r="Z32" s="54"/>
      <c r="AA32" s="22"/>
      <c r="AB32" s="49"/>
      <c r="AP32" s="55"/>
      <c r="AQ32" s="3"/>
      <c r="AR32" s="3"/>
      <c r="AS32" s="14"/>
    </row>
    <row r="33" ht="16.5" customHeight="1">
      <c r="A33" s="42">
        <v>27.0</v>
      </c>
      <c r="B33" s="43"/>
      <c r="C33" s="44"/>
      <c r="D33" s="45"/>
      <c r="E33" s="45"/>
      <c r="F33" s="46"/>
      <c r="G33" s="47">
        <f t="shared" si="1"/>
        <v>0</v>
      </c>
      <c r="H33" s="45"/>
      <c r="I33" s="45"/>
      <c r="J33" s="46"/>
      <c r="K33" s="47">
        <f t="shared" si="2"/>
        <v>0</v>
      </c>
      <c r="L33" s="45"/>
      <c r="M33" s="45"/>
      <c r="N33" s="45"/>
      <c r="O33" s="45"/>
      <c r="P33" s="47">
        <f t="shared" si="3"/>
        <v>0</v>
      </c>
      <c r="Q33" s="32"/>
      <c r="R33" s="32"/>
      <c r="S33" s="45"/>
      <c r="T33" s="47">
        <f t="shared" si="4"/>
        <v>0</v>
      </c>
      <c r="U33" s="32"/>
      <c r="V33" s="32"/>
      <c r="W33" s="45"/>
      <c r="X33" s="47">
        <f t="shared" si="5"/>
        <v>0</v>
      </c>
      <c r="Y33" s="28"/>
      <c r="Z33" s="54"/>
      <c r="AA33" s="22"/>
      <c r="AB33" s="49"/>
      <c r="AP33" s="55"/>
      <c r="AQ33" s="3"/>
      <c r="AR33" s="3"/>
      <c r="AS33" s="14"/>
    </row>
    <row r="34" ht="16.5" customHeight="1">
      <c r="A34" s="42">
        <v>28.0</v>
      </c>
      <c r="B34" s="43"/>
      <c r="C34" s="44"/>
      <c r="D34" s="45"/>
      <c r="E34" s="45"/>
      <c r="F34" s="46"/>
      <c r="G34" s="47">
        <f t="shared" si="1"/>
        <v>0</v>
      </c>
      <c r="H34" s="45"/>
      <c r="I34" s="45"/>
      <c r="J34" s="46"/>
      <c r="K34" s="47">
        <f t="shared" si="2"/>
        <v>0</v>
      </c>
      <c r="L34" s="45"/>
      <c r="M34" s="45"/>
      <c r="N34" s="45"/>
      <c r="O34" s="45"/>
      <c r="P34" s="47">
        <f t="shared" si="3"/>
        <v>0</v>
      </c>
      <c r="Q34" s="32"/>
      <c r="R34" s="32"/>
      <c r="S34" s="45"/>
      <c r="T34" s="47">
        <f t="shared" si="4"/>
        <v>0</v>
      </c>
      <c r="U34" s="32"/>
      <c r="V34" s="32"/>
      <c r="W34" s="45"/>
      <c r="X34" s="47">
        <f t="shared" si="5"/>
        <v>0</v>
      </c>
      <c r="Y34" s="28"/>
      <c r="Z34" s="54"/>
      <c r="AA34" s="22"/>
      <c r="AB34" s="49"/>
      <c r="AP34" s="55"/>
      <c r="AQ34" s="3"/>
      <c r="AR34" s="3"/>
      <c r="AS34" s="14"/>
    </row>
    <row r="35" ht="16.5" customHeight="1">
      <c r="A35" s="42">
        <v>29.0</v>
      </c>
      <c r="B35" s="43"/>
      <c r="C35" s="44"/>
      <c r="D35" s="45"/>
      <c r="E35" s="45"/>
      <c r="F35" s="46"/>
      <c r="G35" s="47">
        <f t="shared" si="1"/>
        <v>0</v>
      </c>
      <c r="H35" s="45"/>
      <c r="I35" s="45"/>
      <c r="J35" s="46"/>
      <c r="K35" s="47">
        <f t="shared" si="2"/>
        <v>0</v>
      </c>
      <c r="L35" s="45"/>
      <c r="M35" s="45"/>
      <c r="N35" s="45"/>
      <c r="O35" s="45"/>
      <c r="P35" s="47">
        <f t="shared" si="3"/>
        <v>0</v>
      </c>
      <c r="Q35" s="32"/>
      <c r="R35" s="32"/>
      <c r="S35" s="45"/>
      <c r="T35" s="47">
        <f t="shared" si="4"/>
        <v>0</v>
      </c>
      <c r="U35" s="32"/>
      <c r="V35" s="32"/>
      <c r="W35" s="45"/>
      <c r="X35" s="47">
        <f t="shared" si="5"/>
        <v>0</v>
      </c>
      <c r="Y35" s="28"/>
      <c r="Z35" s="54"/>
      <c r="AA35" s="22"/>
      <c r="AB35" s="49"/>
      <c r="AP35" s="55"/>
      <c r="AQ35" s="3"/>
      <c r="AR35" s="3"/>
      <c r="AS35" s="14"/>
    </row>
    <row r="36" ht="16.5" customHeight="1">
      <c r="A36" s="42">
        <v>30.0</v>
      </c>
      <c r="B36" s="43"/>
      <c r="C36" s="44"/>
      <c r="D36" s="45"/>
      <c r="E36" s="45"/>
      <c r="F36" s="46"/>
      <c r="G36" s="47">
        <f t="shared" si="1"/>
        <v>0</v>
      </c>
      <c r="H36" s="45"/>
      <c r="I36" s="45"/>
      <c r="J36" s="46"/>
      <c r="K36" s="47">
        <f t="shared" si="2"/>
        <v>0</v>
      </c>
      <c r="L36" s="45"/>
      <c r="M36" s="45"/>
      <c r="N36" s="45"/>
      <c r="O36" s="45"/>
      <c r="P36" s="47">
        <f t="shared" si="3"/>
        <v>0</v>
      </c>
      <c r="Q36" s="32"/>
      <c r="R36" s="32"/>
      <c r="S36" s="45"/>
      <c r="T36" s="47">
        <f t="shared" si="4"/>
        <v>0</v>
      </c>
      <c r="U36" s="32"/>
      <c r="V36" s="32"/>
      <c r="W36" s="45"/>
      <c r="X36" s="47">
        <f t="shared" si="5"/>
        <v>0</v>
      </c>
      <c r="Y36" s="28"/>
      <c r="Z36" s="54"/>
      <c r="AA36" s="22"/>
      <c r="AB36" s="49"/>
      <c r="AD36" s="86" t="s">
        <v>0</v>
      </c>
      <c r="AE36" s="9"/>
      <c r="AF36" s="9"/>
      <c r="AG36" s="9"/>
      <c r="AH36" s="9"/>
      <c r="AI36" s="9"/>
      <c r="AJ36" s="9"/>
      <c r="AK36" s="9"/>
      <c r="AL36" s="9"/>
      <c r="AM36" s="19"/>
      <c r="AP36" s="55"/>
      <c r="AQ36" s="3"/>
      <c r="AR36" s="3"/>
      <c r="AS36" s="14"/>
    </row>
    <row r="37" ht="16.5" customHeight="1">
      <c r="A37" s="42">
        <v>31.0</v>
      </c>
      <c r="B37" s="43"/>
      <c r="C37" s="44"/>
      <c r="D37" s="45"/>
      <c r="E37" s="45"/>
      <c r="F37" s="46"/>
      <c r="G37" s="47">
        <f t="shared" si="1"/>
        <v>0</v>
      </c>
      <c r="H37" s="45"/>
      <c r="I37" s="45"/>
      <c r="J37" s="46"/>
      <c r="K37" s="47">
        <f t="shared" si="2"/>
        <v>0</v>
      </c>
      <c r="L37" s="45"/>
      <c r="M37" s="45"/>
      <c r="N37" s="45"/>
      <c r="O37" s="45"/>
      <c r="P37" s="47">
        <f t="shared" si="3"/>
        <v>0</v>
      </c>
      <c r="Q37" s="32"/>
      <c r="R37" s="32"/>
      <c r="S37" s="45"/>
      <c r="T37" s="47">
        <f t="shared" si="4"/>
        <v>0</v>
      </c>
      <c r="U37" s="32"/>
      <c r="V37" s="32"/>
      <c r="W37" s="45"/>
      <c r="X37" s="47">
        <f t="shared" si="5"/>
        <v>0</v>
      </c>
      <c r="Y37" s="28"/>
      <c r="Z37" s="54"/>
      <c r="AA37" s="22"/>
      <c r="AB37" s="49"/>
      <c r="AD37" s="87" t="s">
        <v>44</v>
      </c>
      <c r="AE37" s="9"/>
      <c r="AF37" s="9"/>
      <c r="AG37" s="9"/>
      <c r="AH37" s="19"/>
      <c r="AI37" s="88" t="s">
        <v>36</v>
      </c>
      <c r="AJ37" s="9"/>
      <c r="AK37" s="9"/>
      <c r="AL37" s="9"/>
      <c r="AM37" s="19"/>
      <c r="AP37" s="55"/>
      <c r="AQ37" s="3"/>
      <c r="AR37" s="3"/>
      <c r="AS37" s="14"/>
    </row>
    <row r="38" ht="16.5" customHeight="1">
      <c r="A38" s="42">
        <v>32.0</v>
      </c>
      <c r="B38" s="43"/>
      <c r="C38" s="44"/>
      <c r="D38" s="45"/>
      <c r="E38" s="45"/>
      <c r="F38" s="46"/>
      <c r="G38" s="47">
        <f t="shared" si="1"/>
        <v>0</v>
      </c>
      <c r="H38" s="45"/>
      <c r="I38" s="45"/>
      <c r="J38" s="46"/>
      <c r="K38" s="47">
        <f t="shared" si="2"/>
        <v>0</v>
      </c>
      <c r="L38" s="45"/>
      <c r="M38" s="45"/>
      <c r="N38" s="45"/>
      <c r="O38" s="45"/>
      <c r="P38" s="47">
        <f t="shared" si="3"/>
        <v>0</v>
      </c>
      <c r="Q38" s="32"/>
      <c r="R38" s="32"/>
      <c r="S38" s="45"/>
      <c r="T38" s="47">
        <f t="shared" si="4"/>
        <v>0</v>
      </c>
      <c r="U38" s="32"/>
      <c r="V38" s="32"/>
      <c r="W38" s="45"/>
      <c r="X38" s="47">
        <f t="shared" si="5"/>
        <v>0</v>
      </c>
      <c r="Y38" s="28"/>
      <c r="Z38" s="54"/>
      <c r="AA38" s="22"/>
      <c r="AB38" s="49"/>
      <c r="AD38" s="89" t="s">
        <v>45</v>
      </c>
      <c r="AE38" s="9"/>
      <c r="AF38" s="9"/>
      <c r="AG38" s="9"/>
      <c r="AH38" s="19"/>
      <c r="AI38" s="90" t="s">
        <v>5</v>
      </c>
      <c r="AJ38" s="90" t="s">
        <v>6</v>
      </c>
      <c r="AK38" s="90" t="s">
        <v>7</v>
      </c>
      <c r="AL38" s="90" t="s">
        <v>8</v>
      </c>
      <c r="AM38" s="90" t="s">
        <v>9</v>
      </c>
      <c r="AP38" s="55"/>
      <c r="AQ38" s="3"/>
      <c r="AR38" s="3"/>
      <c r="AS38" s="14"/>
    </row>
    <row r="39" ht="16.5" customHeight="1">
      <c r="A39" s="42">
        <v>33.0</v>
      </c>
      <c r="B39" s="43"/>
      <c r="C39" s="44"/>
      <c r="D39" s="45"/>
      <c r="E39" s="45"/>
      <c r="F39" s="46"/>
      <c r="G39" s="47">
        <f t="shared" si="1"/>
        <v>0</v>
      </c>
      <c r="H39" s="45"/>
      <c r="I39" s="45"/>
      <c r="J39" s="46"/>
      <c r="K39" s="47">
        <f t="shared" si="2"/>
        <v>0</v>
      </c>
      <c r="L39" s="45"/>
      <c r="M39" s="45"/>
      <c r="N39" s="45"/>
      <c r="O39" s="45"/>
      <c r="P39" s="47">
        <f t="shared" si="3"/>
        <v>0</v>
      </c>
      <c r="Q39" s="32"/>
      <c r="R39" s="32"/>
      <c r="S39" s="45"/>
      <c r="T39" s="47">
        <f t="shared" si="4"/>
        <v>0</v>
      </c>
      <c r="U39" s="32"/>
      <c r="V39" s="32"/>
      <c r="W39" s="45"/>
      <c r="X39" s="47">
        <f t="shared" si="5"/>
        <v>0</v>
      </c>
      <c r="Y39" s="28"/>
      <c r="Z39" s="54"/>
      <c r="AA39" s="22"/>
      <c r="AB39" s="49"/>
      <c r="AC39" s="13"/>
      <c r="AD39" s="91" t="s">
        <v>46</v>
      </c>
      <c r="AE39" s="9"/>
      <c r="AF39" s="9"/>
      <c r="AG39" s="9"/>
      <c r="AH39" s="19"/>
      <c r="AI39" s="92">
        <v>3.0</v>
      </c>
      <c r="AJ39" s="92">
        <v>3.0</v>
      </c>
      <c r="AK39" s="92">
        <v>3.0</v>
      </c>
      <c r="AL39" s="92">
        <v>3.0</v>
      </c>
      <c r="AM39" s="92">
        <v>3.0</v>
      </c>
      <c r="AP39" s="55"/>
      <c r="AQ39" s="3"/>
      <c r="AR39" s="3"/>
      <c r="AS39" s="14"/>
    </row>
    <row r="40" ht="16.5" customHeight="1">
      <c r="A40" s="42">
        <v>34.0</v>
      </c>
      <c r="B40" s="43"/>
      <c r="C40" s="44"/>
      <c r="D40" s="45"/>
      <c r="E40" s="45"/>
      <c r="F40" s="46"/>
      <c r="G40" s="47">
        <f t="shared" si="1"/>
        <v>0</v>
      </c>
      <c r="H40" s="45"/>
      <c r="I40" s="45"/>
      <c r="J40" s="46"/>
      <c r="K40" s="47">
        <f t="shared" si="2"/>
        <v>0</v>
      </c>
      <c r="L40" s="45"/>
      <c r="M40" s="45"/>
      <c r="N40" s="45"/>
      <c r="O40" s="45"/>
      <c r="P40" s="47">
        <f t="shared" si="3"/>
        <v>0</v>
      </c>
      <c r="Q40" s="32"/>
      <c r="R40" s="32"/>
      <c r="S40" s="45"/>
      <c r="T40" s="47">
        <f t="shared" si="4"/>
        <v>0</v>
      </c>
      <c r="U40" s="32"/>
      <c r="V40" s="32"/>
      <c r="W40" s="45"/>
      <c r="X40" s="47">
        <f t="shared" si="5"/>
        <v>0</v>
      </c>
      <c r="Y40" s="28"/>
      <c r="Z40" s="54"/>
      <c r="AA40" s="22"/>
      <c r="AB40" s="49"/>
      <c r="AC40" s="13"/>
      <c r="AD40" s="93" t="s">
        <v>47</v>
      </c>
      <c r="AE40" s="9"/>
      <c r="AF40" s="9"/>
      <c r="AG40" s="9"/>
      <c r="AH40" s="19"/>
      <c r="AI40" s="92">
        <v>63.0</v>
      </c>
      <c r="AJ40" s="92">
        <v>63.0</v>
      </c>
      <c r="AK40" s="92">
        <v>62.0</v>
      </c>
      <c r="AL40" s="92">
        <v>53.0</v>
      </c>
      <c r="AM40" s="92">
        <v>54.0</v>
      </c>
      <c r="AP40" s="55"/>
      <c r="AQ40" s="3"/>
      <c r="AR40" s="3"/>
      <c r="AS40" s="14"/>
    </row>
    <row r="41" ht="16.5" customHeight="1">
      <c r="A41" s="42">
        <v>35.0</v>
      </c>
      <c r="B41" s="43"/>
      <c r="C41" s="44"/>
      <c r="D41" s="45"/>
      <c r="E41" s="45"/>
      <c r="F41" s="46"/>
      <c r="G41" s="47">
        <f t="shared" si="1"/>
        <v>0</v>
      </c>
      <c r="H41" s="45"/>
      <c r="I41" s="45"/>
      <c r="J41" s="46"/>
      <c r="K41" s="47">
        <f t="shared" si="2"/>
        <v>0</v>
      </c>
      <c r="L41" s="45"/>
      <c r="M41" s="45"/>
      <c r="N41" s="45"/>
      <c r="O41" s="45"/>
      <c r="P41" s="47">
        <f t="shared" si="3"/>
        <v>0</v>
      </c>
      <c r="Q41" s="32"/>
      <c r="R41" s="32"/>
      <c r="S41" s="45"/>
      <c r="T41" s="47">
        <f t="shared" si="4"/>
        <v>0</v>
      </c>
      <c r="U41" s="32"/>
      <c r="V41" s="32"/>
      <c r="W41" s="45"/>
      <c r="X41" s="47">
        <f t="shared" si="5"/>
        <v>0</v>
      </c>
      <c r="Y41" s="28"/>
      <c r="Z41" s="54"/>
      <c r="AA41" s="22"/>
      <c r="AB41" s="49"/>
      <c r="AD41" s="94" t="s">
        <v>48</v>
      </c>
      <c r="AE41" s="9"/>
      <c r="AF41" s="9"/>
      <c r="AG41" s="9"/>
      <c r="AH41" s="19"/>
      <c r="AI41" s="95">
        <v>100.0</v>
      </c>
      <c r="AJ41" s="96">
        <v>100.0</v>
      </c>
      <c r="AK41" s="96">
        <v>98.4126984126984</v>
      </c>
      <c r="AL41" s="96">
        <v>84.12698412698413</v>
      </c>
      <c r="AM41" s="96">
        <v>85.71428571428571</v>
      </c>
      <c r="AP41" s="55"/>
      <c r="AQ41" s="3"/>
      <c r="AR41" s="3"/>
      <c r="AS41" s="14"/>
    </row>
    <row r="42" ht="16.5" customHeight="1">
      <c r="A42" s="42">
        <v>36.0</v>
      </c>
      <c r="B42" s="43"/>
      <c r="C42" s="44"/>
      <c r="D42" s="45"/>
      <c r="E42" s="45"/>
      <c r="F42" s="46"/>
      <c r="G42" s="47">
        <f t="shared" si="1"/>
        <v>0</v>
      </c>
      <c r="H42" s="45"/>
      <c r="I42" s="45"/>
      <c r="J42" s="46"/>
      <c r="K42" s="47">
        <f t="shared" si="2"/>
        <v>0</v>
      </c>
      <c r="L42" s="45"/>
      <c r="M42" s="45"/>
      <c r="N42" s="45"/>
      <c r="O42" s="45"/>
      <c r="P42" s="47">
        <f t="shared" si="3"/>
        <v>0</v>
      </c>
      <c r="Q42" s="32"/>
      <c r="R42" s="32"/>
      <c r="S42" s="45"/>
      <c r="T42" s="47">
        <f t="shared" si="4"/>
        <v>0</v>
      </c>
      <c r="U42" s="32"/>
      <c r="V42" s="32"/>
      <c r="W42" s="45"/>
      <c r="X42" s="47">
        <f t="shared" si="5"/>
        <v>0</v>
      </c>
      <c r="Y42" s="28"/>
      <c r="Z42" s="54"/>
      <c r="AA42" s="22"/>
      <c r="AB42" s="49"/>
      <c r="AD42" s="97" t="s">
        <v>49</v>
      </c>
      <c r="AE42" s="98"/>
      <c r="AF42" s="98"/>
      <c r="AG42" s="98"/>
      <c r="AH42" s="99"/>
      <c r="AI42" s="100">
        <f t="shared" ref="AI42:AM42" si="6">IF(AI41&gt;$AF$17,3,(IF(AI41&gt;=$AF$16,2,(IF(AI41&gt;$AF$15,1,0)))))</f>
        <v>3</v>
      </c>
      <c r="AJ42" s="101">
        <f t="shared" si="6"/>
        <v>3</v>
      </c>
      <c r="AK42" s="101">
        <f t="shared" si="6"/>
        <v>3</v>
      </c>
      <c r="AL42" s="101">
        <f t="shared" si="6"/>
        <v>3</v>
      </c>
      <c r="AM42" s="101">
        <f t="shared" si="6"/>
        <v>3</v>
      </c>
      <c r="AP42" s="55"/>
      <c r="AQ42" s="3"/>
      <c r="AR42" s="3"/>
      <c r="AS42" s="14"/>
    </row>
    <row r="43" ht="16.5" customHeight="1">
      <c r="A43" s="42">
        <v>37.0</v>
      </c>
      <c r="B43" s="43"/>
      <c r="C43" s="44"/>
      <c r="D43" s="45"/>
      <c r="E43" s="45"/>
      <c r="F43" s="46"/>
      <c r="G43" s="47">
        <f t="shared" si="1"/>
        <v>0</v>
      </c>
      <c r="H43" s="45"/>
      <c r="I43" s="45"/>
      <c r="J43" s="46"/>
      <c r="K43" s="47">
        <f t="shared" si="2"/>
        <v>0</v>
      </c>
      <c r="L43" s="45"/>
      <c r="M43" s="45"/>
      <c r="N43" s="45"/>
      <c r="O43" s="45"/>
      <c r="P43" s="47">
        <f t="shared" si="3"/>
        <v>0</v>
      </c>
      <c r="Q43" s="32"/>
      <c r="R43" s="32"/>
      <c r="S43" s="45"/>
      <c r="T43" s="47">
        <f t="shared" si="4"/>
        <v>0</v>
      </c>
      <c r="U43" s="32"/>
      <c r="V43" s="32"/>
      <c r="W43" s="45"/>
      <c r="X43" s="47">
        <f t="shared" si="5"/>
        <v>0</v>
      </c>
      <c r="Y43" s="28"/>
      <c r="Z43" s="54"/>
      <c r="AA43" s="22"/>
      <c r="AB43" s="49"/>
      <c r="AD43" s="102" t="s">
        <v>50</v>
      </c>
      <c r="AE43" s="6"/>
      <c r="AF43" s="6"/>
      <c r="AG43" s="6"/>
      <c r="AH43" s="6"/>
      <c r="AI43" s="6"/>
      <c r="AJ43" s="6"/>
      <c r="AK43" s="6"/>
      <c r="AL43" s="6"/>
      <c r="AM43" s="7"/>
      <c r="AP43" s="55"/>
      <c r="AQ43" s="3"/>
      <c r="AR43" s="3"/>
      <c r="AS43" s="14"/>
    </row>
    <row r="44" ht="16.5" customHeight="1">
      <c r="A44" s="42">
        <v>38.0</v>
      </c>
      <c r="B44" s="43"/>
      <c r="C44" s="44"/>
      <c r="D44" s="45"/>
      <c r="E44" s="45"/>
      <c r="F44" s="46"/>
      <c r="G44" s="47">
        <f t="shared" si="1"/>
        <v>0</v>
      </c>
      <c r="H44" s="45"/>
      <c r="I44" s="45"/>
      <c r="J44" s="46"/>
      <c r="K44" s="47">
        <f t="shared" si="2"/>
        <v>0</v>
      </c>
      <c r="L44" s="45"/>
      <c r="M44" s="45"/>
      <c r="N44" s="45"/>
      <c r="O44" s="45"/>
      <c r="P44" s="47">
        <f t="shared" si="3"/>
        <v>0</v>
      </c>
      <c r="Q44" s="32"/>
      <c r="R44" s="32"/>
      <c r="S44" s="45"/>
      <c r="T44" s="47">
        <f t="shared" si="4"/>
        <v>0</v>
      </c>
      <c r="U44" s="32"/>
      <c r="V44" s="32"/>
      <c r="W44" s="45"/>
      <c r="X44" s="47">
        <f t="shared" si="5"/>
        <v>0</v>
      </c>
      <c r="Y44" s="28"/>
      <c r="Z44" s="54"/>
      <c r="AA44" s="22"/>
      <c r="AB44" s="49"/>
      <c r="AD44" s="63"/>
      <c r="AM44" s="64"/>
      <c r="AP44" s="55"/>
      <c r="AQ44" s="3"/>
      <c r="AR44" s="3"/>
      <c r="AS44" s="14"/>
    </row>
    <row r="45" ht="16.5" customHeight="1">
      <c r="A45" s="42">
        <v>39.0</v>
      </c>
      <c r="B45" s="43"/>
      <c r="C45" s="44"/>
      <c r="D45" s="45"/>
      <c r="E45" s="45"/>
      <c r="F45" s="46"/>
      <c r="G45" s="47">
        <f t="shared" si="1"/>
        <v>0</v>
      </c>
      <c r="H45" s="45"/>
      <c r="I45" s="45"/>
      <c r="J45" s="46"/>
      <c r="K45" s="47">
        <f t="shared" si="2"/>
        <v>0</v>
      </c>
      <c r="L45" s="45"/>
      <c r="M45" s="45"/>
      <c r="N45" s="45"/>
      <c r="O45" s="45"/>
      <c r="P45" s="47">
        <f t="shared" si="3"/>
        <v>0</v>
      </c>
      <c r="Q45" s="32"/>
      <c r="R45" s="32"/>
      <c r="S45" s="45"/>
      <c r="T45" s="47">
        <f t="shared" si="4"/>
        <v>0</v>
      </c>
      <c r="U45" s="32"/>
      <c r="V45" s="32"/>
      <c r="W45" s="45"/>
      <c r="X45" s="47">
        <f t="shared" si="5"/>
        <v>0</v>
      </c>
      <c r="Y45" s="28"/>
      <c r="Z45" s="54"/>
      <c r="AA45" s="22"/>
      <c r="AB45" s="49"/>
      <c r="AD45" s="63"/>
      <c r="AM45" s="64"/>
      <c r="AP45" s="55"/>
      <c r="AQ45" s="3"/>
      <c r="AR45" s="3"/>
      <c r="AS45" s="14"/>
    </row>
    <row r="46" ht="16.5" customHeight="1">
      <c r="A46" s="42">
        <v>40.0</v>
      </c>
      <c r="B46" s="43"/>
      <c r="C46" s="44"/>
      <c r="D46" s="45"/>
      <c r="E46" s="45"/>
      <c r="F46" s="46"/>
      <c r="G46" s="47">
        <f t="shared" si="1"/>
        <v>0</v>
      </c>
      <c r="H46" s="45"/>
      <c r="I46" s="45"/>
      <c r="J46" s="46"/>
      <c r="K46" s="47">
        <f t="shared" si="2"/>
        <v>0</v>
      </c>
      <c r="L46" s="45"/>
      <c r="M46" s="45"/>
      <c r="N46" s="45"/>
      <c r="O46" s="45"/>
      <c r="P46" s="47">
        <f t="shared" si="3"/>
        <v>0</v>
      </c>
      <c r="Q46" s="32"/>
      <c r="R46" s="32"/>
      <c r="S46" s="45"/>
      <c r="T46" s="47">
        <f t="shared" si="4"/>
        <v>0</v>
      </c>
      <c r="U46" s="32"/>
      <c r="V46" s="32"/>
      <c r="W46" s="45"/>
      <c r="X46" s="47">
        <f t="shared" si="5"/>
        <v>0</v>
      </c>
      <c r="Y46" s="28"/>
      <c r="Z46" s="54"/>
      <c r="AA46" s="22"/>
      <c r="AB46" s="49"/>
      <c r="AD46" s="63"/>
      <c r="AM46" s="64"/>
      <c r="AP46" s="55"/>
      <c r="AQ46" s="3"/>
      <c r="AR46" s="3"/>
      <c r="AS46" s="14"/>
    </row>
    <row r="47" ht="16.5" customHeight="1">
      <c r="A47" s="42">
        <v>41.0</v>
      </c>
      <c r="B47" s="43"/>
      <c r="C47" s="44"/>
      <c r="D47" s="45"/>
      <c r="E47" s="45"/>
      <c r="F47" s="46"/>
      <c r="G47" s="47">
        <f t="shared" si="1"/>
        <v>0</v>
      </c>
      <c r="H47" s="45"/>
      <c r="I47" s="45"/>
      <c r="J47" s="46"/>
      <c r="K47" s="47">
        <f t="shared" si="2"/>
        <v>0</v>
      </c>
      <c r="L47" s="45"/>
      <c r="M47" s="45"/>
      <c r="N47" s="45"/>
      <c r="O47" s="45"/>
      <c r="P47" s="47">
        <f t="shared" si="3"/>
        <v>0</v>
      </c>
      <c r="Q47" s="32"/>
      <c r="R47" s="32"/>
      <c r="S47" s="45"/>
      <c r="T47" s="47">
        <f t="shared" si="4"/>
        <v>0</v>
      </c>
      <c r="U47" s="32"/>
      <c r="V47" s="32"/>
      <c r="W47" s="45"/>
      <c r="X47" s="47">
        <f t="shared" si="5"/>
        <v>0</v>
      </c>
      <c r="Y47" s="28"/>
      <c r="Z47" s="54"/>
      <c r="AA47" s="22"/>
      <c r="AB47" s="49"/>
      <c r="AD47" s="63"/>
      <c r="AM47" s="64"/>
      <c r="AP47" s="55"/>
      <c r="AQ47" s="3"/>
      <c r="AR47" s="3"/>
      <c r="AS47" s="14"/>
    </row>
    <row r="48" ht="16.5" customHeight="1">
      <c r="A48" s="42">
        <v>42.0</v>
      </c>
      <c r="B48" s="43"/>
      <c r="C48" s="44"/>
      <c r="D48" s="45"/>
      <c r="E48" s="45"/>
      <c r="F48" s="46"/>
      <c r="G48" s="47">
        <f t="shared" si="1"/>
        <v>0</v>
      </c>
      <c r="H48" s="45"/>
      <c r="I48" s="45"/>
      <c r="J48" s="46"/>
      <c r="K48" s="47">
        <f t="shared" si="2"/>
        <v>0</v>
      </c>
      <c r="L48" s="45"/>
      <c r="M48" s="45"/>
      <c r="N48" s="45"/>
      <c r="O48" s="45"/>
      <c r="P48" s="47">
        <f t="shared" si="3"/>
        <v>0</v>
      </c>
      <c r="Q48" s="32"/>
      <c r="R48" s="32"/>
      <c r="S48" s="45"/>
      <c r="T48" s="47">
        <f t="shared" si="4"/>
        <v>0</v>
      </c>
      <c r="U48" s="32"/>
      <c r="V48" s="32"/>
      <c r="W48" s="45"/>
      <c r="X48" s="47">
        <f t="shared" si="5"/>
        <v>0</v>
      </c>
      <c r="Y48" s="28"/>
      <c r="Z48" s="54"/>
      <c r="AA48" s="22"/>
      <c r="AB48" s="49"/>
      <c r="AD48" s="66"/>
      <c r="AE48" s="75"/>
      <c r="AF48" s="75"/>
      <c r="AG48" s="75"/>
      <c r="AH48" s="75"/>
      <c r="AI48" s="75"/>
      <c r="AJ48" s="75"/>
      <c r="AK48" s="75"/>
      <c r="AL48" s="75"/>
      <c r="AM48" s="67"/>
      <c r="AP48" s="55"/>
      <c r="AQ48" s="3"/>
      <c r="AR48" s="3"/>
      <c r="AS48" s="14"/>
    </row>
    <row r="49" ht="16.5" customHeight="1">
      <c r="A49" s="42">
        <v>43.0</v>
      </c>
      <c r="B49" s="43"/>
      <c r="C49" s="44"/>
      <c r="D49" s="45"/>
      <c r="E49" s="45"/>
      <c r="F49" s="46"/>
      <c r="G49" s="47">
        <f t="shared" si="1"/>
        <v>0</v>
      </c>
      <c r="H49" s="45"/>
      <c r="I49" s="45"/>
      <c r="J49" s="46"/>
      <c r="K49" s="47">
        <f t="shared" si="2"/>
        <v>0</v>
      </c>
      <c r="L49" s="45"/>
      <c r="M49" s="45"/>
      <c r="N49" s="45"/>
      <c r="O49" s="45"/>
      <c r="P49" s="47">
        <f t="shared" si="3"/>
        <v>0</v>
      </c>
      <c r="Q49" s="32"/>
      <c r="R49" s="32"/>
      <c r="S49" s="45"/>
      <c r="T49" s="47">
        <f t="shared" si="4"/>
        <v>0</v>
      </c>
      <c r="U49" s="32"/>
      <c r="V49" s="32"/>
      <c r="W49" s="45"/>
      <c r="X49" s="47">
        <f t="shared" si="5"/>
        <v>0</v>
      </c>
      <c r="Y49" s="28"/>
      <c r="Z49" s="54"/>
      <c r="AA49" s="22"/>
      <c r="AB49" s="49"/>
      <c r="AP49" s="55"/>
      <c r="AQ49" s="3"/>
      <c r="AR49" s="3"/>
      <c r="AS49" s="14"/>
    </row>
    <row r="50" ht="16.5" customHeight="1">
      <c r="A50" s="42">
        <v>44.0</v>
      </c>
      <c r="B50" s="43"/>
      <c r="C50" s="44"/>
      <c r="D50" s="45"/>
      <c r="E50" s="45"/>
      <c r="F50" s="46"/>
      <c r="G50" s="47">
        <f t="shared" si="1"/>
        <v>0</v>
      </c>
      <c r="H50" s="45"/>
      <c r="I50" s="45"/>
      <c r="J50" s="46"/>
      <c r="K50" s="47">
        <f t="shared" si="2"/>
        <v>0</v>
      </c>
      <c r="L50" s="45"/>
      <c r="M50" s="45"/>
      <c r="N50" s="45"/>
      <c r="O50" s="45"/>
      <c r="P50" s="47">
        <f t="shared" si="3"/>
        <v>0</v>
      </c>
      <c r="Q50" s="32"/>
      <c r="R50" s="32"/>
      <c r="S50" s="45"/>
      <c r="T50" s="47">
        <f t="shared" si="4"/>
        <v>0</v>
      </c>
      <c r="U50" s="32"/>
      <c r="V50" s="32"/>
      <c r="W50" s="45"/>
      <c r="X50" s="47">
        <f t="shared" si="5"/>
        <v>0</v>
      </c>
      <c r="Y50" s="28"/>
      <c r="Z50" s="54"/>
      <c r="AA50" s="22"/>
      <c r="AB50" s="49"/>
      <c r="AP50" s="55"/>
      <c r="AQ50" s="3"/>
      <c r="AR50" s="3"/>
      <c r="AS50" s="14"/>
    </row>
    <row r="51" ht="16.5" customHeight="1">
      <c r="A51" s="42">
        <v>45.0</v>
      </c>
      <c r="B51" s="43"/>
      <c r="C51" s="44"/>
      <c r="D51" s="45"/>
      <c r="E51" s="45"/>
      <c r="F51" s="46"/>
      <c r="G51" s="47">
        <f t="shared" si="1"/>
        <v>0</v>
      </c>
      <c r="H51" s="45"/>
      <c r="I51" s="45"/>
      <c r="J51" s="46"/>
      <c r="K51" s="47">
        <f t="shared" si="2"/>
        <v>0</v>
      </c>
      <c r="L51" s="45"/>
      <c r="M51" s="45"/>
      <c r="N51" s="45"/>
      <c r="O51" s="45"/>
      <c r="P51" s="47">
        <f t="shared" si="3"/>
        <v>0</v>
      </c>
      <c r="Q51" s="32"/>
      <c r="R51" s="32"/>
      <c r="S51" s="45"/>
      <c r="T51" s="47">
        <f t="shared" si="4"/>
        <v>0</v>
      </c>
      <c r="U51" s="32"/>
      <c r="V51" s="32"/>
      <c r="W51" s="45"/>
      <c r="X51" s="47">
        <f t="shared" si="5"/>
        <v>0</v>
      </c>
      <c r="Y51" s="28"/>
      <c r="Z51" s="54"/>
      <c r="AA51" s="22"/>
      <c r="AB51" s="49"/>
      <c r="AP51" s="55"/>
      <c r="AQ51" s="3"/>
      <c r="AR51" s="3"/>
      <c r="AS51" s="14"/>
    </row>
    <row r="52" ht="16.5" customHeight="1">
      <c r="A52" s="42">
        <v>46.0</v>
      </c>
      <c r="B52" s="43"/>
      <c r="C52" s="44"/>
      <c r="D52" s="45"/>
      <c r="E52" s="45"/>
      <c r="F52" s="46"/>
      <c r="G52" s="47">
        <f t="shared" si="1"/>
        <v>0</v>
      </c>
      <c r="H52" s="45"/>
      <c r="I52" s="45"/>
      <c r="J52" s="46"/>
      <c r="K52" s="47">
        <f t="shared" si="2"/>
        <v>0</v>
      </c>
      <c r="L52" s="45"/>
      <c r="M52" s="45"/>
      <c r="N52" s="45"/>
      <c r="O52" s="45"/>
      <c r="P52" s="47">
        <f t="shared" si="3"/>
        <v>0</v>
      </c>
      <c r="Q52" s="32"/>
      <c r="R52" s="32"/>
      <c r="S52" s="45"/>
      <c r="T52" s="47">
        <f t="shared" si="4"/>
        <v>0</v>
      </c>
      <c r="U52" s="32"/>
      <c r="V52" s="32"/>
      <c r="W52" s="45"/>
      <c r="X52" s="47">
        <f t="shared" si="5"/>
        <v>0</v>
      </c>
      <c r="Y52" s="28"/>
      <c r="Z52" s="54"/>
      <c r="AA52" s="22"/>
      <c r="AB52" s="49"/>
      <c r="AP52" s="55"/>
      <c r="AQ52" s="3"/>
      <c r="AR52" s="3"/>
      <c r="AS52" s="14"/>
    </row>
    <row r="53" ht="16.5" customHeight="1">
      <c r="A53" s="42">
        <v>47.0</v>
      </c>
      <c r="B53" s="43"/>
      <c r="C53" s="44"/>
      <c r="D53" s="45"/>
      <c r="E53" s="45"/>
      <c r="F53" s="46"/>
      <c r="G53" s="47">
        <f t="shared" si="1"/>
        <v>0</v>
      </c>
      <c r="H53" s="45"/>
      <c r="I53" s="45"/>
      <c r="J53" s="46"/>
      <c r="K53" s="47">
        <f t="shared" si="2"/>
        <v>0</v>
      </c>
      <c r="L53" s="45"/>
      <c r="M53" s="45"/>
      <c r="N53" s="45"/>
      <c r="O53" s="45"/>
      <c r="P53" s="47">
        <f t="shared" si="3"/>
        <v>0</v>
      </c>
      <c r="Q53" s="32"/>
      <c r="R53" s="32"/>
      <c r="S53" s="45"/>
      <c r="T53" s="47">
        <f t="shared" si="4"/>
        <v>0</v>
      </c>
      <c r="U53" s="32"/>
      <c r="V53" s="32"/>
      <c r="W53" s="45"/>
      <c r="X53" s="47">
        <f t="shared" si="5"/>
        <v>0</v>
      </c>
      <c r="Y53" s="28"/>
      <c r="Z53" s="54"/>
      <c r="AA53" s="22"/>
      <c r="AB53" s="49"/>
      <c r="AP53" s="55"/>
      <c r="AQ53" s="3"/>
      <c r="AR53" s="3"/>
      <c r="AS53" s="14"/>
    </row>
    <row r="54" ht="16.5" customHeight="1">
      <c r="A54" s="42">
        <v>48.0</v>
      </c>
      <c r="B54" s="43"/>
      <c r="C54" s="44"/>
      <c r="D54" s="45"/>
      <c r="E54" s="45"/>
      <c r="F54" s="46"/>
      <c r="G54" s="47">
        <f t="shared" si="1"/>
        <v>0</v>
      </c>
      <c r="H54" s="45"/>
      <c r="I54" s="45"/>
      <c r="J54" s="46"/>
      <c r="K54" s="47">
        <f t="shared" si="2"/>
        <v>0</v>
      </c>
      <c r="L54" s="45"/>
      <c r="M54" s="45"/>
      <c r="N54" s="45"/>
      <c r="O54" s="45"/>
      <c r="P54" s="47">
        <f t="shared" si="3"/>
        <v>0</v>
      </c>
      <c r="Q54" s="32"/>
      <c r="R54" s="32"/>
      <c r="S54" s="45"/>
      <c r="T54" s="47">
        <f t="shared" si="4"/>
        <v>0</v>
      </c>
      <c r="U54" s="32"/>
      <c r="V54" s="32"/>
      <c r="W54" s="45"/>
      <c r="X54" s="47">
        <f t="shared" si="5"/>
        <v>0</v>
      </c>
      <c r="Y54" s="28"/>
      <c r="Z54" s="54"/>
      <c r="AA54" s="22"/>
      <c r="AB54" s="49"/>
      <c r="AP54" s="55"/>
      <c r="AQ54" s="3"/>
      <c r="AR54" s="3"/>
      <c r="AS54" s="14"/>
    </row>
    <row r="55" ht="16.5" customHeight="1">
      <c r="A55" s="42">
        <v>49.0</v>
      </c>
      <c r="B55" s="43"/>
      <c r="C55" s="44"/>
      <c r="D55" s="45"/>
      <c r="E55" s="45"/>
      <c r="F55" s="46"/>
      <c r="G55" s="47">
        <f t="shared" si="1"/>
        <v>0</v>
      </c>
      <c r="H55" s="45"/>
      <c r="I55" s="45"/>
      <c r="J55" s="46"/>
      <c r="K55" s="47">
        <f t="shared" si="2"/>
        <v>0</v>
      </c>
      <c r="L55" s="45"/>
      <c r="M55" s="45"/>
      <c r="N55" s="45"/>
      <c r="O55" s="45"/>
      <c r="P55" s="47">
        <f t="shared" si="3"/>
        <v>0</v>
      </c>
      <c r="Q55" s="32"/>
      <c r="R55" s="32"/>
      <c r="S55" s="45"/>
      <c r="T55" s="47">
        <f t="shared" si="4"/>
        <v>0</v>
      </c>
      <c r="U55" s="32"/>
      <c r="V55" s="32"/>
      <c r="W55" s="45"/>
      <c r="X55" s="47">
        <f t="shared" si="5"/>
        <v>0</v>
      </c>
      <c r="Y55" s="28"/>
      <c r="Z55" s="54"/>
      <c r="AA55" s="22"/>
      <c r="AB55" s="49"/>
      <c r="AP55" s="55"/>
      <c r="AQ55" s="3"/>
      <c r="AR55" s="3"/>
      <c r="AS55" s="14"/>
    </row>
    <row r="56" ht="16.5" customHeight="1">
      <c r="A56" s="42">
        <v>50.0</v>
      </c>
      <c r="B56" s="43"/>
      <c r="C56" s="44"/>
      <c r="D56" s="45"/>
      <c r="E56" s="45"/>
      <c r="F56" s="46"/>
      <c r="G56" s="47">
        <f t="shared" si="1"/>
        <v>0</v>
      </c>
      <c r="H56" s="45"/>
      <c r="I56" s="45"/>
      <c r="J56" s="46"/>
      <c r="K56" s="47">
        <f t="shared" si="2"/>
        <v>0</v>
      </c>
      <c r="L56" s="45"/>
      <c r="M56" s="45"/>
      <c r="N56" s="45"/>
      <c r="O56" s="45"/>
      <c r="P56" s="47">
        <f t="shared" si="3"/>
        <v>0</v>
      </c>
      <c r="Q56" s="32"/>
      <c r="R56" s="32"/>
      <c r="S56" s="45"/>
      <c r="T56" s="47">
        <f t="shared" si="4"/>
        <v>0</v>
      </c>
      <c r="U56" s="32"/>
      <c r="V56" s="32"/>
      <c r="W56" s="45"/>
      <c r="X56" s="47">
        <f t="shared" si="5"/>
        <v>0</v>
      </c>
      <c r="Y56" s="28"/>
      <c r="Z56" s="54"/>
      <c r="AA56" s="22"/>
      <c r="AB56" s="49"/>
      <c r="AP56" s="55"/>
      <c r="AQ56" s="3"/>
      <c r="AR56" s="3"/>
      <c r="AS56" s="14"/>
    </row>
    <row r="57" ht="16.5" customHeight="1">
      <c r="A57" s="42">
        <v>51.0</v>
      </c>
      <c r="B57" s="43"/>
      <c r="C57" s="44"/>
      <c r="D57" s="45"/>
      <c r="E57" s="45"/>
      <c r="F57" s="46"/>
      <c r="G57" s="47">
        <f t="shared" si="1"/>
        <v>0</v>
      </c>
      <c r="H57" s="45"/>
      <c r="I57" s="45"/>
      <c r="J57" s="46"/>
      <c r="K57" s="47">
        <f t="shared" si="2"/>
        <v>0</v>
      </c>
      <c r="L57" s="45"/>
      <c r="M57" s="45"/>
      <c r="N57" s="45"/>
      <c r="O57" s="45"/>
      <c r="P57" s="47">
        <f t="shared" si="3"/>
        <v>0</v>
      </c>
      <c r="Q57" s="32"/>
      <c r="R57" s="32"/>
      <c r="S57" s="45"/>
      <c r="T57" s="47">
        <f t="shared" si="4"/>
        <v>0</v>
      </c>
      <c r="U57" s="32"/>
      <c r="V57" s="32"/>
      <c r="W57" s="45"/>
      <c r="X57" s="47">
        <f t="shared" si="5"/>
        <v>0</v>
      </c>
      <c r="Y57" s="28"/>
      <c r="Z57" s="54"/>
      <c r="AA57" s="22"/>
      <c r="AB57" s="49"/>
      <c r="AP57" s="55"/>
      <c r="AQ57" s="3"/>
      <c r="AR57" s="3"/>
      <c r="AS57" s="14"/>
    </row>
    <row r="58" ht="16.5" customHeight="1">
      <c r="A58" s="42">
        <v>52.0</v>
      </c>
      <c r="B58" s="43"/>
      <c r="C58" s="44"/>
      <c r="D58" s="45"/>
      <c r="E58" s="45"/>
      <c r="F58" s="46"/>
      <c r="G58" s="47">
        <f t="shared" si="1"/>
        <v>0</v>
      </c>
      <c r="H58" s="45"/>
      <c r="I58" s="45"/>
      <c r="J58" s="46"/>
      <c r="K58" s="47">
        <f t="shared" si="2"/>
        <v>0</v>
      </c>
      <c r="L58" s="45"/>
      <c r="M58" s="45"/>
      <c r="N58" s="45"/>
      <c r="O58" s="45"/>
      <c r="P58" s="47">
        <f t="shared" si="3"/>
        <v>0</v>
      </c>
      <c r="Q58" s="32"/>
      <c r="R58" s="32"/>
      <c r="S58" s="45"/>
      <c r="T58" s="47">
        <f t="shared" si="4"/>
        <v>0</v>
      </c>
      <c r="U58" s="32"/>
      <c r="V58" s="32"/>
      <c r="W58" s="45"/>
      <c r="X58" s="47">
        <f t="shared" si="5"/>
        <v>0</v>
      </c>
      <c r="Y58" s="28"/>
      <c r="Z58" s="54"/>
      <c r="AA58" s="22"/>
      <c r="AB58" s="49"/>
      <c r="AP58" s="55"/>
      <c r="AQ58" s="3"/>
      <c r="AR58" s="3"/>
      <c r="AS58" s="14"/>
    </row>
    <row r="59" ht="16.5" customHeight="1">
      <c r="A59" s="42">
        <v>53.0</v>
      </c>
      <c r="B59" s="43"/>
      <c r="C59" s="44"/>
      <c r="D59" s="45"/>
      <c r="E59" s="45"/>
      <c r="F59" s="46"/>
      <c r="G59" s="47">
        <f t="shared" si="1"/>
        <v>0</v>
      </c>
      <c r="H59" s="45"/>
      <c r="I59" s="45"/>
      <c r="J59" s="46"/>
      <c r="K59" s="47">
        <f t="shared" si="2"/>
        <v>0</v>
      </c>
      <c r="L59" s="45"/>
      <c r="M59" s="45"/>
      <c r="N59" s="45"/>
      <c r="O59" s="45"/>
      <c r="P59" s="47">
        <f t="shared" si="3"/>
        <v>0</v>
      </c>
      <c r="Q59" s="32"/>
      <c r="R59" s="32"/>
      <c r="S59" s="45"/>
      <c r="T59" s="47">
        <f t="shared" si="4"/>
        <v>0</v>
      </c>
      <c r="U59" s="32"/>
      <c r="V59" s="32"/>
      <c r="W59" s="45"/>
      <c r="X59" s="47">
        <f t="shared" si="5"/>
        <v>0</v>
      </c>
      <c r="Y59" s="28"/>
      <c r="Z59" s="54"/>
      <c r="AA59" s="22"/>
      <c r="AB59" s="49"/>
      <c r="AP59" s="55"/>
      <c r="AQ59" s="3"/>
      <c r="AR59" s="3"/>
      <c r="AS59" s="14"/>
    </row>
    <row r="60" ht="16.5" customHeight="1">
      <c r="A60" s="42">
        <v>54.0</v>
      </c>
      <c r="B60" s="43"/>
      <c r="C60" s="44"/>
      <c r="D60" s="45"/>
      <c r="E60" s="45"/>
      <c r="F60" s="46"/>
      <c r="G60" s="47">
        <f t="shared" si="1"/>
        <v>0</v>
      </c>
      <c r="H60" s="45"/>
      <c r="I60" s="45"/>
      <c r="J60" s="46"/>
      <c r="K60" s="47">
        <f t="shared" si="2"/>
        <v>0</v>
      </c>
      <c r="L60" s="45"/>
      <c r="M60" s="45"/>
      <c r="N60" s="45"/>
      <c r="O60" s="45"/>
      <c r="P60" s="47">
        <f t="shared" si="3"/>
        <v>0</v>
      </c>
      <c r="Q60" s="32"/>
      <c r="R60" s="32"/>
      <c r="S60" s="45"/>
      <c r="T60" s="47">
        <f t="shared" si="4"/>
        <v>0</v>
      </c>
      <c r="U60" s="32"/>
      <c r="V60" s="32"/>
      <c r="W60" s="45"/>
      <c r="X60" s="47">
        <f t="shared" si="5"/>
        <v>0</v>
      </c>
      <c r="Y60" s="28"/>
      <c r="Z60" s="54"/>
      <c r="AA60" s="22"/>
      <c r="AB60" s="49"/>
      <c r="AP60" s="55"/>
      <c r="AQ60" s="3"/>
      <c r="AR60" s="3"/>
      <c r="AS60" s="14"/>
    </row>
    <row r="61" ht="16.5" customHeight="1">
      <c r="A61" s="42">
        <v>55.0</v>
      </c>
      <c r="B61" s="43"/>
      <c r="C61" s="44"/>
      <c r="D61" s="45"/>
      <c r="E61" s="45"/>
      <c r="F61" s="46"/>
      <c r="G61" s="47">
        <f t="shared" si="1"/>
        <v>0</v>
      </c>
      <c r="H61" s="45"/>
      <c r="I61" s="45"/>
      <c r="J61" s="46"/>
      <c r="K61" s="47">
        <f t="shared" si="2"/>
        <v>0</v>
      </c>
      <c r="L61" s="45"/>
      <c r="M61" s="45"/>
      <c r="N61" s="45"/>
      <c r="O61" s="45"/>
      <c r="P61" s="47">
        <f t="shared" si="3"/>
        <v>0</v>
      </c>
      <c r="Q61" s="32"/>
      <c r="R61" s="32"/>
      <c r="S61" s="45"/>
      <c r="T61" s="47">
        <f t="shared" si="4"/>
        <v>0</v>
      </c>
      <c r="U61" s="32"/>
      <c r="V61" s="32"/>
      <c r="W61" s="45"/>
      <c r="X61" s="47">
        <f t="shared" si="5"/>
        <v>0</v>
      </c>
      <c r="Y61" s="28"/>
      <c r="Z61" s="54"/>
      <c r="AA61" s="22"/>
      <c r="AB61" s="49"/>
      <c r="AP61" s="55"/>
      <c r="AQ61" s="3"/>
      <c r="AR61" s="3"/>
      <c r="AS61" s="14"/>
    </row>
    <row r="62" ht="16.5" customHeight="1">
      <c r="A62" s="42">
        <v>56.0</v>
      </c>
      <c r="B62" s="43"/>
      <c r="C62" s="44"/>
      <c r="D62" s="45"/>
      <c r="E62" s="45"/>
      <c r="F62" s="46"/>
      <c r="G62" s="47">
        <f t="shared" si="1"/>
        <v>0</v>
      </c>
      <c r="H62" s="45"/>
      <c r="I62" s="45"/>
      <c r="J62" s="46"/>
      <c r="K62" s="47">
        <f t="shared" si="2"/>
        <v>0</v>
      </c>
      <c r="L62" s="45"/>
      <c r="M62" s="45"/>
      <c r="N62" s="45"/>
      <c r="O62" s="45"/>
      <c r="P62" s="47">
        <f t="shared" si="3"/>
        <v>0</v>
      </c>
      <c r="Q62" s="32"/>
      <c r="R62" s="32"/>
      <c r="S62" s="45"/>
      <c r="T62" s="47">
        <f t="shared" si="4"/>
        <v>0</v>
      </c>
      <c r="U62" s="32"/>
      <c r="V62" s="32"/>
      <c r="W62" s="45"/>
      <c r="X62" s="47">
        <f t="shared" si="5"/>
        <v>0</v>
      </c>
      <c r="Y62" s="28"/>
      <c r="Z62" s="54"/>
      <c r="AA62" s="22"/>
      <c r="AB62" s="49"/>
      <c r="AP62" s="55"/>
      <c r="AQ62" s="3"/>
      <c r="AR62" s="3"/>
      <c r="AS62" s="14"/>
    </row>
    <row r="63" ht="16.5" customHeight="1">
      <c r="A63" s="42">
        <v>57.0</v>
      </c>
      <c r="B63" s="43"/>
      <c r="C63" s="44"/>
      <c r="D63" s="45"/>
      <c r="E63" s="45"/>
      <c r="F63" s="46"/>
      <c r="G63" s="47">
        <f t="shared" si="1"/>
        <v>0</v>
      </c>
      <c r="H63" s="45"/>
      <c r="I63" s="45"/>
      <c r="J63" s="46"/>
      <c r="K63" s="47">
        <f t="shared" si="2"/>
        <v>0</v>
      </c>
      <c r="L63" s="45"/>
      <c r="M63" s="45"/>
      <c r="N63" s="45"/>
      <c r="O63" s="45"/>
      <c r="P63" s="47">
        <f t="shared" si="3"/>
        <v>0</v>
      </c>
      <c r="Q63" s="32"/>
      <c r="R63" s="32"/>
      <c r="S63" s="45"/>
      <c r="T63" s="47">
        <f t="shared" si="4"/>
        <v>0</v>
      </c>
      <c r="U63" s="32"/>
      <c r="V63" s="32"/>
      <c r="W63" s="45"/>
      <c r="X63" s="47">
        <f t="shared" si="5"/>
        <v>0</v>
      </c>
      <c r="Y63" s="28"/>
      <c r="Z63" s="54"/>
      <c r="AA63" s="22"/>
      <c r="AB63" s="49"/>
      <c r="AP63" s="55"/>
      <c r="AQ63" s="3"/>
      <c r="AR63" s="3"/>
      <c r="AS63" s="14"/>
    </row>
    <row r="64" ht="16.5" customHeight="1">
      <c r="A64" s="42">
        <v>58.0</v>
      </c>
      <c r="B64" s="43"/>
      <c r="C64" s="44"/>
      <c r="D64" s="45"/>
      <c r="E64" s="45"/>
      <c r="F64" s="46"/>
      <c r="G64" s="47">
        <f t="shared" si="1"/>
        <v>0</v>
      </c>
      <c r="H64" s="45"/>
      <c r="I64" s="45"/>
      <c r="J64" s="46"/>
      <c r="K64" s="47">
        <f t="shared" si="2"/>
        <v>0</v>
      </c>
      <c r="L64" s="45"/>
      <c r="M64" s="45"/>
      <c r="N64" s="45"/>
      <c r="O64" s="45"/>
      <c r="P64" s="47">
        <f t="shared" si="3"/>
        <v>0</v>
      </c>
      <c r="Q64" s="32"/>
      <c r="R64" s="32"/>
      <c r="S64" s="45"/>
      <c r="T64" s="47">
        <f t="shared" si="4"/>
        <v>0</v>
      </c>
      <c r="U64" s="32"/>
      <c r="V64" s="32"/>
      <c r="W64" s="45"/>
      <c r="X64" s="47">
        <f t="shared" si="5"/>
        <v>0</v>
      </c>
      <c r="Y64" s="28"/>
      <c r="Z64" s="54"/>
      <c r="AA64" s="22"/>
      <c r="AB64" s="49"/>
      <c r="AP64" s="55"/>
      <c r="AQ64" s="3"/>
      <c r="AR64" s="3"/>
      <c r="AS64" s="14"/>
    </row>
    <row r="65" ht="16.5" customHeight="1">
      <c r="A65" s="42">
        <v>59.0</v>
      </c>
      <c r="B65" s="43"/>
      <c r="C65" s="44"/>
      <c r="D65" s="45"/>
      <c r="E65" s="45"/>
      <c r="F65" s="46"/>
      <c r="G65" s="47">
        <f t="shared" si="1"/>
        <v>0</v>
      </c>
      <c r="H65" s="45"/>
      <c r="I65" s="45"/>
      <c r="J65" s="46"/>
      <c r="K65" s="47">
        <f t="shared" si="2"/>
        <v>0</v>
      </c>
      <c r="L65" s="45"/>
      <c r="M65" s="45"/>
      <c r="N65" s="45"/>
      <c r="O65" s="45"/>
      <c r="P65" s="47">
        <f t="shared" si="3"/>
        <v>0</v>
      </c>
      <c r="Q65" s="32"/>
      <c r="R65" s="32"/>
      <c r="S65" s="45"/>
      <c r="T65" s="47">
        <f t="shared" si="4"/>
        <v>0</v>
      </c>
      <c r="U65" s="32"/>
      <c r="V65" s="32"/>
      <c r="W65" s="45"/>
      <c r="X65" s="47">
        <f t="shared" si="5"/>
        <v>0</v>
      </c>
      <c r="Y65" s="28"/>
      <c r="Z65" s="54"/>
      <c r="AA65" s="22"/>
      <c r="AB65" s="49"/>
      <c r="AP65" s="55"/>
      <c r="AQ65" s="3"/>
      <c r="AR65" s="3"/>
      <c r="AS65" s="14"/>
    </row>
    <row r="66" ht="16.5" customHeight="1">
      <c r="A66" s="42">
        <v>60.0</v>
      </c>
      <c r="B66" s="43"/>
      <c r="C66" s="44"/>
      <c r="D66" s="45"/>
      <c r="E66" s="45"/>
      <c r="F66" s="46"/>
      <c r="G66" s="47">
        <f t="shared" si="1"/>
        <v>0</v>
      </c>
      <c r="H66" s="45"/>
      <c r="I66" s="45"/>
      <c r="J66" s="46"/>
      <c r="K66" s="47">
        <f t="shared" si="2"/>
        <v>0</v>
      </c>
      <c r="L66" s="45"/>
      <c r="M66" s="45"/>
      <c r="N66" s="45"/>
      <c r="O66" s="45"/>
      <c r="P66" s="47">
        <f t="shared" si="3"/>
        <v>0</v>
      </c>
      <c r="Q66" s="32"/>
      <c r="R66" s="32"/>
      <c r="S66" s="45"/>
      <c r="T66" s="47">
        <f t="shared" si="4"/>
        <v>0</v>
      </c>
      <c r="U66" s="32"/>
      <c r="V66" s="32"/>
      <c r="W66" s="45"/>
      <c r="X66" s="47">
        <f t="shared" si="5"/>
        <v>0</v>
      </c>
      <c r="Y66" s="28"/>
      <c r="Z66" s="54"/>
      <c r="AA66" s="22"/>
      <c r="AB66" s="49"/>
      <c r="AP66" s="55"/>
      <c r="AQ66" s="3"/>
      <c r="AR66" s="3"/>
      <c r="AS66" s="14"/>
    </row>
    <row r="67" ht="16.5" customHeight="1">
      <c r="A67" s="42">
        <v>61.0</v>
      </c>
      <c r="B67" s="43"/>
      <c r="C67" s="44"/>
      <c r="D67" s="45"/>
      <c r="E67" s="45"/>
      <c r="F67" s="46"/>
      <c r="G67" s="47">
        <f t="shared" si="1"/>
        <v>0</v>
      </c>
      <c r="H67" s="45"/>
      <c r="I67" s="45"/>
      <c r="J67" s="46"/>
      <c r="K67" s="47">
        <f t="shared" si="2"/>
        <v>0</v>
      </c>
      <c r="L67" s="45"/>
      <c r="M67" s="45"/>
      <c r="N67" s="45"/>
      <c r="O67" s="45"/>
      <c r="P67" s="47">
        <f t="shared" si="3"/>
        <v>0</v>
      </c>
      <c r="Q67" s="32"/>
      <c r="R67" s="32"/>
      <c r="S67" s="45"/>
      <c r="T67" s="47">
        <f t="shared" si="4"/>
        <v>0</v>
      </c>
      <c r="U67" s="32"/>
      <c r="V67" s="32"/>
      <c r="W67" s="45"/>
      <c r="X67" s="47">
        <f t="shared" si="5"/>
        <v>0</v>
      </c>
      <c r="Y67" s="28"/>
      <c r="Z67" s="54"/>
      <c r="AA67" s="22"/>
      <c r="AB67" s="49"/>
      <c r="AP67" s="55"/>
      <c r="AQ67" s="3"/>
      <c r="AR67" s="3"/>
      <c r="AS67" s="14"/>
    </row>
    <row r="68" ht="16.5" customHeight="1">
      <c r="A68" s="42">
        <v>62.0</v>
      </c>
      <c r="B68" s="43"/>
      <c r="C68" s="44"/>
      <c r="D68" s="45"/>
      <c r="E68" s="45"/>
      <c r="F68" s="46"/>
      <c r="G68" s="47">
        <f t="shared" si="1"/>
        <v>0</v>
      </c>
      <c r="H68" s="45"/>
      <c r="I68" s="45"/>
      <c r="J68" s="46"/>
      <c r="K68" s="47">
        <f t="shared" si="2"/>
        <v>0</v>
      </c>
      <c r="L68" s="45"/>
      <c r="M68" s="45"/>
      <c r="N68" s="45"/>
      <c r="O68" s="45"/>
      <c r="P68" s="47">
        <f t="shared" si="3"/>
        <v>0</v>
      </c>
      <c r="Q68" s="32"/>
      <c r="R68" s="32"/>
      <c r="S68" s="45"/>
      <c r="T68" s="47">
        <f t="shared" si="4"/>
        <v>0</v>
      </c>
      <c r="U68" s="32"/>
      <c r="V68" s="32"/>
      <c r="W68" s="45"/>
      <c r="X68" s="47">
        <f t="shared" si="5"/>
        <v>0</v>
      </c>
      <c r="Y68" s="28"/>
      <c r="Z68" s="54"/>
      <c r="AA68" s="22"/>
      <c r="AB68" s="49"/>
      <c r="AP68" s="55"/>
      <c r="AQ68" s="3"/>
      <c r="AR68" s="3"/>
      <c r="AS68" s="14"/>
    </row>
    <row r="69" ht="16.5" customHeight="1">
      <c r="A69" s="42">
        <v>63.0</v>
      </c>
      <c r="B69" s="43"/>
      <c r="C69" s="44"/>
      <c r="D69" s="45"/>
      <c r="E69" s="45"/>
      <c r="F69" s="46"/>
      <c r="G69" s="47">
        <f t="shared" si="1"/>
        <v>0</v>
      </c>
      <c r="H69" s="45"/>
      <c r="I69" s="45"/>
      <c r="J69" s="46"/>
      <c r="K69" s="47">
        <f t="shared" si="2"/>
        <v>0</v>
      </c>
      <c r="L69" s="45"/>
      <c r="M69" s="45"/>
      <c r="N69" s="45"/>
      <c r="O69" s="45"/>
      <c r="P69" s="47">
        <f t="shared" si="3"/>
        <v>0</v>
      </c>
      <c r="Q69" s="32"/>
      <c r="R69" s="32"/>
      <c r="S69" s="45"/>
      <c r="T69" s="47">
        <f t="shared" si="4"/>
        <v>0</v>
      </c>
      <c r="U69" s="32"/>
      <c r="V69" s="32"/>
      <c r="W69" s="45"/>
      <c r="X69" s="47">
        <f t="shared" si="5"/>
        <v>0</v>
      </c>
      <c r="Y69" s="28"/>
      <c r="Z69" s="54"/>
      <c r="AA69" s="22"/>
      <c r="AB69" s="49"/>
      <c r="AP69" s="55"/>
      <c r="AQ69" s="3"/>
      <c r="AR69" s="3"/>
      <c r="AS69" s="14"/>
    </row>
    <row r="70" ht="16.5" customHeight="1">
      <c r="A70" s="42">
        <v>64.0</v>
      </c>
      <c r="B70" s="43"/>
      <c r="C70" s="44"/>
      <c r="D70" s="45"/>
      <c r="E70" s="45"/>
      <c r="F70" s="46"/>
      <c r="G70" s="47">
        <f t="shared" si="1"/>
        <v>0</v>
      </c>
      <c r="H70" s="45"/>
      <c r="I70" s="45"/>
      <c r="J70" s="46"/>
      <c r="K70" s="47">
        <f t="shared" si="2"/>
        <v>0</v>
      </c>
      <c r="L70" s="45"/>
      <c r="M70" s="45"/>
      <c r="N70" s="45"/>
      <c r="O70" s="45"/>
      <c r="P70" s="47">
        <f t="shared" si="3"/>
        <v>0</v>
      </c>
      <c r="Q70" s="32"/>
      <c r="R70" s="32"/>
      <c r="S70" s="45"/>
      <c r="T70" s="47">
        <f t="shared" si="4"/>
        <v>0</v>
      </c>
      <c r="U70" s="32"/>
      <c r="V70" s="32"/>
      <c r="W70" s="45"/>
      <c r="X70" s="47">
        <f t="shared" si="5"/>
        <v>0</v>
      </c>
      <c r="Y70" s="28"/>
      <c r="Z70" s="54"/>
      <c r="AA70" s="22"/>
      <c r="AB70" s="49"/>
      <c r="AP70" s="55"/>
      <c r="AQ70" s="3"/>
      <c r="AR70" s="3"/>
      <c r="AS70" s="14"/>
    </row>
    <row r="71" ht="16.5" customHeight="1">
      <c r="A71" s="42">
        <v>65.0</v>
      </c>
      <c r="B71" s="43"/>
      <c r="C71" s="44"/>
      <c r="D71" s="45"/>
      <c r="E71" s="45"/>
      <c r="F71" s="46"/>
      <c r="G71" s="47">
        <f t="shared" si="1"/>
        <v>0</v>
      </c>
      <c r="H71" s="45"/>
      <c r="I71" s="45"/>
      <c r="J71" s="46"/>
      <c r="K71" s="47">
        <f t="shared" si="2"/>
        <v>0</v>
      </c>
      <c r="L71" s="45"/>
      <c r="M71" s="45"/>
      <c r="N71" s="45"/>
      <c r="O71" s="45"/>
      <c r="P71" s="47">
        <f t="shared" si="3"/>
        <v>0</v>
      </c>
      <c r="Q71" s="32"/>
      <c r="R71" s="32"/>
      <c r="S71" s="45"/>
      <c r="T71" s="47">
        <f t="shared" si="4"/>
        <v>0</v>
      </c>
      <c r="U71" s="32"/>
      <c r="V71" s="32"/>
      <c r="W71" s="45"/>
      <c r="X71" s="47">
        <f t="shared" si="5"/>
        <v>0</v>
      </c>
      <c r="Y71" s="28"/>
      <c r="Z71" s="54"/>
      <c r="AA71" s="22"/>
      <c r="AB71" s="49"/>
      <c r="AP71" s="55"/>
      <c r="AQ71" s="3"/>
      <c r="AR71" s="3"/>
      <c r="AS71" s="14"/>
    </row>
    <row r="72" ht="16.5" customHeight="1">
      <c r="A72" s="42">
        <v>66.0</v>
      </c>
      <c r="B72" s="43"/>
      <c r="C72" s="44"/>
      <c r="D72" s="45"/>
      <c r="E72" s="45"/>
      <c r="F72" s="46"/>
      <c r="G72" s="47">
        <f t="shared" si="1"/>
        <v>0</v>
      </c>
      <c r="H72" s="45"/>
      <c r="I72" s="45"/>
      <c r="J72" s="46"/>
      <c r="K72" s="47">
        <f t="shared" si="2"/>
        <v>0</v>
      </c>
      <c r="L72" s="45"/>
      <c r="M72" s="45"/>
      <c r="N72" s="45"/>
      <c r="O72" s="45"/>
      <c r="P72" s="47">
        <f t="shared" si="3"/>
        <v>0</v>
      </c>
      <c r="Q72" s="32"/>
      <c r="R72" s="32"/>
      <c r="S72" s="45"/>
      <c r="T72" s="47">
        <f t="shared" si="4"/>
        <v>0</v>
      </c>
      <c r="U72" s="32"/>
      <c r="V72" s="32"/>
      <c r="W72" s="45"/>
      <c r="X72" s="47">
        <f t="shared" si="5"/>
        <v>0</v>
      </c>
      <c r="Y72" s="28"/>
      <c r="Z72" s="54"/>
      <c r="AA72" s="22"/>
      <c r="AB72" s="49"/>
      <c r="AP72" s="55"/>
      <c r="AQ72" s="3"/>
      <c r="AR72" s="3"/>
      <c r="AS72" s="14"/>
    </row>
    <row r="73" ht="16.5" customHeight="1">
      <c r="A73" s="42">
        <v>67.0</v>
      </c>
      <c r="B73" s="43"/>
      <c r="C73" s="44"/>
      <c r="D73" s="45"/>
      <c r="E73" s="45"/>
      <c r="F73" s="46"/>
      <c r="G73" s="47">
        <f t="shared" si="1"/>
        <v>0</v>
      </c>
      <c r="H73" s="45"/>
      <c r="I73" s="45"/>
      <c r="J73" s="46"/>
      <c r="K73" s="47">
        <f t="shared" si="2"/>
        <v>0</v>
      </c>
      <c r="L73" s="45"/>
      <c r="M73" s="45"/>
      <c r="N73" s="45"/>
      <c r="O73" s="45"/>
      <c r="P73" s="47">
        <f t="shared" si="3"/>
        <v>0</v>
      </c>
      <c r="Q73" s="32"/>
      <c r="R73" s="32"/>
      <c r="S73" s="45"/>
      <c r="T73" s="47">
        <f t="shared" si="4"/>
        <v>0</v>
      </c>
      <c r="U73" s="32"/>
      <c r="V73" s="32"/>
      <c r="W73" s="45"/>
      <c r="X73" s="47">
        <f t="shared" si="5"/>
        <v>0</v>
      </c>
      <c r="Y73" s="28"/>
      <c r="Z73" s="54"/>
      <c r="AA73" s="22"/>
      <c r="AB73" s="49"/>
      <c r="AP73" s="55"/>
      <c r="AQ73" s="3"/>
      <c r="AR73" s="3"/>
      <c r="AS73" s="14"/>
    </row>
    <row r="74" ht="16.5" customHeight="1">
      <c r="A74" s="42">
        <v>68.0</v>
      </c>
      <c r="B74" s="43"/>
      <c r="C74" s="44"/>
      <c r="D74" s="45"/>
      <c r="E74" s="45"/>
      <c r="F74" s="46"/>
      <c r="G74" s="47">
        <f t="shared" si="1"/>
        <v>0</v>
      </c>
      <c r="H74" s="45"/>
      <c r="I74" s="45"/>
      <c r="J74" s="46"/>
      <c r="K74" s="47">
        <f t="shared" si="2"/>
        <v>0</v>
      </c>
      <c r="L74" s="45"/>
      <c r="M74" s="45"/>
      <c r="N74" s="45"/>
      <c r="O74" s="45"/>
      <c r="P74" s="47">
        <f t="shared" si="3"/>
        <v>0</v>
      </c>
      <c r="Q74" s="32"/>
      <c r="R74" s="32"/>
      <c r="S74" s="45"/>
      <c r="T74" s="47">
        <f t="shared" si="4"/>
        <v>0</v>
      </c>
      <c r="U74" s="32"/>
      <c r="V74" s="32"/>
      <c r="W74" s="45"/>
      <c r="X74" s="47">
        <f t="shared" si="5"/>
        <v>0</v>
      </c>
      <c r="Y74" s="28"/>
      <c r="Z74" s="54"/>
      <c r="AA74" s="22"/>
      <c r="AB74" s="49"/>
      <c r="AP74" s="55"/>
      <c r="AQ74" s="3"/>
      <c r="AR74" s="3"/>
      <c r="AS74" s="14"/>
    </row>
    <row r="75" ht="16.5" customHeight="1">
      <c r="A75" s="42">
        <v>69.0</v>
      </c>
      <c r="B75" s="43"/>
      <c r="C75" s="44"/>
      <c r="D75" s="45"/>
      <c r="E75" s="45"/>
      <c r="F75" s="46"/>
      <c r="G75" s="47">
        <f t="shared" si="1"/>
        <v>0</v>
      </c>
      <c r="H75" s="45"/>
      <c r="I75" s="45"/>
      <c r="J75" s="46"/>
      <c r="K75" s="47">
        <f t="shared" si="2"/>
        <v>0</v>
      </c>
      <c r="L75" s="45"/>
      <c r="M75" s="45"/>
      <c r="N75" s="45"/>
      <c r="O75" s="45"/>
      <c r="P75" s="47">
        <f t="shared" si="3"/>
        <v>0</v>
      </c>
      <c r="Q75" s="32"/>
      <c r="R75" s="32"/>
      <c r="S75" s="45"/>
      <c r="T75" s="47">
        <f t="shared" si="4"/>
        <v>0</v>
      </c>
      <c r="U75" s="32"/>
      <c r="V75" s="32"/>
      <c r="W75" s="45"/>
      <c r="X75" s="47">
        <f t="shared" si="5"/>
        <v>0</v>
      </c>
      <c r="Y75" s="28"/>
      <c r="Z75" s="54"/>
      <c r="AA75" s="22"/>
      <c r="AB75" s="49"/>
      <c r="AP75" s="55"/>
      <c r="AQ75" s="3"/>
      <c r="AR75" s="3"/>
      <c r="AS75" s="14"/>
    </row>
    <row r="76" ht="16.5" customHeight="1">
      <c r="A76" s="42">
        <v>70.0</v>
      </c>
      <c r="B76" s="43"/>
      <c r="C76" s="44"/>
      <c r="D76" s="45"/>
      <c r="E76" s="45"/>
      <c r="F76" s="46"/>
      <c r="G76" s="47">
        <f t="shared" si="1"/>
        <v>0</v>
      </c>
      <c r="H76" s="45"/>
      <c r="I76" s="45"/>
      <c r="J76" s="46"/>
      <c r="K76" s="47">
        <f t="shared" si="2"/>
        <v>0</v>
      </c>
      <c r="L76" s="45"/>
      <c r="M76" s="45"/>
      <c r="N76" s="45"/>
      <c r="O76" s="45"/>
      <c r="P76" s="47">
        <f t="shared" si="3"/>
        <v>0</v>
      </c>
      <c r="Q76" s="32"/>
      <c r="R76" s="32"/>
      <c r="S76" s="45"/>
      <c r="T76" s="47">
        <f t="shared" si="4"/>
        <v>0</v>
      </c>
      <c r="U76" s="32"/>
      <c r="V76" s="32"/>
      <c r="W76" s="45"/>
      <c r="X76" s="47">
        <f t="shared" si="5"/>
        <v>0</v>
      </c>
      <c r="Y76" s="28"/>
      <c r="Z76" s="54"/>
      <c r="AA76" s="22"/>
      <c r="AB76" s="49"/>
      <c r="AP76" s="55"/>
      <c r="AQ76" s="3"/>
      <c r="AR76" s="3"/>
      <c r="AS76" s="14"/>
    </row>
    <row r="77" ht="16.5" customHeight="1">
      <c r="A77" s="42">
        <v>71.0</v>
      </c>
      <c r="B77" s="43"/>
      <c r="C77" s="44"/>
      <c r="D77" s="45"/>
      <c r="E77" s="45"/>
      <c r="F77" s="46"/>
      <c r="G77" s="47">
        <f t="shared" si="1"/>
        <v>0</v>
      </c>
      <c r="H77" s="45"/>
      <c r="I77" s="45"/>
      <c r="J77" s="46"/>
      <c r="K77" s="47">
        <f t="shared" si="2"/>
        <v>0</v>
      </c>
      <c r="L77" s="45"/>
      <c r="M77" s="45"/>
      <c r="N77" s="45"/>
      <c r="O77" s="45"/>
      <c r="P77" s="47">
        <f t="shared" si="3"/>
        <v>0</v>
      </c>
      <c r="Q77" s="32"/>
      <c r="R77" s="32"/>
      <c r="S77" s="45"/>
      <c r="T77" s="47">
        <f t="shared" si="4"/>
        <v>0</v>
      </c>
      <c r="U77" s="32"/>
      <c r="V77" s="32"/>
      <c r="W77" s="45"/>
      <c r="X77" s="47">
        <f t="shared" si="5"/>
        <v>0</v>
      </c>
      <c r="Y77" s="28"/>
      <c r="Z77" s="54"/>
      <c r="AA77" s="22"/>
      <c r="AB77" s="49"/>
      <c r="AP77" s="55"/>
      <c r="AQ77" s="3"/>
      <c r="AR77" s="3"/>
      <c r="AS77" s="14"/>
    </row>
    <row r="78" ht="16.5" customHeight="1">
      <c r="A78" s="42">
        <v>73.0</v>
      </c>
      <c r="B78" s="43"/>
      <c r="C78" s="44"/>
      <c r="D78" s="45"/>
      <c r="E78" s="45"/>
      <c r="F78" s="46"/>
      <c r="G78" s="47">
        <f t="shared" si="1"/>
        <v>0</v>
      </c>
      <c r="H78" s="45"/>
      <c r="I78" s="45"/>
      <c r="J78" s="46"/>
      <c r="K78" s="47">
        <f t="shared" si="2"/>
        <v>0</v>
      </c>
      <c r="L78" s="45"/>
      <c r="M78" s="45"/>
      <c r="N78" s="45"/>
      <c r="O78" s="45"/>
      <c r="P78" s="47">
        <f t="shared" si="3"/>
        <v>0</v>
      </c>
      <c r="Q78" s="32"/>
      <c r="R78" s="32"/>
      <c r="S78" s="45"/>
      <c r="T78" s="47">
        <f t="shared" si="4"/>
        <v>0</v>
      </c>
      <c r="U78" s="32"/>
      <c r="V78" s="32"/>
      <c r="W78" s="45"/>
      <c r="X78" s="47">
        <f t="shared" si="5"/>
        <v>0</v>
      </c>
      <c r="Y78" s="28"/>
      <c r="Z78" s="54"/>
      <c r="AA78" s="22"/>
      <c r="AB78" s="49"/>
      <c r="AP78" s="55"/>
      <c r="AQ78" s="3"/>
      <c r="AR78" s="3"/>
      <c r="AS78" s="14"/>
    </row>
    <row r="79" ht="16.5" customHeight="1">
      <c r="A79" s="42">
        <v>74.0</v>
      </c>
      <c r="B79" s="43"/>
      <c r="C79" s="44"/>
      <c r="D79" s="45"/>
      <c r="E79" s="45"/>
      <c r="F79" s="46"/>
      <c r="G79" s="47">
        <f t="shared" si="1"/>
        <v>0</v>
      </c>
      <c r="H79" s="45"/>
      <c r="I79" s="45"/>
      <c r="J79" s="46"/>
      <c r="K79" s="47">
        <f t="shared" si="2"/>
        <v>0</v>
      </c>
      <c r="L79" s="45"/>
      <c r="M79" s="45"/>
      <c r="N79" s="45"/>
      <c r="O79" s="45"/>
      <c r="P79" s="47">
        <f t="shared" si="3"/>
        <v>0</v>
      </c>
      <c r="Q79" s="32"/>
      <c r="R79" s="32"/>
      <c r="S79" s="45"/>
      <c r="T79" s="47">
        <f t="shared" si="4"/>
        <v>0</v>
      </c>
      <c r="U79" s="32"/>
      <c r="V79" s="32"/>
      <c r="W79" s="45"/>
      <c r="X79" s="47">
        <f t="shared" si="5"/>
        <v>0</v>
      </c>
      <c r="Y79" s="28"/>
      <c r="Z79" s="54"/>
      <c r="AA79" s="22"/>
      <c r="AB79" s="49"/>
      <c r="AP79" s="55"/>
      <c r="AQ79" s="3"/>
      <c r="AR79" s="3"/>
      <c r="AS79" s="14"/>
    </row>
    <row r="80" ht="16.5" customHeight="1">
      <c r="A80" s="42">
        <v>75.0</v>
      </c>
      <c r="B80" s="43"/>
      <c r="C80" s="44"/>
      <c r="D80" s="45"/>
      <c r="E80" s="45"/>
      <c r="F80" s="46"/>
      <c r="G80" s="47">
        <f t="shared" si="1"/>
        <v>0</v>
      </c>
      <c r="H80" s="45"/>
      <c r="I80" s="45"/>
      <c r="J80" s="46"/>
      <c r="K80" s="47">
        <f t="shared" si="2"/>
        <v>0</v>
      </c>
      <c r="L80" s="45"/>
      <c r="M80" s="45"/>
      <c r="N80" s="45"/>
      <c r="O80" s="45"/>
      <c r="P80" s="47">
        <f t="shared" si="3"/>
        <v>0</v>
      </c>
      <c r="Q80" s="32"/>
      <c r="R80" s="32"/>
      <c r="S80" s="45"/>
      <c r="T80" s="47">
        <f t="shared" si="4"/>
        <v>0</v>
      </c>
      <c r="U80" s="32"/>
      <c r="V80" s="32"/>
      <c r="W80" s="45"/>
      <c r="X80" s="47">
        <f t="shared" si="5"/>
        <v>0</v>
      </c>
      <c r="Y80" s="28"/>
      <c r="Z80" s="54"/>
      <c r="AA80" s="22"/>
      <c r="AB80" s="49"/>
      <c r="AP80" s="55"/>
      <c r="AQ80" s="3"/>
      <c r="AR80" s="3"/>
      <c r="AS80" s="14"/>
    </row>
    <row r="81" ht="16.5" customHeight="1">
      <c r="A81" s="42">
        <v>76.0</v>
      </c>
      <c r="B81" s="43"/>
      <c r="C81" s="44"/>
      <c r="D81" s="45"/>
      <c r="E81" s="45"/>
      <c r="F81" s="46"/>
      <c r="G81" s="47">
        <f t="shared" si="1"/>
        <v>0</v>
      </c>
      <c r="H81" s="45"/>
      <c r="I81" s="45"/>
      <c r="J81" s="46"/>
      <c r="K81" s="47">
        <f t="shared" si="2"/>
        <v>0</v>
      </c>
      <c r="L81" s="45"/>
      <c r="M81" s="45"/>
      <c r="N81" s="45"/>
      <c r="O81" s="45"/>
      <c r="P81" s="47">
        <f t="shared" si="3"/>
        <v>0</v>
      </c>
      <c r="Q81" s="32"/>
      <c r="R81" s="32"/>
      <c r="S81" s="45"/>
      <c r="T81" s="47">
        <f t="shared" si="4"/>
        <v>0</v>
      </c>
      <c r="U81" s="32"/>
      <c r="V81" s="32"/>
      <c r="W81" s="45"/>
      <c r="X81" s="47">
        <f t="shared" si="5"/>
        <v>0</v>
      </c>
      <c r="Y81" s="28"/>
      <c r="Z81" s="54"/>
      <c r="AA81" s="22"/>
      <c r="AB81" s="49"/>
      <c r="AP81" s="55"/>
      <c r="AQ81" s="3"/>
      <c r="AR81" s="3"/>
      <c r="AS81" s="14"/>
    </row>
    <row r="82" ht="16.5" customHeight="1">
      <c r="A82" s="42">
        <v>77.0</v>
      </c>
      <c r="B82" s="43"/>
      <c r="C82" s="44"/>
      <c r="D82" s="45"/>
      <c r="E82" s="45"/>
      <c r="F82" s="46"/>
      <c r="G82" s="47">
        <f t="shared" si="1"/>
        <v>0</v>
      </c>
      <c r="H82" s="45"/>
      <c r="I82" s="45"/>
      <c r="J82" s="46"/>
      <c r="K82" s="47">
        <f t="shared" si="2"/>
        <v>0</v>
      </c>
      <c r="L82" s="45"/>
      <c r="M82" s="45"/>
      <c r="N82" s="45"/>
      <c r="O82" s="45"/>
      <c r="P82" s="47">
        <f t="shared" si="3"/>
        <v>0</v>
      </c>
      <c r="Q82" s="32"/>
      <c r="R82" s="32"/>
      <c r="S82" s="45"/>
      <c r="T82" s="47">
        <f t="shared" si="4"/>
        <v>0</v>
      </c>
      <c r="U82" s="32"/>
      <c r="V82" s="32"/>
      <c r="W82" s="45"/>
      <c r="X82" s="47">
        <f t="shared" si="5"/>
        <v>0</v>
      </c>
      <c r="Y82" s="28"/>
      <c r="Z82" s="54"/>
      <c r="AA82" s="22"/>
      <c r="AB82" s="49"/>
      <c r="AP82" s="55"/>
      <c r="AQ82" s="3"/>
      <c r="AR82" s="3"/>
      <c r="AS82" s="14"/>
    </row>
    <row r="83" ht="16.5" customHeight="1">
      <c r="A83" s="42">
        <v>78.0</v>
      </c>
      <c r="B83" s="43"/>
      <c r="C83" s="44"/>
      <c r="D83" s="45"/>
      <c r="E83" s="45"/>
      <c r="F83" s="46"/>
      <c r="G83" s="47">
        <f t="shared" si="1"/>
        <v>0</v>
      </c>
      <c r="H83" s="45"/>
      <c r="I83" s="45"/>
      <c r="J83" s="46"/>
      <c r="K83" s="47">
        <f t="shared" si="2"/>
        <v>0</v>
      </c>
      <c r="L83" s="45"/>
      <c r="M83" s="45"/>
      <c r="N83" s="45"/>
      <c r="O83" s="45"/>
      <c r="P83" s="47">
        <f t="shared" si="3"/>
        <v>0</v>
      </c>
      <c r="Q83" s="32"/>
      <c r="R83" s="32"/>
      <c r="S83" s="45"/>
      <c r="T83" s="47">
        <f t="shared" si="4"/>
        <v>0</v>
      </c>
      <c r="U83" s="32"/>
      <c r="V83" s="32"/>
      <c r="W83" s="45"/>
      <c r="X83" s="47">
        <f t="shared" si="5"/>
        <v>0</v>
      </c>
      <c r="Y83" s="28"/>
      <c r="Z83" s="54"/>
      <c r="AA83" s="22"/>
      <c r="AB83" s="49"/>
      <c r="AP83" s="55"/>
      <c r="AQ83" s="3"/>
      <c r="AR83" s="3"/>
      <c r="AS83" s="14"/>
    </row>
    <row r="84" ht="16.5" customHeight="1">
      <c r="A84" s="42">
        <v>79.0</v>
      </c>
      <c r="B84" s="43"/>
      <c r="C84" s="44"/>
      <c r="D84" s="45"/>
      <c r="E84" s="45"/>
      <c r="F84" s="46"/>
      <c r="G84" s="47">
        <f t="shared" si="1"/>
        <v>0</v>
      </c>
      <c r="H84" s="45"/>
      <c r="I84" s="45"/>
      <c r="J84" s="46"/>
      <c r="K84" s="47">
        <f t="shared" si="2"/>
        <v>0</v>
      </c>
      <c r="L84" s="45"/>
      <c r="M84" s="45"/>
      <c r="N84" s="45"/>
      <c r="O84" s="45"/>
      <c r="P84" s="47">
        <f t="shared" si="3"/>
        <v>0</v>
      </c>
      <c r="Q84" s="32"/>
      <c r="R84" s="32"/>
      <c r="S84" s="45"/>
      <c r="T84" s="47">
        <f t="shared" si="4"/>
        <v>0</v>
      </c>
      <c r="U84" s="32"/>
      <c r="V84" s="32"/>
      <c r="W84" s="45"/>
      <c r="X84" s="47">
        <f t="shared" si="5"/>
        <v>0</v>
      </c>
      <c r="Y84" s="28"/>
      <c r="Z84" s="54"/>
      <c r="AA84" s="22"/>
      <c r="AB84" s="49"/>
      <c r="AP84" s="55"/>
      <c r="AQ84" s="3"/>
      <c r="AR84" s="3"/>
      <c r="AS84" s="14"/>
    </row>
    <row r="85" ht="16.5" customHeight="1">
      <c r="A85" s="42">
        <v>80.0</v>
      </c>
      <c r="B85" s="43"/>
      <c r="C85" s="44"/>
      <c r="D85" s="45"/>
      <c r="E85" s="45"/>
      <c r="F85" s="46"/>
      <c r="G85" s="47">
        <f t="shared" si="1"/>
        <v>0</v>
      </c>
      <c r="H85" s="45"/>
      <c r="I85" s="45"/>
      <c r="J85" s="46"/>
      <c r="K85" s="47">
        <f t="shared" si="2"/>
        <v>0</v>
      </c>
      <c r="L85" s="45"/>
      <c r="M85" s="45"/>
      <c r="N85" s="45"/>
      <c r="O85" s="45"/>
      <c r="P85" s="47">
        <f t="shared" si="3"/>
        <v>0</v>
      </c>
      <c r="Q85" s="32"/>
      <c r="R85" s="32"/>
      <c r="S85" s="45"/>
      <c r="T85" s="47">
        <f t="shared" si="4"/>
        <v>0</v>
      </c>
      <c r="U85" s="32"/>
      <c r="V85" s="32"/>
      <c r="W85" s="45"/>
      <c r="X85" s="47">
        <f t="shared" si="5"/>
        <v>0</v>
      </c>
      <c r="Y85" s="28"/>
      <c r="Z85" s="54"/>
      <c r="AA85" s="22"/>
      <c r="AB85" s="49"/>
      <c r="AP85" s="55"/>
      <c r="AQ85" s="3"/>
      <c r="AR85" s="3"/>
      <c r="AS85" s="14"/>
    </row>
    <row r="86" ht="16.5" customHeight="1">
      <c r="A86" s="42">
        <v>81.0</v>
      </c>
      <c r="B86" s="43"/>
      <c r="C86" s="44"/>
      <c r="D86" s="45"/>
      <c r="E86" s="45"/>
      <c r="F86" s="46"/>
      <c r="G86" s="47">
        <f t="shared" si="1"/>
        <v>0</v>
      </c>
      <c r="H86" s="45"/>
      <c r="I86" s="45"/>
      <c r="J86" s="46"/>
      <c r="K86" s="47">
        <f t="shared" si="2"/>
        <v>0</v>
      </c>
      <c r="L86" s="45"/>
      <c r="M86" s="45"/>
      <c r="N86" s="45"/>
      <c r="O86" s="45"/>
      <c r="P86" s="47">
        <f t="shared" si="3"/>
        <v>0</v>
      </c>
      <c r="Q86" s="32"/>
      <c r="R86" s="32"/>
      <c r="S86" s="45"/>
      <c r="T86" s="47">
        <f t="shared" si="4"/>
        <v>0</v>
      </c>
      <c r="U86" s="32"/>
      <c r="V86" s="32"/>
      <c r="W86" s="45"/>
      <c r="X86" s="47">
        <f t="shared" si="5"/>
        <v>0</v>
      </c>
      <c r="Y86" s="28"/>
      <c r="Z86" s="54"/>
      <c r="AA86" s="22"/>
      <c r="AB86" s="49"/>
      <c r="AP86" s="55"/>
      <c r="AQ86" s="3"/>
      <c r="AR86" s="3"/>
      <c r="AS86" s="14"/>
    </row>
    <row r="87" ht="16.5" customHeight="1">
      <c r="A87" s="42">
        <v>82.0</v>
      </c>
      <c r="B87" s="43"/>
      <c r="C87" s="44"/>
      <c r="D87" s="45"/>
      <c r="E87" s="45"/>
      <c r="F87" s="46"/>
      <c r="G87" s="47">
        <f t="shared" si="1"/>
        <v>0</v>
      </c>
      <c r="H87" s="45"/>
      <c r="I87" s="45"/>
      <c r="J87" s="46"/>
      <c r="K87" s="47">
        <f t="shared" si="2"/>
        <v>0</v>
      </c>
      <c r="L87" s="45"/>
      <c r="M87" s="45"/>
      <c r="N87" s="45"/>
      <c r="O87" s="45"/>
      <c r="P87" s="47">
        <f t="shared" si="3"/>
        <v>0</v>
      </c>
      <c r="Q87" s="32"/>
      <c r="R87" s="32"/>
      <c r="S87" s="45"/>
      <c r="T87" s="47">
        <f t="shared" si="4"/>
        <v>0</v>
      </c>
      <c r="U87" s="32"/>
      <c r="V87" s="32"/>
      <c r="W87" s="45"/>
      <c r="X87" s="47">
        <f t="shared" si="5"/>
        <v>0</v>
      </c>
      <c r="Y87" s="28"/>
      <c r="Z87" s="54"/>
      <c r="AA87" s="22"/>
      <c r="AB87" s="49"/>
      <c r="AP87" s="55"/>
      <c r="AQ87" s="3"/>
      <c r="AR87" s="3"/>
      <c r="AS87" s="14"/>
    </row>
    <row r="88" ht="16.5" customHeight="1">
      <c r="A88" s="42">
        <v>83.0</v>
      </c>
      <c r="B88" s="43"/>
      <c r="C88" s="44"/>
      <c r="D88" s="45"/>
      <c r="E88" s="45"/>
      <c r="F88" s="46"/>
      <c r="G88" s="47">
        <f t="shared" si="1"/>
        <v>0</v>
      </c>
      <c r="H88" s="45"/>
      <c r="I88" s="45"/>
      <c r="J88" s="46"/>
      <c r="K88" s="47">
        <f t="shared" si="2"/>
        <v>0</v>
      </c>
      <c r="L88" s="45"/>
      <c r="M88" s="45"/>
      <c r="N88" s="45"/>
      <c r="O88" s="45"/>
      <c r="P88" s="47">
        <f t="shared" si="3"/>
        <v>0</v>
      </c>
      <c r="Q88" s="32"/>
      <c r="R88" s="32"/>
      <c r="S88" s="45"/>
      <c r="T88" s="47">
        <f t="shared" si="4"/>
        <v>0</v>
      </c>
      <c r="U88" s="32"/>
      <c r="V88" s="32"/>
      <c r="W88" s="45"/>
      <c r="X88" s="47">
        <f t="shared" si="5"/>
        <v>0</v>
      </c>
      <c r="Y88" s="28"/>
      <c r="Z88" s="54"/>
      <c r="AA88" s="22"/>
      <c r="AB88" s="49"/>
      <c r="AP88" s="55"/>
      <c r="AQ88" s="3"/>
      <c r="AR88" s="3"/>
      <c r="AS88" s="14"/>
    </row>
    <row r="89" ht="16.5" customHeight="1">
      <c r="A89" s="42">
        <v>84.0</v>
      </c>
      <c r="B89" s="43"/>
      <c r="C89" s="44"/>
      <c r="D89" s="45"/>
      <c r="E89" s="45"/>
      <c r="F89" s="46"/>
      <c r="G89" s="47">
        <f t="shared" si="1"/>
        <v>0</v>
      </c>
      <c r="H89" s="45"/>
      <c r="I89" s="45"/>
      <c r="J89" s="46"/>
      <c r="K89" s="47">
        <f t="shared" si="2"/>
        <v>0</v>
      </c>
      <c r="L89" s="45"/>
      <c r="M89" s="45"/>
      <c r="N89" s="45"/>
      <c r="O89" s="45"/>
      <c r="P89" s="47">
        <f t="shared" si="3"/>
        <v>0</v>
      </c>
      <c r="Q89" s="32"/>
      <c r="R89" s="32"/>
      <c r="S89" s="45"/>
      <c r="T89" s="47">
        <f t="shared" si="4"/>
        <v>0</v>
      </c>
      <c r="U89" s="32"/>
      <c r="V89" s="32"/>
      <c r="W89" s="45"/>
      <c r="X89" s="47">
        <f t="shared" si="5"/>
        <v>0</v>
      </c>
      <c r="Y89" s="28"/>
      <c r="Z89" s="54"/>
      <c r="AA89" s="22"/>
      <c r="AB89" s="49"/>
      <c r="AP89" s="55"/>
      <c r="AQ89" s="3"/>
      <c r="AR89" s="3"/>
      <c r="AS89" s="14"/>
    </row>
    <row r="90" ht="16.5" customHeight="1">
      <c r="A90" s="42">
        <v>85.0</v>
      </c>
      <c r="B90" s="43"/>
      <c r="C90" s="44"/>
      <c r="D90" s="45"/>
      <c r="E90" s="45"/>
      <c r="F90" s="46"/>
      <c r="G90" s="47">
        <f t="shared" si="1"/>
        <v>0</v>
      </c>
      <c r="H90" s="45"/>
      <c r="I90" s="45"/>
      <c r="J90" s="46"/>
      <c r="K90" s="47">
        <f t="shared" si="2"/>
        <v>0</v>
      </c>
      <c r="L90" s="45"/>
      <c r="M90" s="45"/>
      <c r="N90" s="45"/>
      <c r="O90" s="45"/>
      <c r="P90" s="47">
        <f t="shared" si="3"/>
        <v>0</v>
      </c>
      <c r="Q90" s="32"/>
      <c r="R90" s="32"/>
      <c r="S90" s="45"/>
      <c r="T90" s="47">
        <f t="shared" si="4"/>
        <v>0</v>
      </c>
      <c r="U90" s="32"/>
      <c r="V90" s="32"/>
      <c r="W90" s="45"/>
      <c r="X90" s="47">
        <f t="shared" si="5"/>
        <v>0</v>
      </c>
      <c r="Y90" s="28"/>
      <c r="Z90" s="54"/>
      <c r="AA90" s="22"/>
      <c r="AB90" s="49"/>
      <c r="AP90" s="55"/>
      <c r="AQ90" s="3"/>
      <c r="AR90" s="3"/>
      <c r="AS90" s="14"/>
    </row>
    <row r="91" ht="16.5" customHeight="1">
      <c r="A91" s="42">
        <v>86.0</v>
      </c>
      <c r="B91" s="43"/>
      <c r="C91" s="44"/>
      <c r="D91" s="45"/>
      <c r="E91" s="45"/>
      <c r="F91" s="46"/>
      <c r="G91" s="47">
        <f t="shared" si="1"/>
        <v>0</v>
      </c>
      <c r="H91" s="45"/>
      <c r="I91" s="45"/>
      <c r="J91" s="46"/>
      <c r="K91" s="47">
        <f t="shared" si="2"/>
        <v>0</v>
      </c>
      <c r="L91" s="45"/>
      <c r="M91" s="45"/>
      <c r="N91" s="45"/>
      <c r="O91" s="45"/>
      <c r="P91" s="47">
        <f t="shared" si="3"/>
        <v>0</v>
      </c>
      <c r="Q91" s="32"/>
      <c r="R91" s="32"/>
      <c r="S91" s="45"/>
      <c r="T91" s="47">
        <f t="shared" si="4"/>
        <v>0</v>
      </c>
      <c r="U91" s="32"/>
      <c r="V91" s="32"/>
      <c r="W91" s="45"/>
      <c r="X91" s="47">
        <f t="shared" si="5"/>
        <v>0</v>
      </c>
      <c r="Y91" s="28"/>
      <c r="Z91" s="54"/>
      <c r="AA91" s="22"/>
      <c r="AB91" s="49"/>
      <c r="AP91" s="55"/>
      <c r="AQ91" s="3"/>
      <c r="AR91" s="3"/>
      <c r="AS91" s="14"/>
    </row>
    <row r="92" ht="16.5" customHeight="1">
      <c r="A92" s="42">
        <v>88.0</v>
      </c>
      <c r="B92" s="43"/>
      <c r="C92" s="44"/>
      <c r="D92" s="45"/>
      <c r="E92" s="45"/>
      <c r="F92" s="46"/>
      <c r="G92" s="47">
        <f t="shared" si="1"/>
        <v>0</v>
      </c>
      <c r="H92" s="45"/>
      <c r="I92" s="45"/>
      <c r="J92" s="46"/>
      <c r="K92" s="47">
        <f t="shared" si="2"/>
        <v>0</v>
      </c>
      <c r="L92" s="45"/>
      <c r="M92" s="45"/>
      <c r="N92" s="45"/>
      <c r="O92" s="45"/>
      <c r="P92" s="47">
        <f t="shared" si="3"/>
        <v>0</v>
      </c>
      <c r="Q92" s="32"/>
      <c r="R92" s="32"/>
      <c r="S92" s="45"/>
      <c r="T92" s="47">
        <f t="shared" si="4"/>
        <v>0</v>
      </c>
      <c r="U92" s="32"/>
      <c r="V92" s="32"/>
      <c r="W92" s="45"/>
      <c r="X92" s="47">
        <f t="shared" si="5"/>
        <v>0</v>
      </c>
      <c r="Y92" s="28"/>
      <c r="Z92" s="54"/>
      <c r="AA92" s="22"/>
      <c r="AB92" s="49"/>
      <c r="AP92" s="55"/>
      <c r="AQ92" s="3"/>
      <c r="AR92" s="3"/>
      <c r="AS92" s="14"/>
    </row>
    <row r="93" ht="16.5" customHeight="1">
      <c r="A93" s="42">
        <v>89.0</v>
      </c>
      <c r="B93" s="43"/>
      <c r="C93" s="44"/>
      <c r="D93" s="45"/>
      <c r="E93" s="45"/>
      <c r="F93" s="46"/>
      <c r="G93" s="47">
        <f t="shared" si="1"/>
        <v>0</v>
      </c>
      <c r="H93" s="45"/>
      <c r="I93" s="45"/>
      <c r="J93" s="46"/>
      <c r="K93" s="47">
        <f t="shared" si="2"/>
        <v>0</v>
      </c>
      <c r="L93" s="45"/>
      <c r="M93" s="45"/>
      <c r="N93" s="45"/>
      <c r="O93" s="45"/>
      <c r="P93" s="47">
        <f t="shared" si="3"/>
        <v>0</v>
      </c>
      <c r="Q93" s="32"/>
      <c r="R93" s="32"/>
      <c r="S93" s="45"/>
      <c r="T93" s="47">
        <f t="shared" si="4"/>
        <v>0</v>
      </c>
      <c r="U93" s="32"/>
      <c r="V93" s="32"/>
      <c r="W93" s="45"/>
      <c r="X93" s="47">
        <f t="shared" si="5"/>
        <v>0</v>
      </c>
      <c r="Y93" s="28"/>
      <c r="Z93" s="54"/>
      <c r="AA93" s="22"/>
      <c r="AB93" s="49"/>
      <c r="AP93" s="55"/>
      <c r="AQ93" s="3"/>
      <c r="AR93" s="3"/>
      <c r="AS93" s="14"/>
    </row>
    <row r="94" ht="16.5" customHeight="1">
      <c r="A94" s="42">
        <v>90.0</v>
      </c>
      <c r="B94" s="43"/>
      <c r="C94" s="44"/>
      <c r="D94" s="45"/>
      <c r="E94" s="45"/>
      <c r="F94" s="46"/>
      <c r="G94" s="47">
        <f t="shared" si="1"/>
        <v>0</v>
      </c>
      <c r="H94" s="45"/>
      <c r="I94" s="45"/>
      <c r="J94" s="46"/>
      <c r="K94" s="47">
        <f t="shared" si="2"/>
        <v>0</v>
      </c>
      <c r="L94" s="45"/>
      <c r="M94" s="45"/>
      <c r="N94" s="45"/>
      <c r="O94" s="45"/>
      <c r="P94" s="47">
        <f t="shared" si="3"/>
        <v>0</v>
      </c>
      <c r="Q94" s="32"/>
      <c r="R94" s="32"/>
      <c r="S94" s="45"/>
      <c r="T94" s="47">
        <f t="shared" si="4"/>
        <v>0</v>
      </c>
      <c r="U94" s="32"/>
      <c r="V94" s="32"/>
      <c r="W94" s="45"/>
      <c r="X94" s="47">
        <f t="shared" si="5"/>
        <v>0</v>
      </c>
      <c r="Y94" s="28"/>
      <c r="Z94" s="54"/>
      <c r="AA94" s="22"/>
      <c r="AB94" s="49"/>
      <c r="AP94" s="55"/>
      <c r="AQ94" s="3"/>
      <c r="AR94" s="3"/>
      <c r="AS94" s="14"/>
    </row>
    <row r="95" ht="16.5" customHeight="1">
      <c r="A95" s="42">
        <v>91.0</v>
      </c>
      <c r="B95" s="43"/>
      <c r="C95" s="44"/>
      <c r="D95" s="45"/>
      <c r="E95" s="45"/>
      <c r="F95" s="46"/>
      <c r="G95" s="47">
        <f t="shared" si="1"/>
        <v>0</v>
      </c>
      <c r="H95" s="45"/>
      <c r="I95" s="45"/>
      <c r="J95" s="46"/>
      <c r="K95" s="47">
        <f t="shared" si="2"/>
        <v>0</v>
      </c>
      <c r="L95" s="45"/>
      <c r="M95" s="45"/>
      <c r="N95" s="45"/>
      <c r="O95" s="45"/>
      <c r="P95" s="47">
        <f t="shared" si="3"/>
        <v>0</v>
      </c>
      <c r="Q95" s="32"/>
      <c r="R95" s="32"/>
      <c r="S95" s="45"/>
      <c r="T95" s="47">
        <f t="shared" si="4"/>
        <v>0</v>
      </c>
      <c r="U95" s="32"/>
      <c r="V95" s="32"/>
      <c r="W95" s="45"/>
      <c r="X95" s="47">
        <f t="shared" si="5"/>
        <v>0</v>
      </c>
      <c r="Y95" s="28"/>
      <c r="Z95" s="54"/>
      <c r="AA95" s="22"/>
      <c r="AB95" s="49"/>
      <c r="AP95" s="55"/>
      <c r="AQ95" s="3"/>
      <c r="AR95" s="3"/>
      <c r="AS95" s="14"/>
    </row>
    <row r="96" ht="16.5" customHeight="1">
      <c r="A96" s="42">
        <v>92.0</v>
      </c>
      <c r="B96" s="43"/>
      <c r="C96" s="44"/>
      <c r="D96" s="45"/>
      <c r="E96" s="45"/>
      <c r="F96" s="46"/>
      <c r="G96" s="47">
        <f t="shared" si="1"/>
        <v>0</v>
      </c>
      <c r="H96" s="45"/>
      <c r="I96" s="45"/>
      <c r="J96" s="46"/>
      <c r="K96" s="47">
        <f t="shared" si="2"/>
        <v>0</v>
      </c>
      <c r="L96" s="45"/>
      <c r="M96" s="45"/>
      <c r="N96" s="45"/>
      <c r="O96" s="45"/>
      <c r="P96" s="47">
        <f t="shared" si="3"/>
        <v>0</v>
      </c>
      <c r="Q96" s="32"/>
      <c r="R96" s="32"/>
      <c r="S96" s="45"/>
      <c r="T96" s="47">
        <f t="shared" si="4"/>
        <v>0</v>
      </c>
      <c r="U96" s="32"/>
      <c r="V96" s="32"/>
      <c r="W96" s="45"/>
      <c r="X96" s="47">
        <f t="shared" si="5"/>
        <v>0</v>
      </c>
      <c r="Y96" s="28"/>
      <c r="Z96" s="54"/>
      <c r="AA96" s="22"/>
      <c r="AB96" s="49"/>
      <c r="AP96" s="55"/>
      <c r="AQ96" s="3"/>
      <c r="AR96" s="3"/>
      <c r="AS96" s="14"/>
    </row>
    <row r="97" ht="16.5" customHeight="1">
      <c r="A97" s="42">
        <v>93.0</v>
      </c>
      <c r="B97" s="43"/>
      <c r="C97" s="44"/>
      <c r="D97" s="45"/>
      <c r="E97" s="45"/>
      <c r="F97" s="46"/>
      <c r="G97" s="47">
        <f t="shared" si="1"/>
        <v>0</v>
      </c>
      <c r="H97" s="45"/>
      <c r="I97" s="45"/>
      <c r="J97" s="46"/>
      <c r="K97" s="47">
        <f t="shared" si="2"/>
        <v>0</v>
      </c>
      <c r="L97" s="45"/>
      <c r="M97" s="45"/>
      <c r="N97" s="45"/>
      <c r="O97" s="45"/>
      <c r="P97" s="47">
        <f t="shared" si="3"/>
        <v>0</v>
      </c>
      <c r="Q97" s="32"/>
      <c r="R97" s="32"/>
      <c r="S97" s="45"/>
      <c r="T97" s="47">
        <f t="shared" si="4"/>
        <v>0</v>
      </c>
      <c r="U97" s="32"/>
      <c r="V97" s="32"/>
      <c r="W97" s="45"/>
      <c r="X97" s="47">
        <f t="shared" si="5"/>
        <v>0</v>
      </c>
      <c r="Y97" s="28"/>
      <c r="Z97" s="54"/>
      <c r="AA97" s="22"/>
      <c r="AB97" s="49"/>
      <c r="AP97" s="55"/>
      <c r="AQ97" s="3"/>
      <c r="AR97" s="3"/>
      <c r="AS97" s="14"/>
    </row>
    <row r="98" ht="16.5" customHeight="1">
      <c r="A98" s="42">
        <v>94.0</v>
      </c>
      <c r="B98" s="43"/>
      <c r="C98" s="44"/>
      <c r="D98" s="45"/>
      <c r="E98" s="45"/>
      <c r="F98" s="46"/>
      <c r="G98" s="47">
        <f t="shared" si="1"/>
        <v>0</v>
      </c>
      <c r="H98" s="45"/>
      <c r="I98" s="45"/>
      <c r="J98" s="46"/>
      <c r="K98" s="47">
        <f t="shared" si="2"/>
        <v>0</v>
      </c>
      <c r="L98" s="45"/>
      <c r="M98" s="45"/>
      <c r="N98" s="45"/>
      <c r="O98" s="45"/>
      <c r="P98" s="47">
        <f t="shared" si="3"/>
        <v>0</v>
      </c>
      <c r="Q98" s="32"/>
      <c r="R98" s="32"/>
      <c r="S98" s="45"/>
      <c r="T98" s="47">
        <f t="shared" si="4"/>
        <v>0</v>
      </c>
      <c r="U98" s="32"/>
      <c r="V98" s="32"/>
      <c r="W98" s="45"/>
      <c r="X98" s="47">
        <f t="shared" si="5"/>
        <v>0</v>
      </c>
      <c r="Y98" s="28"/>
      <c r="Z98" s="54"/>
      <c r="AA98" s="22"/>
      <c r="AB98" s="49"/>
      <c r="AP98" s="55"/>
      <c r="AQ98" s="3"/>
      <c r="AR98" s="3"/>
      <c r="AS98" s="14"/>
    </row>
    <row r="99" ht="16.5" customHeight="1">
      <c r="A99" s="42">
        <v>95.0</v>
      </c>
      <c r="B99" s="43"/>
      <c r="C99" s="44"/>
      <c r="D99" s="45"/>
      <c r="E99" s="45"/>
      <c r="F99" s="46"/>
      <c r="G99" s="47">
        <f t="shared" si="1"/>
        <v>0</v>
      </c>
      <c r="H99" s="45"/>
      <c r="I99" s="45"/>
      <c r="J99" s="46"/>
      <c r="K99" s="47">
        <f t="shared" si="2"/>
        <v>0</v>
      </c>
      <c r="L99" s="45"/>
      <c r="M99" s="45"/>
      <c r="N99" s="45"/>
      <c r="O99" s="45"/>
      <c r="P99" s="47">
        <f t="shared" si="3"/>
        <v>0</v>
      </c>
      <c r="Q99" s="32"/>
      <c r="R99" s="32"/>
      <c r="S99" s="45"/>
      <c r="T99" s="47">
        <f t="shared" si="4"/>
        <v>0</v>
      </c>
      <c r="U99" s="32"/>
      <c r="V99" s="32"/>
      <c r="W99" s="45"/>
      <c r="X99" s="47">
        <f t="shared" si="5"/>
        <v>0</v>
      </c>
      <c r="Y99" s="28"/>
      <c r="Z99" s="54"/>
      <c r="AA99" s="22"/>
      <c r="AB99" s="49"/>
      <c r="AP99" s="55"/>
      <c r="AQ99" s="3"/>
      <c r="AR99" s="3"/>
      <c r="AS99" s="14"/>
    </row>
    <row r="100" ht="16.5" customHeight="1">
      <c r="A100" s="42">
        <v>96.0</v>
      </c>
      <c r="B100" s="43"/>
      <c r="C100" s="44"/>
      <c r="D100" s="45"/>
      <c r="E100" s="45"/>
      <c r="F100" s="46"/>
      <c r="G100" s="47">
        <f t="shared" si="1"/>
        <v>0</v>
      </c>
      <c r="H100" s="45"/>
      <c r="I100" s="45"/>
      <c r="J100" s="46"/>
      <c r="K100" s="47">
        <f t="shared" si="2"/>
        <v>0</v>
      </c>
      <c r="L100" s="45"/>
      <c r="M100" s="45"/>
      <c r="N100" s="45"/>
      <c r="O100" s="45"/>
      <c r="P100" s="47">
        <f t="shared" si="3"/>
        <v>0</v>
      </c>
      <c r="Q100" s="32"/>
      <c r="R100" s="32"/>
      <c r="S100" s="45"/>
      <c r="T100" s="47">
        <f t="shared" si="4"/>
        <v>0</v>
      </c>
      <c r="U100" s="32"/>
      <c r="V100" s="32"/>
      <c r="W100" s="45"/>
      <c r="X100" s="47">
        <f t="shared" si="5"/>
        <v>0</v>
      </c>
      <c r="Y100" s="28"/>
      <c r="Z100" s="54"/>
      <c r="AA100" s="22"/>
      <c r="AB100" s="49"/>
      <c r="AP100" s="55"/>
      <c r="AQ100" s="3"/>
      <c r="AR100" s="3"/>
      <c r="AS100" s="14"/>
    </row>
    <row r="101" ht="16.5" customHeight="1">
      <c r="A101" s="42">
        <v>97.0</v>
      </c>
      <c r="B101" s="43"/>
      <c r="C101" s="44"/>
      <c r="D101" s="45"/>
      <c r="E101" s="45"/>
      <c r="F101" s="46"/>
      <c r="G101" s="47">
        <f t="shared" si="1"/>
        <v>0</v>
      </c>
      <c r="H101" s="45"/>
      <c r="I101" s="45"/>
      <c r="J101" s="46"/>
      <c r="K101" s="47">
        <f t="shared" si="2"/>
        <v>0</v>
      </c>
      <c r="L101" s="45"/>
      <c r="M101" s="45"/>
      <c r="N101" s="45"/>
      <c r="O101" s="45"/>
      <c r="P101" s="47">
        <f t="shared" si="3"/>
        <v>0</v>
      </c>
      <c r="Q101" s="32"/>
      <c r="R101" s="32"/>
      <c r="S101" s="45"/>
      <c r="T101" s="47">
        <f t="shared" si="4"/>
        <v>0</v>
      </c>
      <c r="U101" s="32"/>
      <c r="V101" s="32"/>
      <c r="W101" s="45"/>
      <c r="X101" s="47">
        <f t="shared" si="5"/>
        <v>0</v>
      </c>
      <c r="Y101" s="28"/>
      <c r="Z101" s="54"/>
      <c r="AA101" s="22"/>
      <c r="AB101" s="49"/>
      <c r="AP101" s="55"/>
      <c r="AQ101" s="3"/>
      <c r="AR101" s="3"/>
      <c r="AS101" s="14"/>
    </row>
    <row r="102" ht="16.5" customHeight="1">
      <c r="A102" s="42">
        <v>98.0</v>
      </c>
      <c r="B102" s="43"/>
      <c r="C102" s="44"/>
      <c r="D102" s="45"/>
      <c r="E102" s="45"/>
      <c r="F102" s="46"/>
      <c r="G102" s="47">
        <f t="shared" si="1"/>
        <v>0</v>
      </c>
      <c r="H102" s="45"/>
      <c r="I102" s="45"/>
      <c r="J102" s="46"/>
      <c r="K102" s="47">
        <f t="shared" si="2"/>
        <v>0</v>
      </c>
      <c r="L102" s="45"/>
      <c r="M102" s="45"/>
      <c r="N102" s="45"/>
      <c r="O102" s="45"/>
      <c r="P102" s="47">
        <f t="shared" si="3"/>
        <v>0</v>
      </c>
      <c r="Q102" s="32"/>
      <c r="R102" s="32"/>
      <c r="S102" s="45"/>
      <c r="T102" s="47">
        <f t="shared" si="4"/>
        <v>0</v>
      </c>
      <c r="U102" s="32"/>
      <c r="V102" s="32"/>
      <c r="W102" s="45"/>
      <c r="X102" s="47">
        <f t="shared" si="5"/>
        <v>0</v>
      </c>
      <c r="Y102" s="28"/>
      <c r="Z102" s="54"/>
      <c r="AA102" s="22"/>
      <c r="AB102" s="49"/>
      <c r="AP102" s="55"/>
      <c r="AQ102" s="3"/>
      <c r="AR102" s="3"/>
      <c r="AS102" s="14"/>
    </row>
    <row r="103" ht="16.5" customHeight="1">
      <c r="A103" s="42">
        <v>99.0</v>
      </c>
      <c r="B103" s="43"/>
      <c r="C103" s="44"/>
      <c r="D103" s="45"/>
      <c r="E103" s="45"/>
      <c r="F103" s="46"/>
      <c r="G103" s="47">
        <f t="shared" si="1"/>
        <v>0</v>
      </c>
      <c r="H103" s="45"/>
      <c r="I103" s="45"/>
      <c r="J103" s="46"/>
      <c r="K103" s="47">
        <f t="shared" si="2"/>
        <v>0</v>
      </c>
      <c r="L103" s="45"/>
      <c r="M103" s="45"/>
      <c r="N103" s="45"/>
      <c r="O103" s="45"/>
      <c r="P103" s="47">
        <f t="shared" si="3"/>
        <v>0</v>
      </c>
      <c r="Q103" s="32"/>
      <c r="R103" s="32"/>
      <c r="S103" s="45"/>
      <c r="T103" s="47">
        <f t="shared" si="4"/>
        <v>0</v>
      </c>
      <c r="U103" s="32"/>
      <c r="V103" s="32"/>
      <c r="W103" s="45"/>
      <c r="X103" s="47">
        <f t="shared" si="5"/>
        <v>0</v>
      </c>
      <c r="Y103" s="28"/>
      <c r="Z103" s="54"/>
      <c r="AA103" s="22"/>
      <c r="AB103" s="49"/>
      <c r="AP103" s="55"/>
      <c r="AQ103" s="3"/>
      <c r="AR103" s="3"/>
      <c r="AS103" s="14"/>
    </row>
    <row r="104" ht="16.5" customHeight="1">
      <c r="A104" s="42">
        <v>100.0</v>
      </c>
      <c r="B104" s="43"/>
      <c r="C104" s="44"/>
      <c r="D104" s="45"/>
      <c r="E104" s="45"/>
      <c r="F104" s="46"/>
      <c r="G104" s="47">
        <f t="shared" si="1"/>
        <v>0</v>
      </c>
      <c r="H104" s="45"/>
      <c r="I104" s="45"/>
      <c r="J104" s="46"/>
      <c r="K104" s="47">
        <f t="shared" si="2"/>
        <v>0</v>
      </c>
      <c r="L104" s="45"/>
      <c r="M104" s="45"/>
      <c r="N104" s="45"/>
      <c r="O104" s="45"/>
      <c r="P104" s="47">
        <f t="shared" si="3"/>
        <v>0</v>
      </c>
      <c r="Q104" s="32"/>
      <c r="R104" s="32"/>
      <c r="S104" s="45"/>
      <c r="T104" s="47">
        <f t="shared" si="4"/>
        <v>0</v>
      </c>
      <c r="U104" s="32"/>
      <c r="V104" s="32"/>
      <c r="W104" s="45"/>
      <c r="X104" s="47">
        <f t="shared" si="5"/>
        <v>0</v>
      </c>
      <c r="Y104" s="28"/>
      <c r="Z104" s="54"/>
      <c r="AA104" s="22"/>
      <c r="AB104" s="49"/>
      <c r="AP104" s="55"/>
      <c r="AQ104" s="3"/>
      <c r="AR104" s="3"/>
      <c r="AS104" s="14"/>
    </row>
    <row r="105" ht="16.5" customHeight="1">
      <c r="A105" s="42">
        <v>101.0</v>
      </c>
      <c r="B105" s="43"/>
      <c r="C105" s="44"/>
      <c r="D105" s="45"/>
      <c r="E105" s="45"/>
      <c r="F105" s="46"/>
      <c r="G105" s="47">
        <f t="shared" si="1"/>
        <v>0</v>
      </c>
      <c r="H105" s="45"/>
      <c r="I105" s="45"/>
      <c r="J105" s="46"/>
      <c r="K105" s="47">
        <f t="shared" si="2"/>
        <v>0</v>
      </c>
      <c r="L105" s="45"/>
      <c r="M105" s="45"/>
      <c r="N105" s="45"/>
      <c r="O105" s="45"/>
      <c r="P105" s="47">
        <f t="shared" si="3"/>
        <v>0</v>
      </c>
      <c r="Q105" s="32"/>
      <c r="R105" s="32"/>
      <c r="S105" s="45"/>
      <c r="T105" s="47">
        <f t="shared" si="4"/>
        <v>0</v>
      </c>
      <c r="U105" s="32"/>
      <c r="V105" s="32"/>
      <c r="W105" s="45"/>
      <c r="X105" s="47">
        <f t="shared" si="5"/>
        <v>0</v>
      </c>
      <c r="Y105" s="28"/>
      <c r="Z105" s="54"/>
      <c r="AA105" s="22"/>
      <c r="AB105" s="49"/>
      <c r="AP105" s="55"/>
      <c r="AQ105" s="3"/>
      <c r="AR105" s="3"/>
      <c r="AS105" s="14"/>
    </row>
    <row r="106" ht="16.5" customHeight="1">
      <c r="A106" s="42">
        <v>102.0</v>
      </c>
      <c r="B106" s="43"/>
      <c r="C106" s="44"/>
      <c r="D106" s="45"/>
      <c r="E106" s="45"/>
      <c r="F106" s="46"/>
      <c r="G106" s="47">
        <f t="shared" si="1"/>
        <v>0</v>
      </c>
      <c r="H106" s="45"/>
      <c r="I106" s="45"/>
      <c r="J106" s="46"/>
      <c r="K106" s="47">
        <f t="shared" si="2"/>
        <v>0</v>
      </c>
      <c r="L106" s="45"/>
      <c r="M106" s="45"/>
      <c r="N106" s="45"/>
      <c r="O106" s="45"/>
      <c r="P106" s="47">
        <f t="shared" si="3"/>
        <v>0</v>
      </c>
      <c r="Q106" s="32"/>
      <c r="R106" s="32"/>
      <c r="S106" s="45"/>
      <c r="T106" s="47">
        <f t="shared" si="4"/>
        <v>0</v>
      </c>
      <c r="U106" s="32"/>
      <c r="V106" s="32"/>
      <c r="W106" s="45"/>
      <c r="X106" s="47">
        <f t="shared" si="5"/>
        <v>0</v>
      </c>
      <c r="Y106" s="28"/>
      <c r="Z106" s="54"/>
      <c r="AA106" s="22"/>
      <c r="AB106" s="49"/>
      <c r="AP106" s="55"/>
      <c r="AQ106" s="3"/>
      <c r="AR106" s="3"/>
      <c r="AS106" s="14"/>
    </row>
    <row r="107" ht="16.5" customHeight="1">
      <c r="A107" s="42">
        <v>103.0</v>
      </c>
      <c r="B107" s="43"/>
      <c r="C107" s="44"/>
      <c r="D107" s="45"/>
      <c r="E107" s="45"/>
      <c r="F107" s="46"/>
      <c r="G107" s="47">
        <f t="shared" si="1"/>
        <v>0</v>
      </c>
      <c r="H107" s="45"/>
      <c r="I107" s="45"/>
      <c r="J107" s="46"/>
      <c r="K107" s="47">
        <f t="shared" si="2"/>
        <v>0</v>
      </c>
      <c r="L107" s="45"/>
      <c r="M107" s="45"/>
      <c r="N107" s="45"/>
      <c r="O107" s="45"/>
      <c r="P107" s="47">
        <f t="shared" si="3"/>
        <v>0</v>
      </c>
      <c r="Q107" s="32"/>
      <c r="R107" s="32"/>
      <c r="S107" s="45"/>
      <c r="T107" s="47">
        <f t="shared" si="4"/>
        <v>0</v>
      </c>
      <c r="U107" s="32"/>
      <c r="V107" s="32"/>
      <c r="W107" s="45"/>
      <c r="X107" s="47">
        <f t="shared" si="5"/>
        <v>0</v>
      </c>
      <c r="Y107" s="28"/>
      <c r="Z107" s="54"/>
      <c r="AA107" s="22"/>
      <c r="AB107" s="49"/>
      <c r="AP107" s="55"/>
      <c r="AQ107" s="3"/>
      <c r="AR107" s="3"/>
      <c r="AS107" s="14"/>
    </row>
    <row r="108" ht="16.5" customHeight="1">
      <c r="A108" s="42">
        <v>104.0</v>
      </c>
      <c r="B108" s="43"/>
      <c r="C108" s="44"/>
      <c r="D108" s="45"/>
      <c r="E108" s="45"/>
      <c r="F108" s="46"/>
      <c r="G108" s="47">
        <f t="shared" si="1"/>
        <v>0</v>
      </c>
      <c r="H108" s="45"/>
      <c r="I108" s="45"/>
      <c r="J108" s="46"/>
      <c r="K108" s="47">
        <f t="shared" si="2"/>
        <v>0</v>
      </c>
      <c r="L108" s="45"/>
      <c r="M108" s="45"/>
      <c r="N108" s="45"/>
      <c r="O108" s="45"/>
      <c r="P108" s="47">
        <f t="shared" si="3"/>
        <v>0</v>
      </c>
      <c r="Q108" s="32"/>
      <c r="R108" s="32"/>
      <c r="S108" s="45"/>
      <c r="T108" s="47">
        <f t="shared" si="4"/>
        <v>0</v>
      </c>
      <c r="U108" s="32"/>
      <c r="V108" s="32"/>
      <c r="W108" s="45"/>
      <c r="X108" s="47">
        <f t="shared" si="5"/>
        <v>0</v>
      </c>
      <c r="Y108" s="28"/>
      <c r="Z108" s="54"/>
      <c r="AA108" s="22"/>
      <c r="AB108" s="49"/>
      <c r="AP108" s="55"/>
      <c r="AQ108" s="3"/>
      <c r="AR108" s="3"/>
      <c r="AS108" s="14"/>
    </row>
    <row r="109" ht="16.5" customHeight="1">
      <c r="A109" s="42">
        <v>105.0</v>
      </c>
      <c r="B109" s="43"/>
      <c r="C109" s="44"/>
      <c r="D109" s="45"/>
      <c r="E109" s="45"/>
      <c r="F109" s="46"/>
      <c r="G109" s="47">
        <f t="shared" si="1"/>
        <v>0</v>
      </c>
      <c r="H109" s="45"/>
      <c r="I109" s="45"/>
      <c r="J109" s="46"/>
      <c r="K109" s="47">
        <f t="shared" si="2"/>
        <v>0</v>
      </c>
      <c r="L109" s="45"/>
      <c r="M109" s="45"/>
      <c r="N109" s="45"/>
      <c r="O109" s="45"/>
      <c r="P109" s="47">
        <f t="shared" si="3"/>
        <v>0</v>
      </c>
      <c r="Q109" s="32"/>
      <c r="R109" s="32"/>
      <c r="S109" s="45"/>
      <c r="T109" s="47">
        <f t="shared" si="4"/>
        <v>0</v>
      </c>
      <c r="U109" s="32"/>
      <c r="V109" s="32"/>
      <c r="W109" s="45"/>
      <c r="X109" s="47">
        <f t="shared" si="5"/>
        <v>0</v>
      </c>
      <c r="Y109" s="28"/>
      <c r="Z109" s="54"/>
      <c r="AA109" s="22"/>
      <c r="AB109" s="49"/>
      <c r="AP109" s="55"/>
      <c r="AQ109" s="3"/>
      <c r="AR109" s="3"/>
      <c r="AS109" s="14"/>
    </row>
    <row r="110" ht="16.5" customHeight="1">
      <c r="A110" s="42">
        <v>106.0</v>
      </c>
      <c r="B110" s="43"/>
      <c r="C110" s="44"/>
      <c r="D110" s="45"/>
      <c r="E110" s="45"/>
      <c r="F110" s="46"/>
      <c r="G110" s="47">
        <f t="shared" si="1"/>
        <v>0</v>
      </c>
      <c r="H110" s="45"/>
      <c r="I110" s="45"/>
      <c r="J110" s="46"/>
      <c r="K110" s="47">
        <f t="shared" si="2"/>
        <v>0</v>
      </c>
      <c r="L110" s="45"/>
      <c r="M110" s="45"/>
      <c r="N110" s="45"/>
      <c r="O110" s="45"/>
      <c r="P110" s="47">
        <f t="shared" si="3"/>
        <v>0</v>
      </c>
      <c r="Q110" s="32"/>
      <c r="R110" s="32"/>
      <c r="S110" s="45"/>
      <c r="T110" s="47">
        <f t="shared" si="4"/>
        <v>0</v>
      </c>
      <c r="U110" s="32"/>
      <c r="V110" s="32"/>
      <c r="W110" s="45"/>
      <c r="X110" s="47">
        <f t="shared" si="5"/>
        <v>0</v>
      </c>
      <c r="Y110" s="28"/>
      <c r="Z110" s="54"/>
      <c r="AA110" s="22"/>
      <c r="AB110" s="49"/>
      <c r="AP110" s="55"/>
      <c r="AQ110" s="3"/>
      <c r="AR110" s="3"/>
      <c r="AS110" s="14"/>
    </row>
    <row r="111" ht="16.5" customHeight="1">
      <c r="A111" s="42">
        <v>107.0</v>
      </c>
      <c r="B111" s="43"/>
      <c r="C111" s="44"/>
      <c r="D111" s="45"/>
      <c r="E111" s="45"/>
      <c r="F111" s="46"/>
      <c r="G111" s="47">
        <f t="shared" si="1"/>
        <v>0</v>
      </c>
      <c r="H111" s="45"/>
      <c r="I111" s="45"/>
      <c r="J111" s="46"/>
      <c r="K111" s="47">
        <f t="shared" si="2"/>
        <v>0</v>
      </c>
      <c r="L111" s="45"/>
      <c r="M111" s="45"/>
      <c r="N111" s="45"/>
      <c r="O111" s="45"/>
      <c r="P111" s="47">
        <f t="shared" si="3"/>
        <v>0</v>
      </c>
      <c r="Q111" s="32"/>
      <c r="R111" s="32"/>
      <c r="S111" s="45"/>
      <c r="T111" s="47">
        <f t="shared" si="4"/>
        <v>0</v>
      </c>
      <c r="U111" s="32"/>
      <c r="V111" s="32"/>
      <c r="W111" s="45"/>
      <c r="X111" s="47">
        <f t="shared" si="5"/>
        <v>0</v>
      </c>
      <c r="Y111" s="28"/>
      <c r="Z111" s="54"/>
      <c r="AA111" s="22"/>
      <c r="AB111" s="49"/>
      <c r="AP111" s="55"/>
      <c r="AQ111" s="3"/>
      <c r="AR111" s="3"/>
      <c r="AS111" s="14"/>
    </row>
    <row r="112" ht="16.5" customHeight="1">
      <c r="A112" s="42">
        <v>108.0</v>
      </c>
      <c r="B112" s="43"/>
      <c r="C112" s="44"/>
      <c r="D112" s="45"/>
      <c r="E112" s="45"/>
      <c r="F112" s="46"/>
      <c r="G112" s="47">
        <f t="shared" si="1"/>
        <v>0</v>
      </c>
      <c r="H112" s="45"/>
      <c r="I112" s="45"/>
      <c r="J112" s="46"/>
      <c r="K112" s="47">
        <f t="shared" si="2"/>
        <v>0</v>
      </c>
      <c r="L112" s="45"/>
      <c r="M112" s="45"/>
      <c r="N112" s="45"/>
      <c r="O112" s="45"/>
      <c r="P112" s="47">
        <f t="shared" si="3"/>
        <v>0</v>
      </c>
      <c r="Q112" s="32"/>
      <c r="R112" s="32"/>
      <c r="S112" s="45"/>
      <c r="T112" s="47">
        <f t="shared" si="4"/>
        <v>0</v>
      </c>
      <c r="U112" s="32"/>
      <c r="V112" s="32"/>
      <c r="W112" s="45"/>
      <c r="X112" s="47">
        <f t="shared" si="5"/>
        <v>0</v>
      </c>
      <c r="Y112" s="28"/>
      <c r="Z112" s="54"/>
      <c r="AA112" s="22"/>
      <c r="AB112" s="49"/>
      <c r="AP112" s="55"/>
      <c r="AQ112" s="3"/>
      <c r="AR112" s="3"/>
      <c r="AS112" s="14"/>
    </row>
    <row r="113" ht="16.5" customHeight="1">
      <c r="A113" s="42">
        <v>109.0</v>
      </c>
      <c r="B113" s="43"/>
      <c r="C113" s="44"/>
      <c r="D113" s="45"/>
      <c r="E113" s="45"/>
      <c r="F113" s="46"/>
      <c r="G113" s="47">
        <f t="shared" si="1"/>
        <v>0</v>
      </c>
      <c r="H113" s="45"/>
      <c r="I113" s="45"/>
      <c r="J113" s="46"/>
      <c r="K113" s="47">
        <f t="shared" si="2"/>
        <v>0</v>
      </c>
      <c r="L113" s="45"/>
      <c r="M113" s="45"/>
      <c r="N113" s="45"/>
      <c r="O113" s="45"/>
      <c r="P113" s="47">
        <f t="shared" si="3"/>
        <v>0</v>
      </c>
      <c r="Q113" s="32"/>
      <c r="R113" s="32"/>
      <c r="S113" s="45"/>
      <c r="T113" s="47">
        <f t="shared" si="4"/>
        <v>0</v>
      </c>
      <c r="U113" s="32"/>
      <c r="V113" s="32"/>
      <c r="W113" s="45"/>
      <c r="X113" s="47">
        <f t="shared" si="5"/>
        <v>0</v>
      </c>
      <c r="Y113" s="28"/>
      <c r="Z113" s="54"/>
      <c r="AA113" s="22"/>
      <c r="AB113" s="49"/>
      <c r="AP113" s="55"/>
      <c r="AQ113" s="3"/>
      <c r="AR113" s="3"/>
      <c r="AS113" s="14"/>
    </row>
    <row r="114" ht="16.5" customHeight="1">
      <c r="A114" s="42">
        <v>110.0</v>
      </c>
      <c r="B114" s="43"/>
      <c r="C114" s="44"/>
      <c r="D114" s="45"/>
      <c r="E114" s="45"/>
      <c r="F114" s="46"/>
      <c r="G114" s="47">
        <f t="shared" si="1"/>
        <v>0</v>
      </c>
      <c r="H114" s="45"/>
      <c r="I114" s="45"/>
      <c r="J114" s="46"/>
      <c r="K114" s="47">
        <f t="shared" si="2"/>
        <v>0</v>
      </c>
      <c r="L114" s="45"/>
      <c r="M114" s="45"/>
      <c r="N114" s="45"/>
      <c r="O114" s="45"/>
      <c r="P114" s="47">
        <f t="shared" si="3"/>
        <v>0</v>
      </c>
      <c r="Q114" s="32"/>
      <c r="R114" s="32"/>
      <c r="S114" s="45"/>
      <c r="T114" s="47">
        <f t="shared" si="4"/>
        <v>0</v>
      </c>
      <c r="U114" s="32"/>
      <c r="V114" s="32"/>
      <c r="W114" s="45"/>
      <c r="X114" s="47">
        <f t="shared" si="5"/>
        <v>0</v>
      </c>
      <c r="Y114" s="28"/>
      <c r="Z114" s="54"/>
      <c r="AA114" s="22"/>
      <c r="AB114" s="49"/>
      <c r="AP114" s="55"/>
      <c r="AQ114" s="3"/>
      <c r="AR114" s="3"/>
      <c r="AS114" s="14"/>
    </row>
    <row r="115" ht="16.5" customHeight="1">
      <c r="A115" s="42">
        <v>111.0</v>
      </c>
      <c r="B115" s="43"/>
      <c r="C115" s="44"/>
      <c r="D115" s="45"/>
      <c r="E115" s="45"/>
      <c r="F115" s="46"/>
      <c r="G115" s="47">
        <f t="shared" si="1"/>
        <v>0</v>
      </c>
      <c r="H115" s="45"/>
      <c r="I115" s="45"/>
      <c r="J115" s="46"/>
      <c r="K115" s="47">
        <f t="shared" si="2"/>
        <v>0</v>
      </c>
      <c r="L115" s="45"/>
      <c r="M115" s="45"/>
      <c r="N115" s="45"/>
      <c r="O115" s="45"/>
      <c r="P115" s="47">
        <f t="shared" si="3"/>
        <v>0</v>
      </c>
      <c r="Q115" s="32"/>
      <c r="R115" s="32"/>
      <c r="S115" s="45"/>
      <c r="T115" s="47">
        <f t="shared" si="4"/>
        <v>0</v>
      </c>
      <c r="U115" s="32"/>
      <c r="V115" s="32"/>
      <c r="W115" s="45"/>
      <c r="X115" s="47">
        <f t="shared" si="5"/>
        <v>0</v>
      </c>
      <c r="Y115" s="28"/>
      <c r="Z115" s="54"/>
      <c r="AA115" s="22"/>
      <c r="AB115" s="49"/>
      <c r="AP115" s="55"/>
      <c r="AQ115" s="3"/>
      <c r="AR115" s="3"/>
      <c r="AS115" s="14"/>
    </row>
    <row r="116" ht="16.5" customHeight="1">
      <c r="A116" s="42">
        <v>112.0</v>
      </c>
      <c r="B116" s="43"/>
      <c r="C116" s="44"/>
      <c r="D116" s="45"/>
      <c r="E116" s="45"/>
      <c r="F116" s="46"/>
      <c r="G116" s="47">
        <f t="shared" si="1"/>
        <v>0</v>
      </c>
      <c r="H116" s="45"/>
      <c r="I116" s="45"/>
      <c r="J116" s="46"/>
      <c r="K116" s="47">
        <f t="shared" si="2"/>
        <v>0</v>
      </c>
      <c r="L116" s="45"/>
      <c r="M116" s="45"/>
      <c r="N116" s="45"/>
      <c r="O116" s="45"/>
      <c r="P116" s="47">
        <f t="shared" si="3"/>
        <v>0</v>
      </c>
      <c r="Q116" s="32"/>
      <c r="R116" s="32"/>
      <c r="S116" s="45"/>
      <c r="T116" s="47">
        <f t="shared" si="4"/>
        <v>0</v>
      </c>
      <c r="U116" s="32"/>
      <c r="V116" s="32"/>
      <c r="W116" s="45"/>
      <c r="X116" s="47">
        <f t="shared" si="5"/>
        <v>0</v>
      </c>
      <c r="Y116" s="28"/>
      <c r="Z116" s="54"/>
      <c r="AA116" s="22"/>
      <c r="AB116" s="49"/>
      <c r="AP116" s="55"/>
      <c r="AQ116" s="3"/>
      <c r="AR116" s="3"/>
      <c r="AS116" s="14"/>
    </row>
    <row r="117" ht="16.5" customHeight="1">
      <c r="A117" s="42">
        <v>113.0</v>
      </c>
      <c r="B117" s="43"/>
      <c r="C117" s="44"/>
      <c r="D117" s="45"/>
      <c r="E117" s="45"/>
      <c r="F117" s="46"/>
      <c r="G117" s="47">
        <f t="shared" si="1"/>
        <v>0</v>
      </c>
      <c r="H117" s="45"/>
      <c r="I117" s="45"/>
      <c r="J117" s="46"/>
      <c r="K117" s="47">
        <f t="shared" si="2"/>
        <v>0</v>
      </c>
      <c r="L117" s="45"/>
      <c r="M117" s="45"/>
      <c r="N117" s="45"/>
      <c r="O117" s="45"/>
      <c r="P117" s="47">
        <f t="shared" si="3"/>
        <v>0</v>
      </c>
      <c r="Q117" s="32"/>
      <c r="R117" s="32"/>
      <c r="S117" s="45"/>
      <c r="T117" s="47">
        <f t="shared" si="4"/>
        <v>0</v>
      </c>
      <c r="U117" s="32"/>
      <c r="V117" s="32"/>
      <c r="W117" s="45"/>
      <c r="X117" s="47">
        <f t="shared" si="5"/>
        <v>0</v>
      </c>
      <c r="Y117" s="28"/>
      <c r="Z117" s="54"/>
      <c r="AA117" s="22"/>
      <c r="AB117" s="49"/>
      <c r="AP117" s="55"/>
      <c r="AQ117" s="3"/>
      <c r="AR117" s="3"/>
      <c r="AS117" s="14"/>
    </row>
    <row r="118" ht="16.5" customHeight="1">
      <c r="A118" s="42">
        <v>114.0</v>
      </c>
      <c r="B118" s="43"/>
      <c r="C118" s="44"/>
      <c r="D118" s="45"/>
      <c r="E118" s="45"/>
      <c r="F118" s="46"/>
      <c r="G118" s="47">
        <f t="shared" si="1"/>
        <v>0</v>
      </c>
      <c r="H118" s="45"/>
      <c r="I118" s="45"/>
      <c r="J118" s="46"/>
      <c r="K118" s="47">
        <f t="shared" si="2"/>
        <v>0</v>
      </c>
      <c r="L118" s="45"/>
      <c r="M118" s="45"/>
      <c r="N118" s="45"/>
      <c r="O118" s="45"/>
      <c r="P118" s="47">
        <f t="shared" si="3"/>
        <v>0</v>
      </c>
      <c r="Q118" s="32"/>
      <c r="R118" s="32"/>
      <c r="S118" s="45"/>
      <c r="T118" s="47">
        <f t="shared" si="4"/>
        <v>0</v>
      </c>
      <c r="U118" s="32"/>
      <c r="V118" s="32"/>
      <c r="W118" s="45"/>
      <c r="X118" s="47">
        <f t="shared" si="5"/>
        <v>0</v>
      </c>
      <c r="Y118" s="28"/>
      <c r="Z118" s="54"/>
      <c r="AA118" s="22"/>
      <c r="AB118" s="49"/>
      <c r="AP118" s="55"/>
      <c r="AQ118" s="3"/>
      <c r="AR118" s="3"/>
      <c r="AS118" s="14"/>
    </row>
    <row r="119" ht="16.5" customHeight="1">
      <c r="A119" s="42">
        <v>115.0</v>
      </c>
      <c r="B119" s="43"/>
      <c r="C119" s="44"/>
      <c r="D119" s="45"/>
      <c r="E119" s="45"/>
      <c r="F119" s="46"/>
      <c r="G119" s="47">
        <f t="shared" si="1"/>
        <v>0</v>
      </c>
      <c r="H119" s="45"/>
      <c r="I119" s="45"/>
      <c r="J119" s="46"/>
      <c r="K119" s="47">
        <f t="shared" si="2"/>
        <v>0</v>
      </c>
      <c r="L119" s="45"/>
      <c r="M119" s="45"/>
      <c r="N119" s="45"/>
      <c r="O119" s="45"/>
      <c r="P119" s="47">
        <f t="shared" si="3"/>
        <v>0</v>
      </c>
      <c r="Q119" s="32"/>
      <c r="R119" s="32"/>
      <c r="S119" s="45"/>
      <c r="T119" s="47">
        <f t="shared" si="4"/>
        <v>0</v>
      </c>
      <c r="U119" s="32"/>
      <c r="V119" s="32"/>
      <c r="W119" s="45"/>
      <c r="X119" s="47">
        <f t="shared" si="5"/>
        <v>0</v>
      </c>
      <c r="Y119" s="28"/>
      <c r="Z119" s="54"/>
      <c r="AA119" s="22"/>
      <c r="AB119" s="49"/>
      <c r="AP119" s="55"/>
      <c r="AQ119" s="3"/>
      <c r="AR119" s="3"/>
      <c r="AS119" s="14"/>
    </row>
    <row r="120" ht="16.5" customHeight="1">
      <c r="A120" s="42">
        <v>116.0</v>
      </c>
      <c r="B120" s="43"/>
      <c r="C120" s="44"/>
      <c r="D120" s="45"/>
      <c r="E120" s="45"/>
      <c r="F120" s="46"/>
      <c r="G120" s="47">
        <f t="shared" si="1"/>
        <v>0</v>
      </c>
      <c r="H120" s="45"/>
      <c r="I120" s="45"/>
      <c r="J120" s="46"/>
      <c r="K120" s="47">
        <f t="shared" si="2"/>
        <v>0</v>
      </c>
      <c r="L120" s="45"/>
      <c r="M120" s="45"/>
      <c r="N120" s="45"/>
      <c r="O120" s="45"/>
      <c r="P120" s="47">
        <f t="shared" si="3"/>
        <v>0</v>
      </c>
      <c r="Q120" s="32"/>
      <c r="R120" s="32"/>
      <c r="S120" s="45"/>
      <c r="T120" s="47">
        <f t="shared" si="4"/>
        <v>0</v>
      </c>
      <c r="U120" s="32"/>
      <c r="V120" s="32"/>
      <c r="W120" s="45"/>
      <c r="X120" s="47">
        <f t="shared" si="5"/>
        <v>0</v>
      </c>
      <c r="Y120" s="28"/>
      <c r="Z120" s="54"/>
      <c r="AA120" s="22"/>
      <c r="AB120" s="49"/>
      <c r="AP120" s="55"/>
      <c r="AQ120" s="3"/>
      <c r="AR120" s="3"/>
      <c r="AS120" s="14"/>
    </row>
    <row r="121" ht="16.5" customHeight="1">
      <c r="A121" s="42">
        <v>117.0</v>
      </c>
      <c r="B121" s="43"/>
      <c r="C121" s="44"/>
      <c r="D121" s="45"/>
      <c r="E121" s="45"/>
      <c r="F121" s="46"/>
      <c r="G121" s="47">
        <f t="shared" si="1"/>
        <v>0</v>
      </c>
      <c r="H121" s="45"/>
      <c r="I121" s="45"/>
      <c r="J121" s="46"/>
      <c r="K121" s="47">
        <f t="shared" si="2"/>
        <v>0</v>
      </c>
      <c r="L121" s="45"/>
      <c r="M121" s="45"/>
      <c r="N121" s="45"/>
      <c r="O121" s="45"/>
      <c r="P121" s="47">
        <f t="shared" si="3"/>
        <v>0</v>
      </c>
      <c r="Q121" s="32"/>
      <c r="R121" s="32"/>
      <c r="S121" s="45"/>
      <c r="T121" s="47">
        <f t="shared" si="4"/>
        <v>0</v>
      </c>
      <c r="U121" s="32"/>
      <c r="V121" s="32"/>
      <c r="W121" s="45"/>
      <c r="X121" s="47">
        <f t="shared" si="5"/>
        <v>0</v>
      </c>
      <c r="Y121" s="28"/>
      <c r="Z121" s="54"/>
      <c r="AA121" s="22"/>
      <c r="AB121" s="49"/>
      <c r="AP121" s="55"/>
      <c r="AQ121" s="3"/>
      <c r="AR121" s="3"/>
      <c r="AS121" s="14"/>
    </row>
    <row r="122" ht="16.5" customHeight="1">
      <c r="A122" s="42">
        <v>118.0</v>
      </c>
      <c r="B122" s="43"/>
      <c r="C122" s="44"/>
      <c r="D122" s="45"/>
      <c r="E122" s="45"/>
      <c r="F122" s="46"/>
      <c r="G122" s="47">
        <f t="shared" si="1"/>
        <v>0</v>
      </c>
      <c r="H122" s="45"/>
      <c r="I122" s="45"/>
      <c r="J122" s="46"/>
      <c r="K122" s="47">
        <f t="shared" si="2"/>
        <v>0</v>
      </c>
      <c r="L122" s="45"/>
      <c r="M122" s="45"/>
      <c r="N122" s="45"/>
      <c r="O122" s="45"/>
      <c r="P122" s="47">
        <f t="shared" si="3"/>
        <v>0</v>
      </c>
      <c r="Q122" s="32"/>
      <c r="R122" s="32"/>
      <c r="S122" s="45"/>
      <c r="T122" s="47">
        <f t="shared" si="4"/>
        <v>0</v>
      </c>
      <c r="U122" s="32"/>
      <c r="V122" s="32"/>
      <c r="W122" s="45"/>
      <c r="X122" s="47">
        <f t="shared" si="5"/>
        <v>0</v>
      </c>
      <c r="Y122" s="28"/>
      <c r="Z122" s="54"/>
      <c r="AA122" s="22"/>
      <c r="AB122" s="49"/>
      <c r="AP122" s="55"/>
      <c r="AQ122" s="3"/>
      <c r="AR122" s="3"/>
      <c r="AS122" s="14"/>
    </row>
    <row r="123" ht="16.5" customHeight="1">
      <c r="A123" s="42">
        <v>119.0</v>
      </c>
      <c r="B123" s="43"/>
      <c r="C123" s="44"/>
      <c r="D123" s="45"/>
      <c r="E123" s="45"/>
      <c r="F123" s="46"/>
      <c r="G123" s="47">
        <f t="shared" si="1"/>
        <v>0</v>
      </c>
      <c r="H123" s="45"/>
      <c r="I123" s="45"/>
      <c r="J123" s="46"/>
      <c r="K123" s="47">
        <f t="shared" si="2"/>
        <v>0</v>
      </c>
      <c r="L123" s="45"/>
      <c r="M123" s="45"/>
      <c r="N123" s="45"/>
      <c r="O123" s="45"/>
      <c r="P123" s="47">
        <f t="shared" si="3"/>
        <v>0</v>
      </c>
      <c r="Q123" s="32"/>
      <c r="R123" s="32"/>
      <c r="S123" s="45"/>
      <c r="T123" s="47">
        <f t="shared" si="4"/>
        <v>0</v>
      </c>
      <c r="U123" s="32"/>
      <c r="V123" s="32"/>
      <c r="W123" s="45"/>
      <c r="X123" s="47">
        <f t="shared" si="5"/>
        <v>0</v>
      </c>
      <c r="Y123" s="28"/>
      <c r="Z123" s="54"/>
      <c r="AA123" s="22"/>
      <c r="AB123" s="49"/>
      <c r="AP123" s="55"/>
      <c r="AQ123" s="3"/>
      <c r="AR123" s="3"/>
      <c r="AS123" s="14"/>
    </row>
    <row r="124" ht="16.5" customHeight="1">
      <c r="A124" s="42">
        <v>120.0</v>
      </c>
      <c r="B124" s="43"/>
      <c r="C124" s="44"/>
      <c r="D124" s="45"/>
      <c r="E124" s="45"/>
      <c r="F124" s="46"/>
      <c r="G124" s="47">
        <f t="shared" si="1"/>
        <v>0</v>
      </c>
      <c r="H124" s="45"/>
      <c r="I124" s="45"/>
      <c r="J124" s="46"/>
      <c r="K124" s="47">
        <f t="shared" si="2"/>
        <v>0</v>
      </c>
      <c r="L124" s="45"/>
      <c r="M124" s="45"/>
      <c r="N124" s="45"/>
      <c r="O124" s="45"/>
      <c r="P124" s="47">
        <f t="shared" si="3"/>
        <v>0</v>
      </c>
      <c r="Q124" s="32"/>
      <c r="R124" s="32"/>
      <c r="S124" s="45"/>
      <c r="T124" s="47">
        <f t="shared" si="4"/>
        <v>0</v>
      </c>
      <c r="U124" s="32"/>
      <c r="V124" s="32"/>
      <c r="W124" s="45"/>
      <c r="X124" s="47">
        <f t="shared" si="5"/>
        <v>0</v>
      </c>
      <c r="Y124" s="28"/>
      <c r="Z124" s="54"/>
      <c r="AA124" s="22"/>
      <c r="AB124" s="49"/>
      <c r="AP124" s="55"/>
      <c r="AQ124" s="3"/>
      <c r="AR124" s="3"/>
      <c r="AS124" s="14"/>
    </row>
    <row r="125" ht="16.5" customHeight="1">
      <c r="A125" s="42">
        <v>121.0</v>
      </c>
      <c r="B125" s="43"/>
      <c r="C125" s="44"/>
      <c r="D125" s="45"/>
      <c r="E125" s="45"/>
      <c r="F125" s="46"/>
      <c r="G125" s="47">
        <f t="shared" si="1"/>
        <v>0</v>
      </c>
      <c r="H125" s="45"/>
      <c r="I125" s="45"/>
      <c r="J125" s="46"/>
      <c r="K125" s="47">
        <f t="shared" si="2"/>
        <v>0</v>
      </c>
      <c r="L125" s="45"/>
      <c r="M125" s="45"/>
      <c r="N125" s="45"/>
      <c r="O125" s="45"/>
      <c r="P125" s="47">
        <f t="shared" si="3"/>
        <v>0</v>
      </c>
      <c r="Q125" s="32"/>
      <c r="R125" s="32"/>
      <c r="S125" s="45"/>
      <c r="T125" s="47">
        <f t="shared" si="4"/>
        <v>0</v>
      </c>
      <c r="U125" s="32"/>
      <c r="V125" s="32"/>
      <c r="W125" s="45"/>
      <c r="X125" s="47">
        <f t="shared" si="5"/>
        <v>0</v>
      </c>
      <c r="Y125" s="28"/>
      <c r="Z125" s="54"/>
      <c r="AA125" s="22"/>
      <c r="AB125" s="49"/>
      <c r="AP125" s="55"/>
      <c r="AQ125" s="3"/>
      <c r="AR125" s="3"/>
      <c r="AS125" s="14"/>
    </row>
    <row r="126" ht="16.5" customHeight="1">
      <c r="A126" s="42">
        <v>122.0</v>
      </c>
      <c r="B126" s="43"/>
      <c r="C126" s="44"/>
      <c r="D126" s="45"/>
      <c r="E126" s="45"/>
      <c r="F126" s="46"/>
      <c r="G126" s="47">
        <f t="shared" si="1"/>
        <v>0</v>
      </c>
      <c r="H126" s="45"/>
      <c r="I126" s="45"/>
      <c r="J126" s="46"/>
      <c r="K126" s="47">
        <f t="shared" si="2"/>
        <v>0</v>
      </c>
      <c r="L126" s="45"/>
      <c r="M126" s="45"/>
      <c r="N126" s="45"/>
      <c r="O126" s="45"/>
      <c r="P126" s="47">
        <f t="shared" si="3"/>
        <v>0</v>
      </c>
      <c r="Q126" s="32"/>
      <c r="R126" s="32"/>
      <c r="S126" s="45"/>
      <c r="T126" s="47">
        <f t="shared" si="4"/>
        <v>0</v>
      </c>
      <c r="U126" s="32"/>
      <c r="V126" s="32"/>
      <c r="W126" s="45"/>
      <c r="X126" s="47">
        <f t="shared" si="5"/>
        <v>0</v>
      </c>
      <c r="Y126" s="28"/>
      <c r="Z126" s="54"/>
      <c r="AA126" s="22"/>
      <c r="AB126" s="49"/>
      <c r="AP126" s="55"/>
      <c r="AQ126" s="3"/>
      <c r="AR126" s="3"/>
      <c r="AS126" s="14"/>
    </row>
    <row r="127" ht="16.5" customHeight="1">
      <c r="A127" s="42">
        <v>123.0</v>
      </c>
      <c r="B127" s="43"/>
      <c r="C127" s="44"/>
      <c r="D127" s="45"/>
      <c r="E127" s="45"/>
      <c r="F127" s="46"/>
      <c r="G127" s="47">
        <f t="shared" si="1"/>
        <v>0</v>
      </c>
      <c r="H127" s="45"/>
      <c r="I127" s="45"/>
      <c r="J127" s="46"/>
      <c r="K127" s="47">
        <f t="shared" si="2"/>
        <v>0</v>
      </c>
      <c r="L127" s="45"/>
      <c r="M127" s="45"/>
      <c r="N127" s="45"/>
      <c r="O127" s="45"/>
      <c r="P127" s="47">
        <f t="shared" si="3"/>
        <v>0</v>
      </c>
      <c r="Q127" s="32"/>
      <c r="R127" s="32"/>
      <c r="S127" s="45"/>
      <c r="T127" s="47">
        <f t="shared" si="4"/>
        <v>0</v>
      </c>
      <c r="U127" s="32"/>
      <c r="V127" s="32"/>
      <c r="W127" s="45"/>
      <c r="X127" s="47">
        <f t="shared" si="5"/>
        <v>0</v>
      </c>
      <c r="Y127" s="28"/>
      <c r="Z127" s="54"/>
      <c r="AA127" s="22"/>
      <c r="AB127" s="49"/>
      <c r="AP127" s="55"/>
      <c r="AQ127" s="3"/>
      <c r="AR127" s="3"/>
      <c r="AS127" s="14"/>
    </row>
    <row r="128" ht="16.5" customHeight="1">
      <c r="A128" s="42">
        <v>124.0</v>
      </c>
      <c r="B128" s="43"/>
      <c r="C128" s="44"/>
      <c r="D128" s="45"/>
      <c r="E128" s="45"/>
      <c r="F128" s="46"/>
      <c r="G128" s="47">
        <f t="shared" si="1"/>
        <v>0</v>
      </c>
      <c r="H128" s="45"/>
      <c r="I128" s="45"/>
      <c r="J128" s="46"/>
      <c r="K128" s="47">
        <f t="shared" si="2"/>
        <v>0</v>
      </c>
      <c r="L128" s="45"/>
      <c r="M128" s="45"/>
      <c r="N128" s="45"/>
      <c r="O128" s="45"/>
      <c r="P128" s="47">
        <f t="shared" si="3"/>
        <v>0</v>
      </c>
      <c r="Q128" s="32"/>
      <c r="R128" s="32"/>
      <c r="S128" s="45"/>
      <c r="T128" s="47">
        <f t="shared" si="4"/>
        <v>0</v>
      </c>
      <c r="U128" s="32"/>
      <c r="V128" s="32"/>
      <c r="W128" s="45"/>
      <c r="X128" s="47">
        <f t="shared" si="5"/>
        <v>0</v>
      </c>
      <c r="Y128" s="28"/>
      <c r="Z128" s="54"/>
      <c r="AA128" s="22"/>
      <c r="AB128" s="49"/>
      <c r="AP128" s="55"/>
      <c r="AQ128" s="3"/>
      <c r="AR128" s="3"/>
      <c r="AS128" s="14"/>
    </row>
    <row r="129" ht="16.5" customHeight="1">
      <c r="A129" s="42">
        <v>125.0</v>
      </c>
      <c r="B129" s="43"/>
      <c r="C129" s="44"/>
      <c r="D129" s="45"/>
      <c r="E129" s="45"/>
      <c r="F129" s="46"/>
      <c r="G129" s="47">
        <f t="shared" si="1"/>
        <v>0</v>
      </c>
      <c r="H129" s="45"/>
      <c r="I129" s="45"/>
      <c r="J129" s="46"/>
      <c r="K129" s="47">
        <f t="shared" si="2"/>
        <v>0</v>
      </c>
      <c r="L129" s="45"/>
      <c r="M129" s="45"/>
      <c r="N129" s="45"/>
      <c r="O129" s="45"/>
      <c r="P129" s="47">
        <f t="shared" si="3"/>
        <v>0</v>
      </c>
      <c r="Q129" s="32"/>
      <c r="R129" s="32"/>
      <c r="S129" s="45"/>
      <c r="T129" s="47">
        <f t="shared" si="4"/>
        <v>0</v>
      </c>
      <c r="U129" s="32"/>
      <c r="V129" s="32"/>
      <c r="W129" s="45"/>
      <c r="X129" s="47">
        <f t="shared" si="5"/>
        <v>0</v>
      </c>
      <c r="Y129" s="28"/>
      <c r="Z129" s="54"/>
      <c r="AA129" s="22"/>
      <c r="AB129" s="49"/>
      <c r="AP129" s="55"/>
      <c r="AQ129" s="3"/>
      <c r="AR129" s="3"/>
      <c r="AS129" s="14"/>
    </row>
    <row r="130" ht="16.5" customHeight="1">
      <c r="A130" s="42">
        <v>126.0</v>
      </c>
      <c r="B130" s="43"/>
      <c r="C130" s="44"/>
      <c r="D130" s="45"/>
      <c r="E130" s="45"/>
      <c r="F130" s="46"/>
      <c r="G130" s="47">
        <f t="shared" si="1"/>
        <v>0</v>
      </c>
      <c r="H130" s="45"/>
      <c r="I130" s="45"/>
      <c r="J130" s="46"/>
      <c r="K130" s="47">
        <f t="shared" si="2"/>
        <v>0</v>
      </c>
      <c r="L130" s="45"/>
      <c r="M130" s="45"/>
      <c r="N130" s="45"/>
      <c r="O130" s="45"/>
      <c r="P130" s="47">
        <f t="shared" si="3"/>
        <v>0</v>
      </c>
      <c r="Q130" s="32"/>
      <c r="R130" s="32"/>
      <c r="S130" s="45"/>
      <c r="T130" s="47">
        <f t="shared" si="4"/>
        <v>0</v>
      </c>
      <c r="U130" s="32"/>
      <c r="V130" s="32"/>
      <c r="W130" s="45"/>
      <c r="X130" s="47">
        <f t="shared" si="5"/>
        <v>0</v>
      </c>
      <c r="Y130" s="28"/>
      <c r="Z130" s="54"/>
      <c r="AA130" s="22"/>
      <c r="AB130" s="49"/>
      <c r="AP130" s="55"/>
      <c r="AQ130" s="3"/>
      <c r="AR130" s="3"/>
      <c r="AS130" s="14"/>
    </row>
    <row r="131" ht="16.5" customHeight="1">
      <c r="A131" s="42">
        <v>127.0</v>
      </c>
      <c r="B131" s="43"/>
      <c r="C131" s="44"/>
      <c r="D131" s="45"/>
      <c r="E131" s="45"/>
      <c r="F131" s="46"/>
      <c r="G131" s="47">
        <f t="shared" si="1"/>
        <v>0</v>
      </c>
      <c r="H131" s="45"/>
      <c r="I131" s="45"/>
      <c r="J131" s="46"/>
      <c r="K131" s="47">
        <f t="shared" si="2"/>
        <v>0</v>
      </c>
      <c r="L131" s="45"/>
      <c r="M131" s="45"/>
      <c r="N131" s="45"/>
      <c r="O131" s="45"/>
      <c r="P131" s="47">
        <f t="shared" si="3"/>
        <v>0</v>
      </c>
      <c r="Q131" s="32"/>
      <c r="R131" s="32"/>
      <c r="S131" s="45"/>
      <c r="T131" s="47">
        <f t="shared" si="4"/>
        <v>0</v>
      </c>
      <c r="U131" s="32"/>
      <c r="V131" s="32"/>
      <c r="W131" s="45"/>
      <c r="X131" s="47">
        <f t="shared" si="5"/>
        <v>0</v>
      </c>
      <c r="Y131" s="28"/>
      <c r="Z131" s="54"/>
      <c r="AA131" s="22"/>
      <c r="AB131" s="49"/>
      <c r="AP131" s="55"/>
      <c r="AQ131" s="3"/>
      <c r="AR131" s="3"/>
      <c r="AS131" s="14"/>
    </row>
    <row r="132" ht="16.5" customHeight="1">
      <c r="A132" s="42">
        <v>128.0</v>
      </c>
      <c r="B132" s="43"/>
      <c r="C132" s="44"/>
      <c r="D132" s="45"/>
      <c r="E132" s="45"/>
      <c r="F132" s="46"/>
      <c r="G132" s="47">
        <f t="shared" si="1"/>
        <v>0</v>
      </c>
      <c r="H132" s="45"/>
      <c r="I132" s="45"/>
      <c r="J132" s="46"/>
      <c r="K132" s="47">
        <f t="shared" si="2"/>
        <v>0</v>
      </c>
      <c r="L132" s="45"/>
      <c r="M132" s="45"/>
      <c r="N132" s="45"/>
      <c r="O132" s="45"/>
      <c r="P132" s="47">
        <f t="shared" si="3"/>
        <v>0</v>
      </c>
      <c r="Q132" s="32"/>
      <c r="R132" s="32"/>
      <c r="S132" s="45"/>
      <c r="T132" s="47">
        <f t="shared" si="4"/>
        <v>0</v>
      </c>
      <c r="U132" s="32"/>
      <c r="V132" s="32"/>
      <c r="W132" s="45"/>
      <c r="X132" s="47">
        <f t="shared" si="5"/>
        <v>0</v>
      </c>
      <c r="Y132" s="28"/>
      <c r="Z132" s="54"/>
      <c r="AA132" s="22"/>
      <c r="AB132" s="49"/>
      <c r="AP132" s="55"/>
      <c r="AQ132" s="3"/>
      <c r="AR132" s="3"/>
      <c r="AS132" s="14"/>
    </row>
    <row r="133" ht="16.5" customHeight="1">
      <c r="A133" s="42">
        <v>129.0</v>
      </c>
      <c r="B133" s="43"/>
      <c r="C133" s="44"/>
      <c r="D133" s="45"/>
      <c r="E133" s="45"/>
      <c r="F133" s="46"/>
      <c r="G133" s="47">
        <f t="shared" si="1"/>
        <v>0</v>
      </c>
      <c r="H133" s="45"/>
      <c r="I133" s="45"/>
      <c r="J133" s="46"/>
      <c r="K133" s="47">
        <f t="shared" si="2"/>
        <v>0</v>
      </c>
      <c r="L133" s="45"/>
      <c r="M133" s="45"/>
      <c r="N133" s="45"/>
      <c r="O133" s="45"/>
      <c r="P133" s="47">
        <f t="shared" si="3"/>
        <v>0</v>
      </c>
      <c r="Q133" s="32"/>
      <c r="R133" s="32"/>
      <c r="S133" s="45"/>
      <c r="T133" s="47">
        <f t="shared" si="4"/>
        <v>0</v>
      </c>
      <c r="U133" s="32"/>
      <c r="V133" s="32"/>
      <c r="W133" s="45"/>
      <c r="X133" s="47">
        <f t="shared" si="5"/>
        <v>0</v>
      </c>
      <c r="Y133" s="28"/>
      <c r="Z133" s="54"/>
      <c r="AA133" s="22"/>
      <c r="AB133" s="49"/>
      <c r="AP133" s="55"/>
      <c r="AQ133" s="3"/>
      <c r="AR133" s="3"/>
      <c r="AS133" s="14"/>
    </row>
    <row r="134" ht="16.5" customHeight="1">
      <c r="A134" s="42">
        <v>130.0</v>
      </c>
      <c r="B134" s="43"/>
      <c r="C134" s="44"/>
      <c r="D134" s="45"/>
      <c r="E134" s="45"/>
      <c r="F134" s="46"/>
      <c r="G134" s="47">
        <f t="shared" si="1"/>
        <v>0</v>
      </c>
      <c r="H134" s="45"/>
      <c r="I134" s="45"/>
      <c r="J134" s="46"/>
      <c r="K134" s="47">
        <f t="shared" si="2"/>
        <v>0</v>
      </c>
      <c r="L134" s="45"/>
      <c r="M134" s="45"/>
      <c r="N134" s="45"/>
      <c r="O134" s="45"/>
      <c r="P134" s="47">
        <f t="shared" si="3"/>
        <v>0</v>
      </c>
      <c r="Q134" s="32"/>
      <c r="R134" s="32"/>
      <c r="S134" s="45"/>
      <c r="T134" s="47">
        <f t="shared" si="4"/>
        <v>0</v>
      </c>
      <c r="U134" s="32"/>
      <c r="V134" s="32"/>
      <c r="W134" s="45"/>
      <c r="X134" s="47">
        <f t="shared" si="5"/>
        <v>0</v>
      </c>
      <c r="Y134" s="28"/>
      <c r="Z134" s="54"/>
      <c r="AA134" s="22"/>
      <c r="AB134" s="49"/>
      <c r="AP134" s="55"/>
      <c r="AQ134" s="3"/>
      <c r="AR134" s="3"/>
      <c r="AS134" s="14"/>
    </row>
    <row r="135" ht="16.5" customHeight="1">
      <c r="A135" s="42">
        <v>131.0</v>
      </c>
      <c r="B135" s="43"/>
      <c r="C135" s="44"/>
      <c r="D135" s="45"/>
      <c r="E135" s="45"/>
      <c r="F135" s="46"/>
      <c r="G135" s="47">
        <f t="shared" si="1"/>
        <v>0</v>
      </c>
      <c r="H135" s="45"/>
      <c r="I135" s="45"/>
      <c r="J135" s="46"/>
      <c r="K135" s="47">
        <f t="shared" si="2"/>
        <v>0</v>
      </c>
      <c r="L135" s="45"/>
      <c r="M135" s="45"/>
      <c r="N135" s="45"/>
      <c r="O135" s="45"/>
      <c r="P135" s="47">
        <f t="shared" si="3"/>
        <v>0</v>
      </c>
      <c r="Q135" s="32"/>
      <c r="R135" s="32"/>
      <c r="S135" s="45"/>
      <c r="T135" s="47">
        <f t="shared" si="4"/>
        <v>0</v>
      </c>
      <c r="U135" s="32"/>
      <c r="V135" s="32"/>
      <c r="W135" s="45"/>
      <c r="X135" s="47">
        <f t="shared" si="5"/>
        <v>0</v>
      </c>
      <c r="Y135" s="28"/>
      <c r="Z135" s="54"/>
      <c r="AA135" s="22"/>
      <c r="AB135" s="49"/>
      <c r="AP135" s="55"/>
      <c r="AQ135" s="3"/>
      <c r="AR135" s="3"/>
      <c r="AS135" s="14"/>
    </row>
    <row r="136" ht="16.5" customHeight="1">
      <c r="A136" s="42">
        <v>132.0</v>
      </c>
      <c r="B136" s="43"/>
      <c r="C136" s="44"/>
      <c r="D136" s="45"/>
      <c r="E136" s="45"/>
      <c r="F136" s="46"/>
      <c r="G136" s="47">
        <f t="shared" si="1"/>
        <v>0</v>
      </c>
      <c r="H136" s="45"/>
      <c r="I136" s="45"/>
      <c r="J136" s="46"/>
      <c r="K136" s="47">
        <f t="shared" si="2"/>
        <v>0</v>
      </c>
      <c r="L136" s="45"/>
      <c r="M136" s="45"/>
      <c r="N136" s="45"/>
      <c r="O136" s="45"/>
      <c r="P136" s="47">
        <f t="shared" si="3"/>
        <v>0</v>
      </c>
      <c r="Q136" s="32"/>
      <c r="R136" s="32"/>
      <c r="S136" s="45"/>
      <c r="T136" s="47">
        <f t="shared" si="4"/>
        <v>0</v>
      </c>
      <c r="U136" s="32"/>
      <c r="V136" s="32"/>
      <c r="W136" s="45"/>
      <c r="X136" s="47">
        <f t="shared" si="5"/>
        <v>0</v>
      </c>
      <c r="Y136" s="28"/>
      <c r="Z136" s="54"/>
      <c r="AA136" s="22"/>
      <c r="AB136" s="49"/>
      <c r="AP136" s="55"/>
      <c r="AQ136" s="3"/>
      <c r="AR136" s="3"/>
      <c r="AS136" s="14"/>
    </row>
    <row r="137" ht="16.5" customHeight="1">
      <c r="A137" s="42">
        <v>133.0</v>
      </c>
      <c r="B137" s="43"/>
      <c r="C137" s="44"/>
      <c r="D137" s="45"/>
      <c r="E137" s="45"/>
      <c r="F137" s="46"/>
      <c r="G137" s="47">
        <f t="shared" si="1"/>
        <v>0</v>
      </c>
      <c r="H137" s="45"/>
      <c r="I137" s="45"/>
      <c r="J137" s="46"/>
      <c r="K137" s="47">
        <f t="shared" si="2"/>
        <v>0</v>
      </c>
      <c r="L137" s="45"/>
      <c r="M137" s="45"/>
      <c r="N137" s="45"/>
      <c r="O137" s="45"/>
      <c r="P137" s="47">
        <f t="shared" si="3"/>
        <v>0</v>
      </c>
      <c r="Q137" s="32"/>
      <c r="R137" s="32"/>
      <c r="S137" s="45"/>
      <c r="T137" s="47">
        <f t="shared" si="4"/>
        <v>0</v>
      </c>
      <c r="U137" s="32"/>
      <c r="V137" s="32"/>
      <c r="W137" s="45"/>
      <c r="X137" s="47">
        <f t="shared" si="5"/>
        <v>0</v>
      </c>
      <c r="Y137" s="28"/>
      <c r="Z137" s="54"/>
      <c r="AA137" s="22"/>
      <c r="AB137" s="49"/>
      <c r="AP137" s="55"/>
      <c r="AQ137" s="3"/>
      <c r="AR137" s="3"/>
      <c r="AS137" s="14"/>
    </row>
    <row r="138" ht="16.5" customHeight="1">
      <c r="A138" s="42">
        <v>134.0</v>
      </c>
      <c r="B138" s="43"/>
      <c r="C138" s="44"/>
      <c r="D138" s="45"/>
      <c r="E138" s="45"/>
      <c r="F138" s="46"/>
      <c r="G138" s="47">
        <f t="shared" si="1"/>
        <v>0</v>
      </c>
      <c r="H138" s="45"/>
      <c r="I138" s="45"/>
      <c r="J138" s="46"/>
      <c r="K138" s="47">
        <f t="shared" si="2"/>
        <v>0</v>
      </c>
      <c r="L138" s="45"/>
      <c r="M138" s="45"/>
      <c r="N138" s="45"/>
      <c r="O138" s="45"/>
      <c r="P138" s="47">
        <f t="shared" si="3"/>
        <v>0</v>
      </c>
      <c r="Q138" s="32"/>
      <c r="R138" s="32"/>
      <c r="S138" s="45"/>
      <c r="T138" s="47">
        <f t="shared" si="4"/>
        <v>0</v>
      </c>
      <c r="U138" s="32"/>
      <c r="V138" s="32"/>
      <c r="W138" s="45"/>
      <c r="X138" s="47">
        <f t="shared" si="5"/>
        <v>0</v>
      </c>
      <c r="Y138" s="28"/>
      <c r="Z138" s="54"/>
      <c r="AA138" s="22"/>
      <c r="AB138" s="49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55"/>
      <c r="AQ138" s="3"/>
      <c r="AR138" s="3"/>
      <c r="AS138" s="14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</row>
    <row r="139" ht="16.5" customHeight="1">
      <c r="A139" s="42">
        <v>135.0</v>
      </c>
      <c r="B139" s="43"/>
      <c r="C139" s="44"/>
      <c r="D139" s="45"/>
      <c r="E139" s="45"/>
      <c r="F139" s="46"/>
      <c r="G139" s="47">
        <f t="shared" si="1"/>
        <v>0</v>
      </c>
      <c r="H139" s="45"/>
      <c r="I139" s="45"/>
      <c r="J139" s="46"/>
      <c r="K139" s="47">
        <f t="shared" si="2"/>
        <v>0</v>
      </c>
      <c r="L139" s="45"/>
      <c r="M139" s="45"/>
      <c r="N139" s="45"/>
      <c r="O139" s="45"/>
      <c r="P139" s="47">
        <f t="shared" si="3"/>
        <v>0</v>
      </c>
      <c r="Q139" s="32"/>
      <c r="R139" s="32"/>
      <c r="S139" s="45"/>
      <c r="T139" s="47">
        <f t="shared" si="4"/>
        <v>0</v>
      </c>
      <c r="U139" s="32"/>
      <c r="V139" s="32"/>
      <c r="W139" s="45"/>
      <c r="X139" s="47">
        <f t="shared" si="5"/>
        <v>0</v>
      </c>
      <c r="Y139" s="28"/>
      <c r="Z139" s="54" t="s">
        <v>51</v>
      </c>
      <c r="AA139" s="22"/>
      <c r="AB139" s="49"/>
      <c r="AP139" s="55"/>
      <c r="AQ139" s="3"/>
      <c r="AR139" s="3"/>
      <c r="AS139" s="14"/>
    </row>
    <row r="140" ht="16.5" customHeight="1">
      <c r="A140" s="42">
        <v>136.0</v>
      </c>
      <c r="B140" s="43"/>
      <c r="C140" s="44"/>
      <c r="D140" s="45"/>
      <c r="E140" s="45"/>
      <c r="F140" s="46"/>
      <c r="G140" s="47">
        <f t="shared" si="1"/>
        <v>0</v>
      </c>
      <c r="H140" s="45"/>
      <c r="I140" s="45"/>
      <c r="J140" s="46"/>
      <c r="K140" s="47">
        <f t="shared" si="2"/>
        <v>0</v>
      </c>
      <c r="L140" s="45"/>
      <c r="M140" s="45"/>
      <c r="N140" s="45"/>
      <c r="O140" s="45"/>
      <c r="P140" s="47">
        <f t="shared" si="3"/>
        <v>0</v>
      </c>
      <c r="Q140" s="32"/>
      <c r="R140" s="32"/>
      <c r="S140" s="45"/>
      <c r="T140" s="47">
        <f t="shared" si="4"/>
        <v>0</v>
      </c>
      <c r="U140" s="32"/>
      <c r="V140" s="32"/>
      <c r="W140" s="45"/>
      <c r="X140" s="47">
        <f t="shared" si="5"/>
        <v>0</v>
      </c>
      <c r="Y140" s="28"/>
      <c r="Z140" s="54" t="s">
        <v>52</v>
      </c>
      <c r="AA140" s="22"/>
      <c r="AB140" s="49"/>
      <c r="AP140" s="55"/>
      <c r="AQ140" s="3"/>
      <c r="AR140" s="3"/>
      <c r="AS140" s="14"/>
    </row>
    <row r="141" ht="16.5" customHeight="1">
      <c r="A141" s="42">
        <v>137.0</v>
      </c>
      <c r="B141" s="43"/>
      <c r="C141" s="44"/>
      <c r="D141" s="45"/>
      <c r="E141" s="45"/>
      <c r="F141" s="46"/>
      <c r="G141" s="47">
        <f t="shared" si="1"/>
        <v>0</v>
      </c>
      <c r="H141" s="45"/>
      <c r="I141" s="45"/>
      <c r="J141" s="46"/>
      <c r="K141" s="47">
        <f t="shared" si="2"/>
        <v>0</v>
      </c>
      <c r="L141" s="45"/>
      <c r="M141" s="45"/>
      <c r="N141" s="45"/>
      <c r="O141" s="45"/>
      <c r="P141" s="47">
        <f t="shared" si="3"/>
        <v>0</v>
      </c>
      <c r="Q141" s="32"/>
      <c r="R141" s="32"/>
      <c r="S141" s="45"/>
      <c r="T141" s="47">
        <f t="shared" si="4"/>
        <v>0</v>
      </c>
      <c r="U141" s="32"/>
      <c r="V141" s="32"/>
      <c r="W141" s="45"/>
      <c r="X141" s="47">
        <f t="shared" si="5"/>
        <v>0</v>
      </c>
      <c r="Y141" s="28"/>
      <c r="Z141" s="54" t="s">
        <v>53</v>
      </c>
      <c r="AA141" s="22"/>
      <c r="AB141" s="49"/>
      <c r="AP141" s="55"/>
      <c r="AQ141" s="3"/>
      <c r="AR141" s="3"/>
      <c r="AS141" s="14"/>
    </row>
    <row r="142" ht="16.5" customHeight="1">
      <c r="A142" s="42"/>
      <c r="B142" s="91" t="s">
        <v>54</v>
      </c>
      <c r="C142" s="19"/>
      <c r="D142" s="103" t="s">
        <v>5</v>
      </c>
      <c r="E142" s="104"/>
      <c r="F142" s="105"/>
      <c r="G142" s="106">
        <v>55.0</v>
      </c>
      <c r="H142" s="103" t="s">
        <v>6</v>
      </c>
      <c r="I142" s="104"/>
      <c r="J142" s="105"/>
      <c r="K142" s="106">
        <v>55.0</v>
      </c>
      <c r="L142" s="103" t="s">
        <v>7</v>
      </c>
      <c r="M142" s="104"/>
      <c r="N142" s="104"/>
      <c r="O142" s="105"/>
      <c r="P142" s="106">
        <v>55.0</v>
      </c>
      <c r="Q142" s="103" t="s">
        <v>8</v>
      </c>
      <c r="R142" s="104"/>
      <c r="S142" s="105"/>
      <c r="T142" s="106">
        <v>55.0</v>
      </c>
      <c r="U142" s="103" t="s">
        <v>9</v>
      </c>
      <c r="V142" s="104"/>
      <c r="W142" s="105"/>
      <c r="X142" s="106">
        <v>55.0</v>
      </c>
      <c r="Y142" s="28"/>
      <c r="Z142" s="107" t="s">
        <v>55</v>
      </c>
      <c r="AA142" s="22"/>
      <c r="AB142" s="49"/>
      <c r="AC142" s="49"/>
      <c r="AD142" s="49"/>
      <c r="AE142" s="49"/>
      <c r="AF142" s="49"/>
      <c r="AI142" s="56"/>
      <c r="AJ142" s="56"/>
      <c r="AK142" s="57"/>
      <c r="AL142" s="58"/>
      <c r="AM142" s="58"/>
      <c r="AN142" s="58"/>
      <c r="AO142" s="58"/>
      <c r="AP142" s="55"/>
      <c r="AQ142" s="3"/>
      <c r="AR142" s="3"/>
      <c r="AS142" s="14"/>
    </row>
    <row r="143" ht="16.5" customHeight="1">
      <c r="A143" s="108"/>
      <c r="B143" s="109" t="s">
        <v>56</v>
      </c>
      <c r="C143" s="19"/>
      <c r="D143" s="110"/>
      <c r="F143" s="64"/>
      <c r="G143" s="111">
        <f>COUNTIF(G7:G141,"&gt;="&amp;G5*(G142/100))</f>
        <v>1</v>
      </c>
      <c r="H143" s="110"/>
      <c r="J143" s="64"/>
      <c r="K143" s="111">
        <f>COUNTIF(K7:K141,"&gt;="&amp;K5*(K142/100))</f>
        <v>1</v>
      </c>
      <c r="L143" s="110"/>
      <c r="O143" s="64"/>
      <c r="P143" s="111">
        <f>COUNTIF(P7:P141,"&gt;="&amp;P5*(P142/100))</f>
        <v>1</v>
      </c>
      <c r="Q143" s="110"/>
      <c r="S143" s="64"/>
      <c r="T143" s="111">
        <f>COUNTIF(T7:T141,"&gt;="&amp;T5*(T142/100))</f>
        <v>1</v>
      </c>
      <c r="U143" s="110"/>
      <c r="W143" s="64"/>
      <c r="X143" s="111">
        <f>COUNTIF(X7:X141,"&gt;="&amp;X5*(X142/100))</f>
        <v>1</v>
      </c>
      <c r="Y143" s="28"/>
      <c r="Z143" s="112">
        <f>COUNTA(Z7:Z141)-(COUNTIF(Z7:Z141,"=U*")+COUNTIF(Z7:Z141,"=R*")+COUNTIF(Z7:Z141,"=WH*"))</f>
        <v>2</v>
      </c>
      <c r="AA143" s="22"/>
      <c r="AB143" s="49"/>
      <c r="AC143" s="49"/>
      <c r="AE143" s="3"/>
      <c r="AF143" s="3"/>
      <c r="AG143" s="3"/>
      <c r="AH143" s="3"/>
      <c r="AI143" s="3"/>
      <c r="AJ143" s="57"/>
      <c r="AK143" s="3"/>
      <c r="AL143" s="3"/>
      <c r="AM143" s="3"/>
      <c r="AN143" s="3"/>
      <c r="AO143" s="113"/>
      <c r="AP143" s="3"/>
      <c r="AQ143" s="3"/>
      <c r="AR143" s="14"/>
    </row>
    <row r="144" ht="16.5" customHeight="1">
      <c r="A144" s="108"/>
      <c r="B144" s="94" t="s">
        <v>57</v>
      </c>
      <c r="C144" s="19"/>
      <c r="D144" s="110"/>
      <c r="F144" s="64"/>
      <c r="G144" s="114">
        <f>G143/(COUNTA(G7:G141))*100</f>
        <v>0.7407407407</v>
      </c>
      <c r="H144" s="110"/>
      <c r="J144" s="64"/>
      <c r="K144" s="114">
        <f>K143/(COUNTA(K7:K141))*100</f>
        <v>0.7407407407</v>
      </c>
      <c r="L144" s="110"/>
      <c r="O144" s="64"/>
      <c r="P144" s="114">
        <f>P143/(COUNTA(P7:P141))*100</f>
        <v>0.7407407407</v>
      </c>
      <c r="Q144" s="110"/>
      <c r="S144" s="64"/>
      <c r="T144" s="114">
        <f>T143/(COUNTA(T7:T141))*100</f>
        <v>0.7407407407</v>
      </c>
      <c r="U144" s="110"/>
      <c r="W144" s="64"/>
      <c r="X144" s="114">
        <f>X143/(COUNTA(X7:X141))*100</f>
        <v>0.7407407407</v>
      </c>
      <c r="Y144" s="28"/>
      <c r="Z144" s="115">
        <f>IFERROR(Z143/(COUNTA(Z7:Z141))*100,0)</f>
        <v>66.66666667</v>
      </c>
      <c r="AA144" s="22"/>
      <c r="AB144" s="49"/>
      <c r="AC144" s="49"/>
      <c r="AD144" s="116"/>
      <c r="AF144" s="3"/>
      <c r="AG144" s="3"/>
      <c r="AH144" s="3"/>
      <c r="AI144" s="3"/>
      <c r="AK144" s="3"/>
      <c r="AL144" s="3"/>
      <c r="AM144" s="3"/>
      <c r="AN144" s="3"/>
      <c r="AO144" s="113"/>
      <c r="AP144" s="117"/>
    </row>
    <row r="145" ht="16.5" customHeight="1">
      <c r="A145" s="108"/>
      <c r="B145" s="94" t="s">
        <v>58</v>
      </c>
      <c r="C145" s="19"/>
      <c r="D145" s="118"/>
      <c r="E145" s="119"/>
      <c r="F145" s="120"/>
      <c r="G145" s="121">
        <f>IF(G144&gt;=$AF$17,3,(IF(G144&gt;=$AF$16,2,(IF(G144&gt;=$AF$15,1,0)))))</f>
        <v>0</v>
      </c>
      <c r="H145" s="118"/>
      <c r="I145" s="119"/>
      <c r="J145" s="120"/>
      <c r="K145" s="121">
        <f>IF(K144&gt;=$AF$17,3,(IF(K144&gt;=$AF$16,2,(IF(K144&gt;=$AF$15,1,0)))))</f>
        <v>0</v>
      </c>
      <c r="L145" s="118"/>
      <c r="M145" s="119"/>
      <c r="N145" s="119"/>
      <c r="O145" s="120"/>
      <c r="P145" s="121">
        <f>IF(P144&gt;=$AF$17,3,(IF(P144&gt;=$AF$16,2,(IF(P144&gt;=$AF$15,1,0)))))</f>
        <v>0</v>
      </c>
      <c r="Q145" s="118"/>
      <c r="R145" s="119"/>
      <c r="S145" s="120"/>
      <c r="T145" s="121">
        <f>IF(T144&gt;=$AF$17,3,(IF(T144&gt;=$AF$16,2,(IF(T144&gt;=$AF$15,1,0)))))</f>
        <v>0</v>
      </c>
      <c r="U145" s="118"/>
      <c r="V145" s="119"/>
      <c r="W145" s="120"/>
      <c r="X145" s="121">
        <f>IF(X144&gt;=$AF$17,3,(IF(X144&gt;=$AF$16,2,(IF(X144&gt;=$AF$15,1,0)))))</f>
        <v>0</v>
      </c>
      <c r="Y145" s="122"/>
      <c r="Z145" s="121">
        <f>IF(Z144&gt;=$AF$17,3,(IF(Z144&gt;=$AF$16,2,(IF(Z144&gt;=$AF$15,1,0)))))</f>
        <v>1</v>
      </c>
      <c r="AA145" s="81"/>
      <c r="AB145" s="49"/>
      <c r="AC145" s="123"/>
      <c r="AP145" s="14"/>
      <c r="AQ145" s="14"/>
      <c r="AR145" s="14"/>
    </row>
    <row r="146" ht="15.75" customHeight="1">
      <c r="A146" s="36"/>
      <c r="B146" s="124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P146" s="14"/>
      <c r="AQ146" s="14"/>
      <c r="AR146" s="14"/>
    </row>
    <row r="147" ht="24.0" customHeight="1">
      <c r="A147" s="36"/>
      <c r="N147" s="13"/>
      <c r="Q147" s="13"/>
      <c r="S147" s="13"/>
      <c r="U147" s="13"/>
      <c r="W147" s="13"/>
      <c r="Y147" s="13"/>
      <c r="Z147" s="36"/>
      <c r="AA147" s="36"/>
      <c r="AB147" s="125"/>
      <c r="AC147" s="125"/>
      <c r="AD147" s="126"/>
      <c r="AQ147" s="14"/>
      <c r="AR147" s="14"/>
      <c r="AS147" s="14"/>
    </row>
    <row r="148" ht="27.0" customHeight="1">
      <c r="A148" s="36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8"/>
      <c r="U148" s="128"/>
      <c r="V148" s="128"/>
      <c r="W148" s="128"/>
      <c r="X148" s="128"/>
      <c r="Y148" s="128"/>
      <c r="AC148" s="129"/>
      <c r="AD148" s="126"/>
      <c r="AQ148" s="14"/>
      <c r="AR148" s="14"/>
      <c r="AS148" s="14"/>
    </row>
    <row r="149" ht="17.25" customHeight="1">
      <c r="A149" s="36"/>
      <c r="B149" s="130"/>
      <c r="C149" s="130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36"/>
      <c r="U149" s="36"/>
      <c r="V149" s="36"/>
      <c r="W149" s="36"/>
      <c r="X149" s="36"/>
      <c r="Y149" s="36"/>
      <c r="Z149" s="36"/>
      <c r="AA149" s="36"/>
      <c r="AB149" s="36"/>
      <c r="AC149" s="129"/>
      <c r="AD149" s="126"/>
      <c r="AQ149" s="14"/>
      <c r="AR149" s="14"/>
      <c r="AS149" s="14"/>
    </row>
    <row r="150" ht="15.75" customHeight="1">
      <c r="A150" s="36"/>
      <c r="N150" s="13"/>
      <c r="Q150" s="13"/>
      <c r="S150" s="13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Q150" s="14"/>
      <c r="AR150" s="14"/>
      <c r="AS150" s="14"/>
    </row>
    <row r="151" ht="15.0" customHeight="1">
      <c r="A151" s="36"/>
      <c r="N151" s="13"/>
      <c r="Q151" s="13"/>
      <c r="S151" s="13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Q151" s="14"/>
      <c r="AR151" s="14"/>
      <c r="AS151" s="14"/>
    </row>
    <row r="152" ht="15.0" customHeight="1">
      <c r="A152" s="36"/>
      <c r="N152" s="13"/>
      <c r="Q152" s="13"/>
      <c r="S152" s="13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Q152" s="14"/>
      <c r="AR152" s="14"/>
      <c r="AS152" s="14"/>
    </row>
    <row r="153" ht="15.0" customHeight="1">
      <c r="A153" s="36"/>
      <c r="N153" s="13"/>
      <c r="Q153" s="13"/>
      <c r="S153" s="13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Q153" s="14"/>
      <c r="AR153" s="14"/>
      <c r="AS153" s="14"/>
    </row>
    <row r="154" ht="15.75" customHeight="1">
      <c r="A154" s="36"/>
      <c r="N154" s="13"/>
      <c r="Q154" s="13"/>
      <c r="S154" s="13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Q154" s="14"/>
      <c r="AR154" s="14"/>
      <c r="AS154" s="14"/>
    </row>
    <row r="155" ht="15.75" customHeight="1">
      <c r="A155" s="36"/>
      <c r="B155" s="124"/>
      <c r="C155" s="36"/>
      <c r="D155" s="36"/>
      <c r="E155" s="36"/>
      <c r="F155" s="36"/>
      <c r="G155" s="36"/>
      <c r="H155" s="131"/>
      <c r="I155" s="131"/>
      <c r="J155" s="131"/>
      <c r="K155" s="35"/>
      <c r="L155" s="35"/>
      <c r="M155" s="35"/>
      <c r="N155" s="35"/>
      <c r="O155" s="35"/>
      <c r="Q155" s="13"/>
      <c r="S155" s="13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Q155" s="14"/>
      <c r="AR155" s="14"/>
      <c r="AS155" s="14"/>
    </row>
    <row r="156" ht="15.75" customHeight="1">
      <c r="A156" s="36"/>
      <c r="B156" s="132"/>
      <c r="C156" s="132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8"/>
      <c r="U156" s="128"/>
      <c r="V156" s="128"/>
      <c r="W156" s="128"/>
      <c r="X156" s="128"/>
      <c r="Y156" s="128"/>
      <c r="AB156" s="133"/>
      <c r="AC156" s="128"/>
      <c r="AQ156" s="14"/>
      <c r="AR156" s="14"/>
      <c r="AS156" s="14"/>
    </row>
    <row r="157" ht="15.75" customHeight="1">
      <c r="A157" s="36"/>
      <c r="B157" s="132"/>
      <c r="C157" s="132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8"/>
      <c r="U157" s="128"/>
      <c r="V157" s="128"/>
      <c r="W157" s="128"/>
      <c r="X157" s="128"/>
      <c r="Y157" s="128"/>
      <c r="AB157" s="133"/>
      <c r="AC157" s="128"/>
      <c r="AQ157" s="14"/>
      <c r="AR157" s="14"/>
      <c r="AS157" s="14"/>
    </row>
    <row r="158" ht="15.75" customHeight="1">
      <c r="A158" s="36"/>
      <c r="B158" s="132"/>
      <c r="C158" s="132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8"/>
      <c r="U158" s="128"/>
      <c r="V158" s="128"/>
      <c r="W158" s="128"/>
      <c r="X158" s="128"/>
      <c r="Y158" s="128"/>
      <c r="AB158" s="133"/>
      <c r="AC158" s="128"/>
      <c r="AQ158" s="14"/>
      <c r="AR158" s="14"/>
      <c r="AS158" s="14"/>
    </row>
    <row r="159" ht="15.75" customHeight="1">
      <c r="A159" s="36"/>
      <c r="B159" s="132"/>
      <c r="C159" s="132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8"/>
      <c r="U159" s="128"/>
      <c r="V159" s="128"/>
      <c r="W159" s="128"/>
      <c r="X159" s="128"/>
      <c r="Y159" s="128"/>
      <c r="AB159" s="133"/>
      <c r="AC159" s="128"/>
      <c r="AQ159" s="14"/>
      <c r="AR159" s="14"/>
      <c r="AS159" s="14"/>
    </row>
    <row r="160" ht="15.75" customHeight="1">
      <c r="A160" s="36"/>
      <c r="B160" s="132"/>
      <c r="C160" s="132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8"/>
      <c r="U160" s="128"/>
      <c r="V160" s="128"/>
      <c r="W160" s="128"/>
      <c r="X160" s="128"/>
      <c r="Y160" s="128"/>
      <c r="AB160" s="133"/>
      <c r="AC160" s="128"/>
      <c r="AQ160" s="14"/>
      <c r="AR160" s="14"/>
      <c r="AS160" s="14"/>
    </row>
    <row r="161" ht="15.75" customHeight="1">
      <c r="A161" s="36"/>
      <c r="B161" s="132"/>
      <c r="C161" s="132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8"/>
      <c r="U161" s="128"/>
      <c r="V161" s="128"/>
      <c r="W161" s="128"/>
      <c r="X161" s="128"/>
      <c r="Y161" s="128"/>
      <c r="AB161" s="133"/>
      <c r="AC161" s="128"/>
      <c r="AQ161" s="14"/>
      <c r="AR161" s="14"/>
      <c r="AS161" s="14"/>
    </row>
    <row r="162" ht="15.75" customHeight="1">
      <c r="A162" s="36"/>
      <c r="N162" s="13"/>
      <c r="Q162" s="13"/>
      <c r="S162" s="13"/>
      <c r="U162" s="13"/>
      <c r="W162" s="13"/>
      <c r="Y162" s="13"/>
      <c r="AC162" s="128"/>
      <c r="AQ162" s="14"/>
      <c r="AR162" s="14"/>
      <c r="AS162" s="14"/>
    </row>
    <row r="163" ht="15.0" customHeight="1">
      <c r="A163" s="36"/>
      <c r="N163" s="13"/>
      <c r="Q163" s="13"/>
      <c r="S163" s="13"/>
      <c r="U163" s="13"/>
      <c r="W163" s="13"/>
      <c r="Y163" s="13"/>
      <c r="AC163" s="36"/>
      <c r="AQ163" s="14"/>
      <c r="AR163" s="14"/>
      <c r="AS163" s="14"/>
    </row>
    <row r="164" ht="15.75" customHeight="1">
      <c r="A164" s="36"/>
      <c r="B164" s="134" t="s">
        <v>59</v>
      </c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Q164" s="14"/>
      <c r="AR164" s="14"/>
      <c r="AS164" s="14"/>
    </row>
    <row r="165" ht="15.75" customHeight="1">
      <c r="A165" s="36"/>
      <c r="B165" s="124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Q165" s="14"/>
      <c r="AR165" s="14"/>
      <c r="AS165" s="14"/>
    </row>
    <row r="166" ht="15.75" customHeight="1">
      <c r="A166" s="36"/>
      <c r="B166" s="35"/>
      <c r="C166" s="35"/>
      <c r="D166" s="135"/>
      <c r="E166" s="135"/>
      <c r="F166" s="135"/>
      <c r="G166" s="135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Q166" s="14"/>
      <c r="AR166" s="14"/>
      <c r="AS166" s="14"/>
    </row>
    <row r="167" ht="15.75" customHeight="1">
      <c r="A167" s="36"/>
      <c r="B167" s="136"/>
      <c r="C167" s="136"/>
      <c r="D167" s="2"/>
      <c r="E167" s="2"/>
      <c r="F167" s="2"/>
      <c r="G167" s="2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Q167" s="14"/>
      <c r="AR167" s="14"/>
      <c r="AS167" s="14"/>
    </row>
    <row r="168" ht="15.75" customHeight="1">
      <c r="A168" s="36"/>
      <c r="B168" s="136"/>
      <c r="C168" s="136"/>
      <c r="D168" s="2"/>
      <c r="E168" s="2"/>
      <c r="F168" s="2"/>
      <c r="G168" s="2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Q168" s="14"/>
      <c r="AR168" s="14"/>
      <c r="AS168" s="14"/>
    </row>
    <row r="169" ht="15.75" customHeight="1">
      <c r="A169" s="36"/>
      <c r="B169" s="136"/>
      <c r="C169" s="136"/>
      <c r="D169" s="2"/>
      <c r="E169" s="2"/>
      <c r="F169" s="2"/>
      <c r="G169" s="2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Q169" s="14"/>
      <c r="AR169" s="14"/>
      <c r="AS169" s="14"/>
    </row>
    <row r="170" ht="15.75" customHeight="1">
      <c r="A170" s="36"/>
      <c r="B170" s="136"/>
      <c r="C170" s="136"/>
      <c r="D170" s="2"/>
      <c r="E170" s="2"/>
      <c r="F170" s="2"/>
      <c r="G170" s="2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Q170" s="14"/>
      <c r="AR170" s="14"/>
      <c r="AS170" s="14"/>
    </row>
    <row r="171" ht="15.75" customHeight="1">
      <c r="A171" s="36"/>
      <c r="B171" s="124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Q171" s="14"/>
      <c r="AR171" s="14"/>
      <c r="AS171" s="14"/>
    </row>
    <row r="172" ht="15.75" customHeight="1">
      <c r="A172" s="36"/>
      <c r="B172" s="35"/>
      <c r="C172" s="35"/>
      <c r="D172" s="135"/>
      <c r="E172" s="135"/>
      <c r="F172" s="135"/>
      <c r="G172" s="135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Q172" s="14"/>
      <c r="AR172" s="14"/>
      <c r="AS172" s="14"/>
    </row>
    <row r="173" ht="15.75" customHeight="1">
      <c r="A173" s="36"/>
      <c r="B173" s="136"/>
      <c r="C173" s="136"/>
      <c r="D173" s="2"/>
      <c r="E173" s="2"/>
      <c r="F173" s="2"/>
      <c r="G173" s="2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Q173" s="14"/>
      <c r="AR173" s="14"/>
      <c r="AS173" s="14"/>
    </row>
    <row r="174" ht="15.75" customHeight="1">
      <c r="A174" s="36"/>
      <c r="B174" s="136"/>
      <c r="C174" s="136"/>
      <c r="D174" s="2"/>
      <c r="E174" s="2"/>
      <c r="F174" s="2"/>
      <c r="G174" s="2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Q174" s="14"/>
      <c r="AR174" s="14"/>
      <c r="AS174" s="14"/>
    </row>
    <row r="175" ht="15.75" customHeight="1">
      <c r="A175" s="36"/>
      <c r="B175" s="136"/>
      <c r="C175" s="136"/>
      <c r="D175" s="2"/>
      <c r="E175" s="2"/>
      <c r="F175" s="2"/>
      <c r="G175" s="2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Q175" s="14"/>
      <c r="AR175" s="14"/>
      <c r="AS175" s="14"/>
    </row>
    <row r="176" ht="15.75" customHeight="1">
      <c r="A176" s="36"/>
      <c r="B176" s="136"/>
      <c r="C176" s="136"/>
      <c r="D176" s="2"/>
      <c r="E176" s="2"/>
      <c r="F176" s="2"/>
      <c r="G176" s="2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Q176" s="14"/>
      <c r="AR176" s="14"/>
      <c r="AS176" s="14"/>
    </row>
    <row r="177" ht="15.75" customHeight="1">
      <c r="A177" s="36"/>
      <c r="B177" s="124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Q177" s="14"/>
      <c r="AR177" s="14"/>
      <c r="AS177" s="14"/>
    </row>
    <row r="178" ht="15.75" customHeight="1">
      <c r="A178" s="36"/>
      <c r="B178" s="124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Q178" s="14"/>
      <c r="AR178" s="14"/>
      <c r="AS178" s="14"/>
    </row>
    <row r="179" ht="15.75" customHeight="1">
      <c r="A179" s="36"/>
      <c r="B179" s="124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Q179" s="14"/>
      <c r="AR179" s="14"/>
      <c r="AS179" s="14"/>
    </row>
    <row r="180" ht="15.75" customHeight="1">
      <c r="A180" s="36"/>
      <c r="B180" s="124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Q180" s="14"/>
      <c r="AR180" s="14"/>
      <c r="AS180" s="14"/>
    </row>
    <row r="181" ht="15.75" customHeight="1">
      <c r="A181" s="36"/>
      <c r="B181" s="124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Q181" s="14"/>
      <c r="AR181" s="14"/>
      <c r="AS181" s="14"/>
    </row>
    <row r="182" ht="15.75" customHeight="1">
      <c r="A182" s="36"/>
      <c r="B182" s="124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Q182" s="14"/>
      <c r="AR182" s="14"/>
      <c r="AS182" s="14"/>
    </row>
    <row r="183" ht="15.75" customHeight="1">
      <c r="A183" s="36"/>
      <c r="B183" s="124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Q183" s="14"/>
      <c r="AR183" s="14"/>
      <c r="AS183" s="14"/>
    </row>
    <row r="184" ht="15.75" customHeight="1">
      <c r="A184" s="36"/>
      <c r="B184" s="137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Q184" s="14"/>
      <c r="AR184" s="14"/>
      <c r="AS184" s="14"/>
    </row>
    <row r="185" ht="15.75" customHeight="1">
      <c r="A185" s="36"/>
      <c r="B185" s="124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Q185" s="14"/>
      <c r="AR185" s="14"/>
      <c r="AS185" s="14"/>
    </row>
    <row r="186" ht="29.25" customHeight="1">
      <c r="A186" s="36"/>
      <c r="B186" s="137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Q186" s="14"/>
      <c r="AR186" s="14"/>
      <c r="AS186" s="14"/>
    </row>
    <row r="187" ht="29.25" customHeight="1">
      <c r="A187" s="36"/>
      <c r="B187" s="5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Q187" s="14"/>
      <c r="AR187" s="14"/>
      <c r="AS187" s="14"/>
    </row>
    <row r="188" ht="30.0" customHeight="1">
      <c r="A188" s="36"/>
      <c r="B188" s="124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Q188" s="14"/>
      <c r="AR188" s="14"/>
      <c r="AS188" s="14"/>
    </row>
    <row r="189" ht="15.75" customHeight="1">
      <c r="A189" s="36"/>
      <c r="B189" s="56"/>
      <c r="C189" s="36"/>
      <c r="D189" s="125"/>
      <c r="E189" s="125"/>
      <c r="F189" s="125"/>
      <c r="G189" s="125"/>
      <c r="H189" s="125"/>
      <c r="I189" s="125"/>
      <c r="J189" s="125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Q189" s="14"/>
      <c r="AR189" s="14"/>
      <c r="AS189" s="14"/>
    </row>
    <row r="190" ht="15.75" customHeight="1">
      <c r="A190" s="13"/>
      <c r="B190" s="138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Q190" s="14"/>
      <c r="AR190" s="14"/>
      <c r="AS190" s="14"/>
    </row>
    <row r="191" ht="15.75" customHeight="1">
      <c r="A191" s="13"/>
      <c r="B191" s="138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Q191" s="14"/>
      <c r="AR191" s="14"/>
      <c r="AS191" s="14"/>
    </row>
    <row r="192" ht="15.75" customHeight="1">
      <c r="B192" s="138"/>
      <c r="N192" s="13"/>
      <c r="Q192" s="13"/>
      <c r="S192" s="13"/>
      <c r="U192" s="13"/>
      <c r="W192" s="13"/>
      <c r="Y192" s="13"/>
      <c r="AQ192" s="14"/>
      <c r="AR192" s="14"/>
      <c r="AS192" s="14"/>
    </row>
    <row r="193" ht="15.75" customHeight="1">
      <c r="B193" s="138"/>
      <c r="N193" s="13"/>
      <c r="Q193" s="13"/>
      <c r="S193" s="13"/>
      <c r="U193" s="13"/>
      <c r="W193" s="13"/>
      <c r="Y193" s="13"/>
      <c r="AQ193" s="14"/>
      <c r="AR193" s="14"/>
      <c r="AS193" s="14"/>
    </row>
    <row r="194" ht="15.75" customHeight="1">
      <c r="B194" s="138"/>
      <c r="N194" s="13"/>
      <c r="Q194" s="13"/>
      <c r="S194" s="13"/>
      <c r="U194" s="13"/>
      <c r="W194" s="13"/>
      <c r="Y194" s="13"/>
      <c r="AQ194" s="14"/>
      <c r="AR194" s="14"/>
      <c r="AS194" s="14"/>
    </row>
    <row r="195" ht="15.75" customHeight="1">
      <c r="B195" s="138"/>
      <c r="N195" s="13"/>
      <c r="Q195" s="13"/>
      <c r="S195" s="13"/>
      <c r="U195" s="13"/>
      <c r="W195" s="13"/>
      <c r="Y195" s="13"/>
      <c r="AQ195" s="14"/>
      <c r="AR195" s="14"/>
      <c r="AS195" s="14"/>
    </row>
    <row r="196" ht="15.75" customHeight="1">
      <c r="B196" s="138"/>
      <c r="N196" s="13"/>
      <c r="Q196" s="13"/>
      <c r="S196" s="13"/>
      <c r="U196" s="13"/>
      <c r="W196" s="13"/>
      <c r="Y196" s="13"/>
      <c r="AQ196" s="14"/>
      <c r="AR196" s="14"/>
      <c r="AS196" s="14"/>
    </row>
    <row r="197" ht="15.75" customHeight="1">
      <c r="B197" s="138"/>
      <c r="N197" s="13"/>
      <c r="Q197" s="13"/>
      <c r="S197" s="13"/>
      <c r="U197" s="13"/>
      <c r="W197" s="13"/>
      <c r="Y197" s="13"/>
      <c r="AQ197" s="14"/>
      <c r="AR197" s="14"/>
      <c r="AS197" s="14"/>
    </row>
    <row r="198" ht="15.75" customHeight="1">
      <c r="B198" s="138"/>
      <c r="N198" s="13"/>
      <c r="Q198" s="13"/>
      <c r="S198" s="13"/>
      <c r="U198" s="13"/>
      <c r="W198" s="13"/>
      <c r="Y198" s="13"/>
      <c r="AQ198" s="14"/>
      <c r="AR198" s="14"/>
      <c r="AS198" s="14"/>
    </row>
    <row r="199" ht="15.75" customHeight="1">
      <c r="B199" s="138"/>
      <c r="N199" s="13"/>
      <c r="Q199" s="13"/>
      <c r="S199" s="13"/>
      <c r="U199" s="13"/>
      <c r="W199" s="13"/>
      <c r="Y199" s="13"/>
      <c r="AQ199" s="14"/>
      <c r="AR199" s="14"/>
      <c r="AS199" s="14"/>
    </row>
    <row r="200" ht="15.75" customHeight="1">
      <c r="B200" s="138"/>
      <c r="N200" s="13"/>
      <c r="Q200" s="13"/>
      <c r="S200" s="13"/>
      <c r="U200" s="13"/>
      <c r="W200" s="13"/>
      <c r="Y200" s="13"/>
      <c r="AQ200" s="14"/>
      <c r="AR200" s="14"/>
      <c r="AS200" s="14"/>
    </row>
    <row r="201" ht="15.75" customHeight="1">
      <c r="B201" s="138"/>
      <c r="N201" s="13"/>
      <c r="Q201" s="13"/>
      <c r="S201" s="13"/>
      <c r="U201" s="13"/>
      <c r="W201" s="13"/>
      <c r="Y201" s="13"/>
      <c r="AQ201" s="14"/>
      <c r="AR201" s="14"/>
      <c r="AS201" s="14"/>
    </row>
    <row r="202" ht="15.75" customHeight="1">
      <c r="B202" s="138"/>
      <c r="N202" s="13"/>
      <c r="Q202" s="13"/>
      <c r="S202" s="13"/>
      <c r="U202" s="13"/>
      <c r="W202" s="13"/>
      <c r="Y202" s="13"/>
      <c r="AQ202" s="14"/>
      <c r="AR202" s="14"/>
      <c r="AS202" s="14"/>
    </row>
    <row r="203" ht="15.75" customHeight="1">
      <c r="B203" s="138"/>
      <c r="N203" s="13"/>
      <c r="Q203" s="13"/>
      <c r="S203" s="13"/>
      <c r="U203" s="13"/>
      <c r="W203" s="13"/>
      <c r="Y203" s="13"/>
      <c r="AQ203" s="14"/>
      <c r="AR203" s="14"/>
      <c r="AS203" s="14"/>
    </row>
    <row r="204" ht="15.75" customHeight="1">
      <c r="B204" s="138"/>
      <c r="N204" s="13"/>
      <c r="Q204" s="13"/>
      <c r="S204" s="13"/>
      <c r="U204" s="13"/>
      <c r="W204" s="13"/>
      <c r="Y204" s="13"/>
      <c r="AQ204" s="14"/>
      <c r="AR204" s="14"/>
      <c r="AS204" s="14"/>
    </row>
    <row r="205" ht="15.75" customHeight="1">
      <c r="B205" s="138"/>
      <c r="N205" s="13"/>
      <c r="Q205" s="13"/>
      <c r="S205" s="13"/>
      <c r="U205" s="13"/>
      <c r="W205" s="13"/>
      <c r="Y205" s="13"/>
      <c r="AQ205" s="14"/>
      <c r="AR205" s="14"/>
      <c r="AS205" s="14"/>
    </row>
    <row r="206" ht="15.75" customHeight="1">
      <c r="B206" s="138"/>
      <c r="N206" s="13"/>
      <c r="Q206" s="13"/>
      <c r="S206" s="13"/>
      <c r="U206" s="13"/>
      <c r="W206" s="13"/>
      <c r="Y206" s="13"/>
      <c r="AQ206" s="14"/>
      <c r="AR206" s="14"/>
      <c r="AS206" s="14"/>
    </row>
    <row r="207" ht="15.75" customHeight="1">
      <c r="B207" s="138"/>
      <c r="N207" s="13"/>
      <c r="Q207" s="13"/>
      <c r="S207" s="13"/>
      <c r="U207" s="13"/>
      <c r="W207" s="13"/>
      <c r="Y207" s="13"/>
      <c r="AQ207" s="14"/>
      <c r="AR207" s="14"/>
      <c r="AS207" s="14"/>
    </row>
    <row r="208" ht="15.75" customHeight="1">
      <c r="B208" s="138"/>
      <c r="N208" s="13"/>
      <c r="Q208" s="13"/>
      <c r="S208" s="13"/>
      <c r="U208" s="13"/>
      <c r="W208" s="13"/>
      <c r="Y208" s="13"/>
      <c r="AQ208" s="14"/>
      <c r="AR208" s="14"/>
      <c r="AS208" s="14"/>
    </row>
    <row r="209" ht="15.75" customHeight="1">
      <c r="B209" s="138"/>
      <c r="N209" s="13"/>
      <c r="Q209" s="13"/>
      <c r="S209" s="13"/>
      <c r="U209" s="13"/>
      <c r="W209" s="13"/>
      <c r="Y209" s="13"/>
      <c r="AQ209" s="14"/>
      <c r="AR209" s="14"/>
      <c r="AS209" s="14"/>
    </row>
    <row r="210" ht="15.75" customHeight="1">
      <c r="B210" s="138"/>
      <c r="N210" s="13"/>
      <c r="Q210" s="13"/>
      <c r="S210" s="13"/>
      <c r="U210" s="13"/>
      <c r="W210" s="13"/>
      <c r="Y210" s="13"/>
      <c r="AQ210" s="14"/>
      <c r="AR210" s="14"/>
      <c r="AS210" s="14"/>
    </row>
    <row r="211" ht="15.75" customHeight="1">
      <c r="B211" s="138"/>
      <c r="N211" s="13"/>
      <c r="Q211" s="13"/>
      <c r="S211" s="13"/>
      <c r="U211" s="13"/>
      <c r="W211" s="13"/>
      <c r="Y211" s="13"/>
      <c r="AQ211" s="14"/>
      <c r="AR211" s="14"/>
      <c r="AS211" s="14"/>
    </row>
    <row r="212" ht="15.75" customHeight="1">
      <c r="B212" s="138"/>
      <c r="N212" s="13"/>
      <c r="Q212" s="13"/>
      <c r="S212" s="13"/>
      <c r="U212" s="13"/>
      <c r="W212" s="13"/>
      <c r="Y212" s="13"/>
      <c r="AQ212" s="14"/>
      <c r="AR212" s="14"/>
      <c r="AS212" s="14"/>
    </row>
    <row r="213" ht="15.75" customHeight="1">
      <c r="B213" s="138"/>
      <c r="N213" s="13"/>
      <c r="Q213" s="13"/>
      <c r="S213" s="13"/>
      <c r="U213" s="13"/>
      <c r="W213" s="13"/>
      <c r="Y213" s="13"/>
      <c r="AQ213" s="14"/>
      <c r="AR213" s="14"/>
      <c r="AS213" s="14"/>
    </row>
    <row r="214" ht="15.75" customHeight="1">
      <c r="B214" s="138"/>
      <c r="N214" s="13"/>
      <c r="Q214" s="13"/>
      <c r="S214" s="13"/>
      <c r="U214" s="13"/>
      <c r="W214" s="13"/>
      <c r="Y214" s="13"/>
      <c r="AQ214" s="14"/>
      <c r="AR214" s="14"/>
      <c r="AS214" s="14"/>
    </row>
    <row r="215" ht="15.75" customHeight="1">
      <c r="B215" s="138"/>
      <c r="N215" s="13"/>
      <c r="Q215" s="13"/>
      <c r="S215" s="13"/>
      <c r="U215" s="13"/>
      <c r="W215" s="13"/>
      <c r="Y215" s="13"/>
      <c r="AQ215" s="14"/>
      <c r="AR215" s="14"/>
      <c r="AS215" s="14"/>
    </row>
    <row r="216" ht="15.75" customHeight="1">
      <c r="B216" s="138"/>
      <c r="N216" s="13"/>
      <c r="Q216" s="13"/>
      <c r="S216" s="13"/>
      <c r="U216" s="13"/>
      <c r="W216" s="13"/>
      <c r="Y216" s="13"/>
      <c r="AQ216" s="14"/>
      <c r="AR216" s="14"/>
      <c r="AS216" s="14"/>
    </row>
    <row r="217" ht="15.75" customHeight="1">
      <c r="B217" s="138"/>
      <c r="N217" s="13"/>
      <c r="Q217" s="13"/>
      <c r="S217" s="13"/>
      <c r="U217" s="13"/>
      <c r="W217" s="13"/>
      <c r="Y217" s="13"/>
      <c r="AQ217" s="14"/>
      <c r="AR217" s="14"/>
      <c r="AS217" s="14"/>
    </row>
    <row r="218" ht="15.75" customHeight="1">
      <c r="B218" s="138"/>
      <c r="N218" s="13"/>
      <c r="Q218" s="13"/>
      <c r="S218" s="13"/>
      <c r="U218" s="13"/>
      <c r="W218" s="13"/>
      <c r="Y218" s="13"/>
      <c r="AQ218" s="14"/>
      <c r="AR218" s="14"/>
      <c r="AS218" s="14"/>
    </row>
    <row r="219" ht="15.75" customHeight="1">
      <c r="B219" s="138"/>
      <c r="N219" s="13"/>
      <c r="Q219" s="13"/>
      <c r="S219" s="13"/>
      <c r="U219" s="13"/>
      <c r="W219" s="13"/>
      <c r="Y219" s="13"/>
      <c r="AQ219" s="14"/>
      <c r="AR219" s="14"/>
      <c r="AS219" s="14"/>
    </row>
    <row r="220" ht="15.75" customHeight="1">
      <c r="B220" s="138"/>
      <c r="N220" s="13"/>
      <c r="Q220" s="13"/>
      <c r="S220" s="13"/>
      <c r="U220" s="13"/>
      <c r="W220" s="13"/>
      <c r="Y220" s="13"/>
      <c r="AQ220" s="14"/>
      <c r="AR220" s="14"/>
      <c r="AS220" s="14"/>
    </row>
    <row r="221" ht="15.75" customHeight="1">
      <c r="B221" s="138"/>
      <c r="N221" s="13"/>
      <c r="Q221" s="13"/>
      <c r="S221" s="13"/>
      <c r="U221" s="13"/>
      <c r="W221" s="13"/>
      <c r="Y221" s="13"/>
      <c r="AQ221" s="14"/>
      <c r="AR221" s="14"/>
      <c r="AS221" s="14"/>
    </row>
    <row r="222" ht="15.75" customHeight="1">
      <c r="B222" s="138"/>
      <c r="N222" s="13"/>
      <c r="Q222" s="13"/>
      <c r="S222" s="13"/>
      <c r="U222" s="13"/>
      <c r="W222" s="13"/>
      <c r="Y222" s="13"/>
      <c r="AQ222" s="14"/>
      <c r="AR222" s="14"/>
      <c r="AS222" s="14"/>
    </row>
    <row r="223" ht="15.75" customHeight="1">
      <c r="B223" s="138"/>
      <c r="N223" s="13"/>
      <c r="Q223" s="13"/>
      <c r="S223" s="13"/>
      <c r="U223" s="13"/>
      <c r="W223" s="13"/>
      <c r="Y223" s="13"/>
      <c r="AQ223" s="14"/>
      <c r="AR223" s="14"/>
      <c r="AS223" s="14"/>
    </row>
    <row r="224" ht="15.75" customHeight="1">
      <c r="B224" s="138"/>
      <c r="N224" s="13"/>
      <c r="Q224" s="13"/>
      <c r="S224" s="13"/>
      <c r="U224" s="13"/>
      <c r="W224" s="13"/>
      <c r="Y224" s="13"/>
      <c r="AQ224" s="14"/>
      <c r="AR224" s="14"/>
      <c r="AS224" s="14"/>
    </row>
    <row r="225" ht="15.75" customHeight="1">
      <c r="B225" s="138"/>
      <c r="N225" s="13"/>
      <c r="Q225" s="13"/>
      <c r="S225" s="13"/>
      <c r="U225" s="13"/>
      <c r="W225" s="13"/>
      <c r="Y225" s="13"/>
      <c r="AQ225" s="14"/>
      <c r="AR225" s="14"/>
      <c r="AS225" s="14"/>
    </row>
    <row r="226" ht="15.75" customHeight="1">
      <c r="B226" s="138"/>
      <c r="N226" s="13"/>
      <c r="Q226" s="13"/>
      <c r="S226" s="13"/>
      <c r="U226" s="13"/>
      <c r="W226" s="13"/>
      <c r="Y226" s="13"/>
      <c r="AQ226" s="14"/>
      <c r="AR226" s="14"/>
      <c r="AS226" s="14"/>
    </row>
    <row r="227" ht="15.75" customHeight="1">
      <c r="B227" s="138"/>
      <c r="N227" s="13"/>
      <c r="Q227" s="13"/>
      <c r="S227" s="13"/>
      <c r="U227" s="13"/>
      <c r="W227" s="13"/>
      <c r="Y227" s="13"/>
      <c r="AQ227" s="14"/>
      <c r="AR227" s="14"/>
      <c r="AS227" s="14"/>
    </row>
    <row r="228" ht="15.75" customHeight="1">
      <c r="B228" s="138"/>
      <c r="N228" s="13"/>
      <c r="Q228" s="13"/>
      <c r="S228" s="13"/>
      <c r="U228" s="13"/>
      <c r="W228" s="13"/>
      <c r="Y228" s="13"/>
      <c r="AQ228" s="14"/>
      <c r="AR228" s="14"/>
      <c r="AS228" s="14"/>
    </row>
    <row r="229" ht="15.75" customHeight="1">
      <c r="B229" s="138"/>
      <c r="N229" s="13"/>
      <c r="Q229" s="13"/>
      <c r="S229" s="13"/>
      <c r="U229" s="13"/>
      <c r="W229" s="13"/>
      <c r="Y229" s="13"/>
      <c r="AQ229" s="14"/>
      <c r="AR229" s="14"/>
      <c r="AS229" s="14"/>
    </row>
    <row r="230" ht="15.75" customHeight="1">
      <c r="B230" s="138"/>
      <c r="N230" s="13"/>
      <c r="Q230" s="13"/>
      <c r="S230" s="13"/>
      <c r="U230" s="13"/>
      <c r="W230" s="13"/>
      <c r="Y230" s="13"/>
      <c r="AQ230" s="14"/>
      <c r="AR230" s="14"/>
      <c r="AS230" s="14"/>
    </row>
    <row r="231" ht="15.75" customHeight="1">
      <c r="B231" s="138"/>
      <c r="N231" s="13"/>
      <c r="Q231" s="13"/>
      <c r="S231" s="13"/>
      <c r="U231" s="13"/>
      <c r="W231" s="13"/>
      <c r="Y231" s="13"/>
      <c r="AQ231" s="14"/>
      <c r="AR231" s="14"/>
      <c r="AS231" s="14"/>
    </row>
    <row r="232" ht="15.75" customHeight="1">
      <c r="B232" s="138"/>
      <c r="N232" s="13"/>
      <c r="Q232" s="13"/>
      <c r="S232" s="13"/>
      <c r="U232" s="13"/>
      <c r="W232" s="13"/>
      <c r="Y232" s="13"/>
      <c r="AQ232" s="14"/>
      <c r="AR232" s="14"/>
      <c r="AS232" s="14"/>
    </row>
    <row r="233" ht="15.75" customHeight="1">
      <c r="B233" s="138"/>
      <c r="N233" s="13"/>
      <c r="Q233" s="13"/>
      <c r="S233" s="13"/>
      <c r="U233" s="13"/>
      <c r="W233" s="13"/>
      <c r="Y233" s="13"/>
      <c r="AQ233" s="14"/>
      <c r="AR233" s="14"/>
      <c r="AS233" s="14"/>
    </row>
    <row r="234" ht="15.75" customHeight="1">
      <c r="B234" s="138"/>
      <c r="N234" s="13"/>
      <c r="Q234" s="13"/>
      <c r="S234" s="13"/>
      <c r="U234" s="13"/>
      <c r="W234" s="13"/>
      <c r="Y234" s="13"/>
      <c r="AQ234" s="14"/>
      <c r="AR234" s="14"/>
      <c r="AS234" s="14"/>
    </row>
    <row r="235" ht="15.75" customHeight="1">
      <c r="B235" s="138"/>
      <c r="N235" s="13"/>
      <c r="Q235" s="13"/>
      <c r="S235" s="13"/>
      <c r="U235" s="13"/>
      <c r="W235" s="13"/>
      <c r="Y235" s="13"/>
      <c r="AQ235" s="14"/>
      <c r="AR235" s="14"/>
      <c r="AS235" s="14"/>
    </row>
    <row r="236" ht="15.75" customHeight="1">
      <c r="B236" s="138"/>
      <c r="N236" s="13"/>
      <c r="Q236" s="13"/>
      <c r="S236" s="13"/>
      <c r="U236" s="13"/>
      <c r="W236" s="13"/>
      <c r="Y236" s="13"/>
      <c r="AQ236" s="14"/>
      <c r="AR236" s="14"/>
      <c r="AS236" s="14"/>
    </row>
    <row r="237" ht="15.75" customHeight="1">
      <c r="B237" s="138"/>
      <c r="N237" s="13"/>
      <c r="Q237" s="13"/>
      <c r="S237" s="13"/>
      <c r="U237" s="13"/>
      <c r="W237" s="13"/>
      <c r="Y237" s="13"/>
      <c r="AQ237" s="14"/>
      <c r="AR237" s="14"/>
      <c r="AS237" s="14"/>
    </row>
    <row r="238" ht="15.75" customHeight="1">
      <c r="B238" s="138"/>
      <c r="N238" s="13"/>
      <c r="Q238" s="13"/>
      <c r="S238" s="13"/>
      <c r="U238" s="13"/>
      <c r="W238" s="13"/>
      <c r="Y238" s="13"/>
      <c r="AQ238" s="14"/>
      <c r="AR238" s="14"/>
      <c r="AS238" s="14"/>
    </row>
    <row r="239" ht="15.75" customHeight="1">
      <c r="B239" s="138"/>
      <c r="N239" s="13"/>
      <c r="Q239" s="13"/>
      <c r="S239" s="13"/>
      <c r="U239" s="13"/>
      <c r="W239" s="13"/>
      <c r="Y239" s="13"/>
      <c r="AQ239" s="14"/>
      <c r="AR239" s="14"/>
      <c r="AS239" s="14"/>
    </row>
    <row r="240" ht="15.75" customHeight="1">
      <c r="B240" s="138"/>
      <c r="N240" s="13"/>
      <c r="Q240" s="13"/>
      <c r="S240" s="13"/>
      <c r="U240" s="13"/>
      <c r="W240" s="13"/>
      <c r="Y240" s="13"/>
      <c r="AQ240" s="14"/>
      <c r="AR240" s="14"/>
      <c r="AS240" s="14"/>
    </row>
    <row r="241" ht="15.75" customHeight="1">
      <c r="B241" s="138"/>
      <c r="N241" s="13"/>
      <c r="Q241" s="13"/>
      <c r="S241" s="13"/>
      <c r="U241" s="13"/>
      <c r="W241" s="13"/>
      <c r="Y241" s="13"/>
      <c r="AQ241" s="14"/>
      <c r="AR241" s="14"/>
      <c r="AS241" s="14"/>
    </row>
    <row r="242" ht="15.75" customHeight="1">
      <c r="B242" s="138"/>
      <c r="N242" s="13"/>
      <c r="Q242" s="13"/>
      <c r="S242" s="13"/>
      <c r="U242" s="13"/>
      <c r="W242" s="13"/>
      <c r="Y242" s="13"/>
      <c r="AQ242" s="14"/>
      <c r="AR242" s="14"/>
      <c r="AS242" s="14"/>
    </row>
    <row r="243" ht="15.75" customHeight="1">
      <c r="B243" s="138"/>
      <c r="N243" s="13"/>
      <c r="Q243" s="13"/>
      <c r="S243" s="13"/>
      <c r="U243" s="13"/>
      <c r="W243" s="13"/>
      <c r="Y243" s="13"/>
      <c r="AQ243" s="14"/>
      <c r="AR243" s="14"/>
      <c r="AS243" s="14"/>
    </row>
    <row r="244" ht="15.75" customHeight="1">
      <c r="B244" s="138"/>
      <c r="N244" s="13"/>
      <c r="Q244" s="13"/>
      <c r="S244" s="13"/>
      <c r="U244" s="13"/>
      <c r="W244" s="13"/>
      <c r="Y244" s="13"/>
      <c r="AQ244" s="14"/>
      <c r="AR244" s="14"/>
      <c r="AS244" s="14"/>
    </row>
    <row r="245" ht="15.75" customHeight="1">
      <c r="B245" s="138"/>
      <c r="N245" s="13"/>
      <c r="Q245" s="13"/>
      <c r="S245" s="13"/>
      <c r="U245" s="13"/>
      <c r="W245" s="13"/>
      <c r="Y245" s="13"/>
      <c r="AQ245" s="14"/>
      <c r="AR245" s="14"/>
      <c r="AS245" s="14"/>
    </row>
    <row r="246" ht="15.75" customHeight="1">
      <c r="B246" s="138"/>
      <c r="N246" s="13"/>
      <c r="Q246" s="13"/>
      <c r="S246" s="13"/>
      <c r="U246" s="13"/>
      <c r="W246" s="13"/>
      <c r="Y246" s="13"/>
      <c r="AQ246" s="14"/>
      <c r="AR246" s="14"/>
      <c r="AS246" s="14"/>
    </row>
    <row r="247" ht="15.75" customHeight="1">
      <c r="B247" s="138"/>
      <c r="N247" s="13"/>
      <c r="Q247" s="13"/>
      <c r="S247" s="13"/>
      <c r="U247" s="13"/>
      <c r="W247" s="13"/>
      <c r="Y247" s="13"/>
      <c r="AQ247" s="14"/>
      <c r="AR247" s="14"/>
      <c r="AS247" s="14"/>
    </row>
    <row r="248" ht="15.75" customHeight="1">
      <c r="B248" s="138"/>
      <c r="N248" s="13"/>
      <c r="Q248" s="13"/>
      <c r="S248" s="13"/>
      <c r="U248" s="13"/>
      <c r="W248" s="13"/>
      <c r="Y248" s="13"/>
      <c r="AQ248" s="14"/>
      <c r="AR248" s="14"/>
      <c r="AS248" s="14"/>
    </row>
    <row r="249" ht="15.75" customHeight="1">
      <c r="B249" s="138"/>
      <c r="N249" s="13"/>
      <c r="Q249" s="13"/>
      <c r="S249" s="13"/>
      <c r="U249" s="13"/>
      <c r="W249" s="13"/>
      <c r="Y249" s="13"/>
      <c r="AQ249" s="14"/>
      <c r="AR249" s="14"/>
      <c r="AS249" s="14"/>
    </row>
    <row r="250" ht="15.75" customHeight="1">
      <c r="B250" s="138"/>
      <c r="N250" s="13"/>
      <c r="Q250" s="13"/>
      <c r="S250" s="13"/>
      <c r="U250" s="13"/>
      <c r="W250" s="13"/>
      <c r="Y250" s="13"/>
      <c r="AQ250" s="14"/>
      <c r="AR250" s="14"/>
      <c r="AS250" s="14"/>
    </row>
    <row r="251" ht="15.75" customHeight="1">
      <c r="B251" s="138"/>
      <c r="N251" s="13"/>
      <c r="Q251" s="13"/>
      <c r="S251" s="13"/>
      <c r="U251" s="13"/>
      <c r="W251" s="13"/>
      <c r="Y251" s="13"/>
      <c r="AQ251" s="14"/>
      <c r="AR251" s="14"/>
      <c r="AS251" s="14"/>
    </row>
    <row r="252" ht="15.75" customHeight="1">
      <c r="B252" s="138"/>
      <c r="N252" s="13"/>
      <c r="Q252" s="13"/>
      <c r="S252" s="13"/>
      <c r="U252" s="13"/>
      <c r="W252" s="13"/>
      <c r="Y252" s="13"/>
      <c r="AQ252" s="14"/>
      <c r="AR252" s="14"/>
      <c r="AS252" s="14"/>
    </row>
    <row r="253" ht="15.75" customHeight="1">
      <c r="B253" s="138"/>
      <c r="N253" s="13"/>
      <c r="Q253" s="13"/>
      <c r="S253" s="13"/>
      <c r="U253" s="13"/>
      <c r="W253" s="13"/>
      <c r="Y253" s="13"/>
      <c r="AQ253" s="14"/>
      <c r="AR253" s="14"/>
      <c r="AS253" s="14"/>
    </row>
    <row r="254" ht="15.75" customHeight="1">
      <c r="B254" s="138"/>
      <c r="N254" s="13"/>
      <c r="Q254" s="13"/>
      <c r="S254" s="13"/>
      <c r="U254" s="13"/>
      <c r="W254" s="13"/>
      <c r="Y254" s="13"/>
      <c r="AQ254" s="14"/>
      <c r="AR254" s="14"/>
      <c r="AS254" s="14"/>
    </row>
    <row r="255" ht="15.75" customHeight="1">
      <c r="B255" s="138"/>
      <c r="N255" s="13"/>
      <c r="Q255" s="13"/>
      <c r="S255" s="13"/>
      <c r="U255" s="13"/>
      <c r="W255" s="13"/>
      <c r="Y255" s="13"/>
      <c r="AQ255" s="14"/>
      <c r="AR255" s="14"/>
      <c r="AS255" s="14"/>
    </row>
    <row r="256" ht="15.75" customHeight="1">
      <c r="B256" s="138"/>
      <c r="N256" s="13"/>
      <c r="Q256" s="13"/>
      <c r="S256" s="13"/>
      <c r="U256" s="13"/>
      <c r="W256" s="13"/>
      <c r="Y256" s="13"/>
      <c r="AQ256" s="14"/>
      <c r="AR256" s="14"/>
      <c r="AS256" s="14"/>
    </row>
    <row r="257" ht="15.75" customHeight="1">
      <c r="B257" s="138"/>
      <c r="N257" s="13"/>
      <c r="Q257" s="13"/>
      <c r="S257" s="13"/>
      <c r="U257" s="13"/>
      <c r="W257" s="13"/>
      <c r="Y257" s="13"/>
      <c r="AQ257" s="14"/>
      <c r="AR257" s="14"/>
      <c r="AS257" s="14"/>
    </row>
    <row r="258" ht="15.75" customHeight="1">
      <c r="B258" s="138"/>
      <c r="N258" s="13"/>
      <c r="Q258" s="13"/>
      <c r="S258" s="13"/>
      <c r="U258" s="13"/>
      <c r="W258" s="13"/>
      <c r="Y258" s="13"/>
      <c r="AQ258" s="14"/>
      <c r="AR258" s="14"/>
      <c r="AS258" s="14"/>
    </row>
    <row r="259" ht="15.75" customHeight="1">
      <c r="B259" s="138"/>
      <c r="N259" s="13"/>
      <c r="Q259" s="13"/>
      <c r="S259" s="13"/>
      <c r="U259" s="13"/>
      <c r="W259" s="13"/>
      <c r="Y259" s="13"/>
      <c r="AQ259" s="14"/>
      <c r="AR259" s="14"/>
      <c r="AS259" s="14"/>
    </row>
    <row r="260" ht="15.75" customHeight="1">
      <c r="B260" s="138"/>
      <c r="N260" s="13"/>
      <c r="Q260" s="13"/>
      <c r="S260" s="13"/>
      <c r="U260" s="13"/>
      <c r="W260" s="13"/>
      <c r="Y260" s="13"/>
      <c r="AQ260" s="14"/>
      <c r="AR260" s="14"/>
      <c r="AS260" s="14"/>
    </row>
    <row r="261" ht="15.75" customHeight="1">
      <c r="B261" s="138"/>
      <c r="N261" s="13"/>
      <c r="Q261" s="13"/>
      <c r="S261" s="13"/>
      <c r="U261" s="13"/>
      <c r="W261" s="13"/>
      <c r="Y261" s="13"/>
      <c r="AQ261" s="14"/>
      <c r="AR261" s="14"/>
      <c r="AS261" s="14"/>
    </row>
    <row r="262" ht="15.75" customHeight="1">
      <c r="B262" s="138"/>
      <c r="N262" s="13"/>
      <c r="Q262" s="13"/>
      <c r="S262" s="13"/>
      <c r="U262" s="13"/>
      <c r="W262" s="13"/>
      <c r="Y262" s="13"/>
      <c r="AQ262" s="14"/>
      <c r="AR262" s="14"/>
      <c r="AS262" s="14"/>
    </row>
    <row r="263" ht="15.75" customHeight="1">
      <c r="B263" s="138"/>
      <c r="N263" s="13"/>
      <c r="Q263" s="13"/>
      <c r="S263" s="13"/>
      <c r="U263" s="13"/>
      <c r="W263" s="13"/>
      <c r="Y263" s="13"/>
      <c r="AQ263" s="14"/>
      <c r="AR263" s="14"/>
      <c r="AS263" s="14"/>
    </row>
    <row r="264" ht="15.75" customHeight="1">
      <c r="B264" s="138"/>
      <c r="N264" s="13"/>
      <c r="Q264" s="13"/>
      <c r="S264" s="13"/>
      <c r="U264" s="13"/>
      <c r="W264" s="13"/>
      <c r="Y264" s="13"/>
      <c r="AQ264" s="14"/>
      <c r="AR264" s="14"/>
      <c r="AS264" s="14"/>
    </row>
    <row r="265" ht="15.75" customHeight="1">
      <c r="B265" s="138"/>
      <c r="N265" s="13"/>
      <c r="Q265" s="13"/>
      <c r="S265" s="13"/>
      <c r="U265" s="13"/>
      <c r="W265" s="13"/>
      <c r="Y265" s="13"/>
      <c r="AQ265" s="14"/>
      <c r="AR265" s="14"/>
      <c r="AS265" s="14"/>
    </row>
    <row r="266" ht="15.75" customHeight="1">
      <c r="B266" s="138"/>
      <c r="N266" s="13"/>
      <c r="Q266" s="13"/>
      <c r="S266" s="13"/>
      <c r="U266" s="13"/>
      <c r="W266" s="13"/>
      <c r="Y266" s="13"/>
      <c r="AQ266" s="14"/>
      <c r="AR266" s="14"/>
      <c r="AS266" s="14"/>
    </row>
    <row r="267" ht="15.75" customHeight="1">
      <c r="B267" s="138"/>
      <c r="N267" s="13"/>
      <c r="Q267" s="13"/>
      <c r="S267" s="13"/>
      <c r="U267" s="13"/>
      <c r="W267" s="13"/>
      <c r="Y267" s="13"/>
      <c r="AQ267" s="14"/>
      <c r="AR267" s="14"/>
      <c r="AS267" s="14"/>
    </row>
    <row r="268" ht="15.75" customHeight="1">
      <c r="B268" s="138"/>
      <c r="N268" s="13"/>
      <c r="Q268" s="13"/>
      <c r="S268" s="13"/>
      <c r="U268" s="13"/>
      <c r="W268" s="13"/>
      <c r="Y268" s="13"/>
      <c r="AQ268" s="14"/>
      <c r="AR268" s="14"/>
      <c r="AS268" s="14"/>
    </row>
    <row r="269" ht="15.75" customHeight="1">
      <c r="B269" s="138"/>
      <c r="N269" s="13"/>
      <c r="Q269" s="13"/>
      <c r="S269" s="13"/>
      <c r="U269" s="13"/>
      <c r="W269" s="13"/>
      <c r="Y269" s="13"/>
      <c r="AQ269" s="14"/>
      <c r="AR269" s="14"/>
      <c r="AS269" s="14"/>
    </row>
    <row r="270" ht="15.75" customHeight="1">
      <c r="B270" s="138"/>
      <c r="N270" s="13"/>
      <c r="Q270" s="13"/>
      <c r="S270" s="13"/>
      <c r="U270" s="13"/>
      <c r="W270" s="13"/>
      <c r="Y270" s="13"/>
      <c r="AQ270" s="14"/>
      <c r="AR270" s="14"/>
      <c r="AS270" s="14"/>
    </row>
    <row r="271" ht="15.75" customHeight="1">
      <c r="B271" s="138"/>
      <c r="N271" s="13"/>
      <c r="Q271" s="13"/>
      <c r="S271" s="13"/>
      <c r="U271" s="13"/>
      <c r="W271" s="13"/>
      <c r="Y271" s="13"/>
      <c r="AQ271" s="14"/>
      <c r="AR271" s="14"/>
      <c r="AS271" s="14"/>
    </row>
    <row r="272" ht="15.75" customHeight="1">
      <c r="B272" s="138"/>
      <c r="N272" s="13"/>
      <c r="Q272" s="13"/>
      <c r="S272" s="13"/>
      <c r="U272" s="13"/>
      <c r="W272" s="13"/>
      <c r="Y272" s="13"/>
      <c r="AQ272" s="14"/>
      <c r="AR272" s="14"/>
      <c r="AS272" s="14"/>
    </row>
    <row r="273" ht="15.75" customHeight="1">
      <c r="B273" s="138"/>
      <c r="N273" s="13"/>
      <c r="Q273" s="13"/>
      <c r="S273" s="13"/>
      <c r="U273" s="13"/>
      <c r="W273" s="13"/>
      <c r="Y273" s="13"/>
      <c r="AQ273" s="14"/>
      <c r="AR273" s="14"/>
      <c r="AS273" s="14"/>
    </row>
    <row r="274" ht="15.75" customHeight="1">
      <c r="B274" s="138"/>
      <c r="N274" s="13"/>
      <c r="Q274" s="13"/>
      <c r="S274" s="13"/>
      <c r="U274" s="13"/>
      <c r="W274" s="13"/>
      <c r="Y274" s="13"/>
      <c r="AQ274" s="14"/>
      <c r="AR274" s="14"/>
      <c r="AS274" s="14"/>
    </row>
    <row r="275" ht="15.75" customHeight="1">
      <c r="B275" s="138"/>
      <c r="N275" s="13"/>
      <c r="Q275" s="13"/>
      <c r="S275" s="13"/>
      <c r="U275" s="13"/>
      <c r="W275" s="13"/>
      <c r="Y275" s="13"/>
      <c r="AQ275" s="14"/>
      <c r="AR275" s="14"/>
      <c r="AS275" s="14"/>
    </row>
    <row r="276" ht="15.75" customHeight="1">
      <c r="B276" s="138"/>
      <c r="N276" s="13"/>
      <c r="Q276" s="13"/>
      <c r="S276" s="13"/>
      <c r="U276" s="13"/>
      <c r="W276" s="13"/>
      <c r="Y276" s="13"/>
      <c r="AQ276" s="14"/>
      <c r="AR276" s="14"/>
      <c r="AS276" s="14"/>
    </row>
    <row r="277" ht="15.75" customHeight="1">
      <c r="B277" s="138"/>
      <c r="N277" s="13"/>
      <c r="Q277" s="13"/>
      <c r="S277" s="13"/>
      <c r="U277" s="13"/>
      <c r="W277" s="13"/>
      <c r="Y277" s="13"/>
      <c r="AQ277" s="14"/>
      <c r="AR277" s="14"/>
      <c r="AS277" s="14"/>
    </row>
    <row r="278" ht="15.75" customHeight="1">
      <c r="B278" s="138"/>
      <c r="N278" s="13"/>
      <c r="Q278" s="13"/>
      <c r="S278" s="13"/>
      <c r="U278" s="13"/>
      <c r="W278" s="13"/>
      <c r="Y278" s="13"/>
      <c r="AQ278" s="14"/>
      <c r="AR278" s="14"/>
      <c r="AS278" s="14"/>
    </row>
    <row r="279" ht="15.75" customHeight="1">
      <c r="B279" s="138"/>
      <c r="N279" s="13"/>
      <c r="Q279" s="13"/>
      <c r="S279" s="13"/>
      <c r="U279" s="13"/>
      <c r="W279" s="13"/>
      <c r="Y279" s="13"/>
      <c r="AQ279" s="14"/>
      <c r="AR279" s="14"/>
      <c r="AS279" s="14"/>
    </row>
    <row r="280" ht="15.75" customHeight="1">
      <c r="B280" s="138"/>
      <c r="N280" s="13"/>
      <c r="Q280" s="13"/>
      <c r="S280" s="13"/>
      <c r="U280" s="13"/>
      <c r="W280" s="13"/>
      <c r="Y280" s="13"/>
      <c r="AQ280" s="14"/>
      <c r="AR280" s="14"/>
      <c r="AS280" s="14"/>
    </row>
    <row r="281" ht="15.75" customHeight="1">
      <c r="B281" s="138"/>
      <c r="N281" s="13"/>
      <c r="Q281" s="13"/>
      <c r="S281" s="13"/>
      <c r="U281" s="13"/>
      <c r="W281" s="13"/>
      <c r="Y281" s="13"/>
      <c r="AQ281" s="14"/>
      <c r="AR281" s="14"/>
      <c r="AS281" s="14"/>
    </row>
    <row r="282" ht="15.75" customHeight="1">
      <c r="B282" s="138"/>
      <c r="N282" s="13"/>
      <c r="Q282" s="13"/>
      <c r="S282" s="13"/>
      <c r="U282" s="13"/>
      <c r="W282" s="13"/>
      <c r="Y282" s="13"/>
      <c r="AQ282" s="14"/>
      <c r="AR282" s="14"/>
      <c r="AS282" s="14"/>
    </row>
    <row r="283" ht="15.75" customHeight="1">
      <c r="B283" s="138"/>
      <c r="N283" s="13"/>
      <c r="Q283" s="13"/>
      <c r="S283" s="13"/>
      <c r="U283" s="13"/>
      <c r="W283" s="13"/>
      <c r="Y283" s="13"/>
      <c r="AQ283" s="14"/>
      <c r="AR283" s="14"/>
      <c r="AS283" s="14"/>
    </row>
    <row r="284" ht="15.75" customHeight="1">
      <c r="B284" s="138"/>
      <c r="N284" s="13"/>
      <c r="Q284" s="13"/>
      <c r="S284" s="13"/>
      <c r="U284" s="13"/>
      <c r="W284" s="13"/>
      <c r="Y284" s="13"/>
      <c r="AQ284" s="14"/>
      <c r="AR284" s="14"/>
      <c r="AS284" s="14"/>
    </row>
    <row r="285" ht="15.75" customHeight="1">
      <c r="B285" s="138"/>
      <c r="N285" s="13"/>
      <c r="Q285" s="13"/>
      <c r="S285" s="13"/>
      <c r="U285" s="13"/>
      <c r="W285" s="13"/>
      <c r="Y285" s="13"/>
      <c r="AQ285" s="14"/>
      <c r="AR285" s="14"/>
      <c r="AS285" s="14"/>
    </row>
    <row r="286" ht="15.75" customHeight="1">
      <c r="B286" s="138"/>
      <c r="N286" s="13"/>
      <c r="Q286" s="13"/>
      <c r="S286" s="13"/>
      <c r="U286" s="13"/>
      <c r="W286" s="13"/>
      <c r="Y286" s="13"/>
      <c r="AQ286" s="14"/>
      <c r="AR286" s="14"/>
      <c r="AS286" s="14"/>
    </row>
    <row r="287" ht="15.75" customHeight="1">
      <c r="B287" s="138"/>
      <c r="N287" s="13"/>
      <c r="Q287" s="13"/>
      <c r="S287" s="13"/>
      <c r="U287" s="13"/>
      <c r="W287" s="13"/>
      <c r="Y287" s="13"/>
      <c r="AQ287" s="14"/>
      <c r="AR287" s="14"/>
      <c r="AS287" s="14"/>
    </row>
    <row r="288" ht="15.75" customHeight="1">
      <c r="B288" s="138"/>
      <c r="N288" s="13"/>
      <c r="Q288" s="13"/>
      <c r="S288" s="13"/>
      <c r="U288" s="13"/>
      <c r="W288" s="13"/>
      <c r="Y288" s="13"/>
      <c r="AQ288" s="14"/>
      <c r="AR288" s="14"/>
      <c r="AS288" s="14"/>
    </row>
    <row r="289" ht="15.75" customHeight="1">
      <c r="B289" s="138"/>
      <c r="N289" s="13"/>
      <c r="Q289" s="13"/>
      <c r="S289" s="13"/>
      <c r="U289" s="13"/>
      <c r="W289" s="13"/>
      <c r="Y289" s="13"/>
      <c r="AQ289" s="14"/>
      <c r="AR289" s="14"/>
      <c r="AS289" s="14"/>
    </row>
    <row r="290" ht="15.75" customHeight="1">
      <c r="B290" s="138"/>
      <c r="N290" s="13"/>
      <c r="Q290" s="13"/>
      <c r="S290" s="13"/>
      <c r="U290" s="13"/>
      <c r="W290" s="13"/>
      <c r="Y290" s="13"/>
      <c r="AQ290" s="14"/>
      <c r="AR290" s="14"/>
      <c r="AS290" s="14"/>
    </row>
    <row r="291" ht="15.75" customHeight="1">
      <c r="B291" s="138"/>
      <c r="N291" s="13"/>
      <c r="Q291" s="13"/>
      <c r="S291" s="13"/>
      <c r="U291" s="13"/>
      <c r="W291" s="13"/>
      <c r="Y291" s="13"/>
      <c r="AQ291" s="14"/>
      <c r="AR291" s="14"/>
      <c r="AS291" s="14"/>
    </row>
    <row r="292" ht="15.75" customHeight="1">
      <c r="B292" s="138"/>
      <c r="N292" s="13"/>
      <c r="Q292" s="13"/>
      <c r="S292" s="13"/>
      <c r="U292" s="13"/>
      <c r="W292" s="13"/>
      <c r="Y292" s="13"/>
      <c r="AQ292" s="14"/>
      <c r="AR292" s="14"/>
      <c r="AS292" s="14"/>
    </row>
    <row r="293" ht="15.75" customHeight="1">
      <c r="B293" s="138"/>
      <c r="N293" s="13"/>
      <c r="Q293" s="13"/>
      <c r="S293" s="13"/>
      <c r="U293" s="13"/>
      <c r="W293" s="13"/>
      <c r="Y293" s="13"/>
      <c r="AQ293" s="14"/>
      <c r="AR293" s="14"/>
      <c r="AS293" s="14"/>
    </row>
    <row r="294" ht="15.75" customHeight="1">
      <c r="B294" s="138"/>
      <c r="N294" s="13"/>
      <c r="Q294" s="13"/>
      <c r="S294" s="13"/>
      <c r="U294" s="13"/>
      <c r="W294" s="13"/>
      <c r="Y294" s="13"/>
      <c r="AQ294" s="14"/>
      <c r="AR294" s="14"/>
      <c r="AS294" s="14"/>
    </row>
    <row r="295" ht="15.75" customHeight="1">
      <c r="B295" s="138"/>
      <c r="N295" s="13"/>
      <c r="Q295" s="13"/>
      <c r="S295" s="13"/>
      <c r="U295" s="13"/>
      <c r="W295" s="13"/>
      <c r="Y295" s="13"/>
      <c r="AQ295" s="14"/>
      <c r="AR295" s="14"/>
      <c r="AS295" s="14"/>
    </row>
    <row r="296" ht="15.75" customHeight="1">
      <c r="B296" s="138"/>
      <c r="N296" s="13"/>
      <c r="Q296" s="13"/>
      <c r="S296" s="13"/>
      <c r="U296" s="13"/>
      <c r="W296" s="13"/>
      <c r="Y296" s="13"/>
      <c r="AQ296" s="14"/>
      <c r="AR296" s="14"/>
      <c r="AS296" s="14"/>
    </row>
    <row r="297" ht="15.75" customHeight="1">
      <c r="B297" s="138"/>
      <c r="N297" s="13"/>
      <c r="Q297" s="13"/>
      <c r="S297" s="13"/>
      <c r="U297" s="13"/>
      <c r="W297" s="13"/>
      <c r="Y297" s="13"/>
      <c r="AQ297" s="14"/>
      <c r="AR297" s="14"/>
      <c r="AS297" s="14"/>
    </row>
    <row r="298" ht="15.75" customHeight="1">
      <c r="B298" s="138"/>
      <c r="N298" s="13"/>
      <c r="Q298" s="13"/>
      <c r="S298" s="13"/>
      <c r="U298" s="13"/>
      <c r="W298" s="13"/>
      <c r="Y298" s="13"/>
      <c r="AQ298" s="14"/>
      <c r="AR298" s="14"/>
      <c r="AS298" s="14"/>
    </row>
    <row r="299" ht="15.75" customHeight="1">
      <c r="B299" s="138"/>
      <c r="N299" s="13"/>
      <c r="Q299" s="13"/>
      <c r="S299" s="13"/>
      <c r="U299" s="13"/>
      <c r="W299" s="13"/>
      <c r="Y299" s="13"/>
      <c r="AQ299" s="14"/>
      <c r="AR299" s="14"/>
      <c r="AS299" s="14"/>
    </row>
    <row r="300" ht="15.75" customHeight="1">
      <c r="B300" s="138"/>
      <c r="N300" s="13"/>
      <c r="Q300" s="13"/>
      <c r="S300" s="13"/>
      <c r="U300" s="13"/>
      <c r="W300" s="13"/>
      <c r="Y300" s="13"/>
      <c r="AQ300" s="14"/>
      <c r="AR300" s="14"/>
      <c r="AS300" s="14"/>
    </row>
    <row r="301" ht="15.75" customHeight="1">
      <c r="B301" s="138"/>
      <c r="N301" s="13"/>
      <c r="Q301" s="13"/>
      <c r="S301" s="13"/>
      <c r="U301" s="13"/>
      <c r="W301" s="13"/>
      <c r="Y301" s="13"/>
      <c r="AQ301" s="14"/>
      <c r="AR301" s="14"/>
      <c r="AS301" s="14"/>
    </row>
    <row r="302" ht="15.75" customHeight="1">
      <c r="B302" s="138"/>
      <c r="N302" s="13"/>
      <c r="Q302" s="13"/>
      <c r="S302" s="13"/>
      <c r="U302" s="13"/>
      <c r="W302" s="13"/>
      <c r="Y302" s="13"/>
      <c r="AQ302" s="14"/>
      <c r="AR302" s="14"/>
      <c r="AS302" s="14"/>
    </row>
    <row r="303" ht="15.75" customHeight="1">
      <c r="B303" s="138"/>
      <c r="N303" s="13"/>
      <c r="Q303" s="13"/>
      <c r="S303" s="13"/>
      <c r="U303" s="13"/>
      <c r="W303" s="13"/>
      <c r="Y303" s="13"/>
      <c r="AQ303" s="14"/>
      <c r="AR303" s="14"/>
      <c r="AS303" s="14"/>
    </row>
    <row r="304" ht="15.75" customHeight="1">
      <c r="B304" s="138"/>
      <c r="N304" s="13"/>
      <c r="Q304" s="13"/>
      <c r="S304" s="13"/>
      <c r="U304" s="13"/>
      <c r="W304" s="13"/>
      <c r="Y304" s="13"/>
      <c r="AQ304" s="14"/>
      <c r="AR304" s="14"/>
      <c r="AS304" s="14"/>
    </row>
    <row r="305" ht="15.75" customHeight="1">
      <c r="B305" s="138"/>
      <c r="N305" s="13"/>
      <c r="Q305" s="13"/>
      <c r="S305" s="13"/>
      <c r="U305" s="13"/>
      <c r="W305" s="13"/>
      <c r="Y305" s="13"/>
      <c r="AQ305" s="14"/>
      <c r="AR305" s="14"/>
      <c r="AS305" s="14"/>
    </row>
    <row r="306" ht="15.75" customHeight="1">
      <c r="B306" s="138"/>
      <c r="N306" s="13"/>
      <c r="Q306" s="13"/>
      <c r="S306" s="13"/>
      <c r="U306" s="13"/>
      <c r="W306" s="13"/>
      <c r="Y306" s="13"/>
      <c r="AQ306" s="14"/>
      <c r="AR306" s="14"/>
      <c r="AS306" s="14"/>
    </row>
    <row r="307" ht="15.75" customHeight="1">
      <c r="B307" s="138"/>
      <c r="N307" s="13"/>
      <c r="Q307" s="13"/>
      <c r="S307" s="13"/>
      <c r="U307" s="13"/>
      <c r="W307" s="13"/>
      <c r="Y307" s="13"/>
      <c r="AQ307" s="14"/>
      <c r="AR307" s="14"/>
      <c r="AS307" s="14"/>
    </row>
    <row r="308" ht="15.75" customHeight="1">
      <c r="B308" s="138"/>
      <c r="N308" s="13"/>
      <c r="Q308" s="13"/>
      <c r="S308" s="13"/>
      <c r="U308" s="13"/>
      <c r="W308" s="13"/>
      <c r="Y308" s="13"/>
      <c r="AQ308" s="14"/>
      <c r="AR308" s="14"/>
      <c r="AS308" s="14"/>
    </row>
    <row r="309" ht="15.75" customHeight="1">
      <c r="B309" s="138"/>
      <c r="N309" s="13"/>
      <c r="Q309" s="13"/>
      <c r="S309" s="13"/>
      <c r="U309" s="13"/>
      <c r="W309" s="13"/>
      <c r="Y309" s="13"/>
      <c r="AQ309" s="14"/>
      <c r="AR309" s="14"/>
      <c r="AS309" s="14"/>
    </row>
    <row r="310" ht="15.75" customHeight="1">
      <c r="B310" s="138"/>
      <c r="N310" s="13"/>
      <c r="Q310" s="13"/>
      <c r="S310" s="13"/>
      <c r="U310" s="13"/>
      <c r="W310" s="13"/>
      <c r="Y310" s="13"/>
      <c r="AQ310" s="14"/>
      <c r="AR310" s="14"/>
      <c r="AS310" s="14"/>
    </row>
    <row r="311" ht="15.75" customHeight="1">
      <c r="B311" s="138"/>
      <c r="N311" s="13"/>
      <c r="Q311" s="13"/>
      <c r="S311" s="13"/>
      <c r="U311" s="13"/>
      <c r="W311" s="13"/>
      <c r="Y311" s="13"/>
      <c r="AQ311" s="14"/>
      <c r="AR311" s="14"/>
      <c r="AS311" s="14"/>
    </row>
    <row r="312" ht="15.75" customHeight="1">
      <c r="B312" s="138"/>
      <c r="N312" s="13"/>
      <c r="Q312" s="13"/>
      <c r="S312" s="13"/>
      <c r="U312" s="13"/>
      <c r="W312" s="13"/>
      <c r="Y312" s="13"/>
      <c r="AQ312" s="14"/>
      <c r="AR312" s="14"/>
      <c r="AS312" s="14"/>
    </row>
    <row r="313" ht="15.75" customHeight="1">
      <c r="B313" s="138"/>
      <c r="N313" s="13"/>
      <c r="Q313" s="13"/>
      <c r="S313" s="13"/>
      <c r="U313" s="13"/>
      <c r="W313" s="13"/>
      <c r="Y313" s="13"/>
      <c r="AQ313" s="14"/>
      <c r="AR313" s="14"/>
      <c r="AS313" s="14"/>
    </row>
    <row r="314" ht="15.75" customHeight="1">
      <c r="B314" s="138"/>
      <c r="N314" s="13"/>
      <c r="Q314" s="13"/>
      <c r="S314" s="13"/>
      <c r="U314" s="13"/>
      <c r="W314" s="13"/>
      <c r="Y314" s="13"/>
      <c r="AQ314" s="14"/>
      <c r="AR314" s="14"/>
      <c r="AS314" s="14"/>
    </row>
    <row r="315" ht="15.75" customHeight="1">
      <c r="B315" s="138"/>
      <c r="N315" s="13"/>
      <c r="Q315" s="13"/>
      <c r="S315" s="13"/>
      <c r="U315" s="13"/>
      <c r="W315" s="13"/>
      <c r="Y315" s="13"/>
      <c r="AQ315" s="14"/>
      <c r="AR315" s="14"/>
      <c r="AS315" s="14"/>
    </row>
    <row r="316" ht="15.75" customHeight="1">
      <c r="B316" s="138"/>
      <c r="N316" s="13"/>
      <c r="Q316" s="13"/>
      <c r="S316" s="13"/>
      <c r="U316" s="13"/>
      <c r="W316" s="13"/>
      <c r="Y316" s="13"/>
      <c r="AQ316" s="14"/>
      <c r="AR316" s="14"/>
      <c r="AS316" s="14"/>
    </row>
    <row r="317" ht="15.75" customHeight="1">
      <c r="B317" s="138"/>
      <c r="N317" s="13"/>
      <c r="Q317" s="13"/>
      <c r="S317" s="13"/>
      <c r="U317" s="13"/>
      <c r="W317" s="13"/>
      <c r="Y317" s="13"/>
      <c r="AQ317" s="14"/>
      <c r="AR317" s="14"/>
      <c r="AS317" s="14"/>
    </row>
    <row r="318" ht="15.75" customHeight="1">
      <c r="B318" s="138"/>
      <c r="N318" s="13"/>
      <c r="Q318" s="13"/>
      <c r="S318" s="13"/>
      <c r="U318" s="13"/>
      <c r="W318" s="13"/>
      <c r="Y318" s="13"/>
      <c r="AQ318" s="14"/>
      <c r="AR318" s="14"/>
      <c r="AS318" s="14"/>
    </row>
    <row r="319" ht="15.75" customHeight="1">
      <c r="B319" s="138"/>
      <c r="N319" s="13"/>
      <c r="Q319" s="13"/>
      <c r="S319" s="13"/>
      <c r="U319" s="13"/>
      <c r="W319" s="13"/>
      <c r="Y319" s="13"/>
      <c r="AQ319" s="14"/>
      <c r="AR319" s="14"/>
      <c r="AS319" s="14"/>
    </row>
    <row r="320" ht="15.75" customHeight="1">
      <c r="B320" s="138"/>
      <c r="N320" s="13"/>
      <c r="Q320" s="13"/>
      <c r="S320" s="13"/>
      <c r="U320" s="13"/>
      <c r="W320" s="13"/>
      <c r="Y320" s="13"/>
      <c r="AQ320" s="14"/>
      <c r="AR320" s="14"/>
      <c r="AS320" s="14"/>
    </row>
    <row r="321" ht="15.75" customHeight="1">
      <c r="B321" s="138"/>
      <c r="N321" s="13"/>
      <c r="Q321" s="13"/>
      <c r="S321" s="13"/>
      <c r="U321" s="13"/>
      <c r="W321" s="13"/>
      <c r="Y321" s="13"/>
      <c r="AQ321" s="14"/>
      <c r="AR321" s="14"/>
      <c r="AS321" s="14"/>
    </row>
    <row r="322" ht="15.75" customHeight="1">
      <c r="B322" s="138"/>
      <c r="N322" s="13"/>
      <c r="Q322" s="13"/>
      <c r="S322" s="13"/>
      <c r="U322" s="13"/>
      <c r="W322" s="13"/>
      <c r="Y322" s="13"/>
      <c r="AQ322" s="14"/>
      <c r="AR322" s="14"/>
      <c r="AS322" s="14"/>
    </row>
    <row r="323" ht="15.75" customHeight="1">
      <c r="B323" s="138"/>
      <c r="N323" s="13"/>
      <c r="Q323" s="13"/>
      <c r="S323" s="13"/>
      <c r="U323" s="13"/>
      <c r="W323" s="13"/>
      <c r="Y323" s="13"/>
      <c r="AQ323" s="14"/>
      <c r="AR323" s="14"/>
      <c r="AS323" s="14"/>
    </row>
    <row r="324" ht="15.75" customHeight="1">
      <c r="B324" s="138"/>
      <c r="N324" s="13"/>
      <c r="Q324" s="13"/>
      <c r="S324" s="13"/>
      <c r="U324" s="13"/>
      <c r="W324" s="13"/>
      <c r="Y324" s="13"/>
      <c r="AQ324" s="14"/>
      <c r="AR324" s="14"/>
      <c r="AS324" s="14"/>
    </row>
    <row r="325" ht="15.75" customHeight="1">
      <c r="B325" s="138"/>
      <c r="N325" s="13"/>
      <c r="Q325" s="13"/>
      <c r="S325" s="13"/>
      <c r="U325" s="13"/>
      <c r="W325" s="13"/>
      <c r="Y325" s="13"/>
      <c r="AQ325" s="14"/>
      <c r="AR325" s="14"/>
      <c r="AS325" s="14"/>
    </row>
    <row r="326" ht="15.75" customHeight="1">
      <c r="B326" s="138"/>
      <c r="N326" s="13"/>
      <c r="Q326" s="13"/>
      <c r="S326" s="13"/>
      <c r="U326" s="13"/>
      <c r="W326" s="13"/>
      <c r="Y326" s="13"/>
      <c r="AQ326" s="14"/>
      <c r="AR326" s="14"/>
      <c r="AS326" s="14"/>
    </row>
    <row r="327" ht="15.75" customHeight="1">
      <c r="B327" s="138"/>
      <c r="N327" s="13"/>
      <c r="Q327" s="13"/>
      <c r="S327" s="13"/>
      <c r="U327" s="13"/>
      <c r="W327" s="13"/>
      <c r="Y327" s="13"/>
      <c r="AQ327" s="14"/>
      <c r="AR327" s="14"/>
      <c r="AS327" s="14"/>
    </row>
    <row r="328" ht="15.75" customHeight="1">
      <c r="B328" s="138"/>
      <c r="N328" s="13"/>
      <c r="Q328" s="13"/>
      <c r="S328" s="13"/>
      <c r="U328" s="13"/>
      <c r="W328" s="13"/>
      <c r="Y328" s="13"/>
      <c r="AQ328" s="14"/>
      <c r="AR328" s="14"/>
      <c r="AS328" s="14"/>
    </row>
    <row r="329" ht="15.75" customHeight="1">
      <c r="B329" s="138"/>
      <c r="N329" s="13"/>
      <c r="Q329" s="13"/>
      <c r="S329" s="13"/>
      <c r="U329" s="13"/>
      <c r="W329" s="13"/>
      <c r="Y329" s="13"/>
      <c r="AQ329" s="14"/>
      <c r="AR329" s="14"/>
      <c r="AS329" s="14"/>
    </row>
    <row r="330" ht="15.75" customHeight="1">
      <c r="B330" s="138"/>
      <c r="N330" s="13"/>
      <c r="Q330" s="13"/>
      <c r="S330" s="13"/>
      <c r="U330" s="13"/>
      <c r="W330" s="13"/>
      <c r="Y330" s="13"/>
      <c r="AQ330" s="14"/>
      <c r="AR330" s="14"/>
      <c r="AS330" s="14"/>
    </row>
    <row r="331" ht="15.75" customHeight="1">
      <c r="B331" s="138"/>
      <c r="N331" s="13"/>
      <c r="Q331" s="13"/>
      <c r="S331" s="13"/>
      <c r="U331" s="13"/>
      <c r="W331" s="13"/>
      <c r="Y331" s="13"/>
      <c r="AQ331" s="14"/>
      <c r="AR331" s="14"/>
      <c r="AS331" s="14"/>
    </row>
    <row r="332" ht="15.75" customHeight="1">
      <c r="B332" s="138"/>
      <c r="N332" s="13"/>
      <c r="Q332" s="13"/>
      <c r="S332" s="13"/>
      <c r="U332" s="13"/>
      <c r="W332" s="13"/>
      <c r="Y332" s="13"/>
      <c r="AQ332" s="14"/>
      <c r="AR332" s="14"/>
      <c r="AS332" s="14"/>
    </row>
    <row r="333" ht="15.75" customHeight="1">
      <c r="B333" s="138"/>
      <c r="N333" s="13"/>
      <c r="Q333" s="13"/>
      <c r="S333" s="13"/>
      <c r="U333" s="13"/>
      <c r="W333" s="13"/>
      <c r="Y333" s="13"/>
      <c r="AQ333" s="14"/>
      <c r="AR333" s="14"/>
      <c r="AS333" s="14"/>
    </row>
    <row r="334" ht="15.75" customHeight="1">
      <c r="B334" s="138"/>
      <c r="N334" s="13"/>
      <c r="Q334" s="13"/>
      <c r="S334" s="13"/>
      <c r="U334" s="13"/>
      <c r="W334" s="13"/>
      <c r="Y334" s="13"/>
      <c r="AQ334" s="14"/>
      <c r="AR334" s="14"/>
      <c r="AS334" s="14"/>
    </row>
    <row r="335" ht="15.75" customHeight="1">
      <c r="B335" s="138"/>
      <c r="N335" s="13"/>
      <c r="Q335" s="13"/>
      <c r="S335" s="13"/>
      <c r="U335" s="13"/>
      <c r="W335" s="13"/>
      <c r="Y335" s="13"/>
      <c r="AQ335" s="14"/>
      <c r="AR335" s="14"/>
      <c r="AS335" s="14"/>
    </row>
    <row r="336" ht="15.75" customHeight="1">
      <c r="B336" s="138"/>
      <c r="N336" s="13"/>
      <c r="Q336" s="13"/>
      <c r="S336" s="13"/>
      <c r="U336" s="13"/>
      <c r="W336" s="13"/>
      <c r="Y336" s="13"/>
      <c r="AQ336" s="14"/>
      <c r="AR336" s="14"/>
      <c r="AS336" s="14"/>
    </row>
    <row r="337" ht="15.75" customHeight="1">
      <c r="B337" s="138"/>
      <c r="N337" s="13"/>
      <c r="Q337" s="13"/>
      <c r="S337" s="13"/>
      <c r="U337" s="13"/>
      <c r="W337" s="13"/>
      <c r="Y337" s="13"/>
      <c r="AQ337" s="14"/>
      <c r="AR337" s="14"/>
      <c r="AS337" s="14"/>
    </row>
    <row r="338" ht="15.75" customHeight="1">
      <c r="B338" s="138"/>
      <c r="N338" s="13"/>
      <c r="Q338" s="13"/>
      <c r="S338" s="13"/>
      <c r="U338" s="13"/>
      <c r="W338" s="13"/>
      <c r="Y338" s="13"/>
      <c r="AQ338" s="14"/>
      <c r="AR338" s="14"/>
      <c r="AS338" s="14"/>
    </row>
    <row r="339" ht="15.75" customHeight="1">
      <c r="B339" s="138"/>
      <c r="N339" s="13"/>
      <c r="Q339" s="13"/>
      <c r="S339" s="13"/>
      <c r="U339" s="13"/>
      <c r="W339" s="13"/>
      <c r="Y339" s="13"/>
      <c r="AQ339" s="14"/>
      <c r="AR339" s="14"/>
      <c r="AS339" s="14"/>
    </row>
    <row r="340" ht="15.75" customHeight="1">
      <c r="B340" s="138"/>
      <c r="N340" s="13"/>
      <c r="Q340" s="13"/>
      <c r="S340" s="13"/>
      <c r="U340" s="13"/>
      <c r="W340" s="13"/>
      <c r="Y340" s="13"/>
      <c r="AQ340" s="14"/>
      <c r="AR340" s="14"/>
      <c r="AS340" s="14"/>
    </row>
    <row r="341" ht="15.75" customHeight="1">
      <c r="B341" s="138"/>
      <c r="N341" s="13"/>
      <c r="Q341" s="13"/>
      <c r="S341" s="13"/>
      <c r="U341" s="13"/>
      <c r="W341" s="13"/>
      <c r="Y341" s="13"/>
      <c r="AQ341" s="14"/>
      <c r="AR341" s="14"/>
      <c r="AS341" s="14"/>
    </row>
    <row r="342" ht="15.75" customHeight="1">
      <c r="B342" s="138"/>
      <c r="N342" s="13"/>
      <c r="Q342" s="13"/>
      <c r="S342" s="13"/>
      <c r="U342" s="13"/>
      <c r="W342" s="13"/>
      <c r="Y342" s="13"/>
      <c r="AQ342" s="14"/>
      <c r="AR342" s="14"/>
      <c r="AS342" s="14"/>
    </row>
    <row r="343" ht="15.75" customHeight="1">
      <c r="B343" s="138"/>
      <c r="N343" s="13"/>
      <c r="Q343" s="13"/>
      <c r="S343" s="13"/>
      <c r="U343" s="13"/>
      <c r="W343" s="13"/>
      <c r="Y343" s="13"/>
      <c r="AQ343" s="14"/>
      <c r="AR343" s="14"/>
      <c r="AS343" s="14"/>
    </row>
    <row r="344" ht="15.75" customHeight="1">
      <c r="B344" s="138"/>
      <c r="N344" s="13"/>
      <c r="Q344" s="13"/>
      <c r="S344" s="13"/>
      <c r="U344" s="13"/>
      <c r="W344" s="13"/>
      <c r="Y344" s="13"/>
      <c r="AQ344" s="14"/>
      <c r="AR344" s="14"/>
      <c r="AS344" s="14"/>
    </row>
    <row r="345" ht="15.75" customHeight="1">
      <c r="B345" s="138"/>
      <c r="N345" s="13"/>
      <c r="Q345" s="13"/>
      <c r="S345" s="13"/>
      <c r="U345" s="13"/>
      <c r="W345" s="13"/>
      <c r="Y345" s="13"/>
      <c r="AQ345" s="14"/>
      <c r="AR345" s="14"/>
      <c r="AS345" s="14"/>
    </row>
    <row r="346" ht="15.75" customHeight="1">
      <c r="B346" s="138"/>
      <c r="N346" s="13"/>
      <c r="Q346" s="13"/>
      <c r="S346" s="13"/>
      <c r="U346" s="13"/>
      <c r="W346" s="13"/>
      <c r="Y346" s="13"/>
      <c r="AQ346" s="14"/>
      <c r="AR346" s="14"/>
      <c r="AS346" s="14"/>
    </row>
    <row r="347" ht="15.75" customHeight="1">
      <c r="B347" s="138"/>
      <c r="N347" s="13"/>
      <c r="Q347" s="13"/>
      <c r="S347" s="13"/>
      <c r="U347" s="13"/>
      <c r="W347" s="13"/>
      <c r="Y347" s="13"/>
      <c r="AQ347" s="14"/>
      <c r="AR347" s="14"/>
      <c r="AS347" s="14"/>
    </row>
    <row r="348" ht="15.75" customHeight="1">
      <c r="B348" s="138"/>
      <c r="N348" s="13"/>
      <c r="Q348" s="13"/>
      <c r="S348" s="13"/>
      <c r="U348" s="13"/>
      <c r="W348" s="13"/>
      <c r="Y348" s="13"/>
      <c r="AQ348" s="14"/>
      <c r="AR348" s="14"/>
      <c r="AS348" s="14"/>
    </row>
    <row r="349" ht="15.75" customHeight="1">
      <c r="B349" s="138"/>
      <c r="N349" s="13"/>
      <c r="Q349" s="13"/>
      <c r="S349" s="13"/>
      <c r="U349" s="13"/>
      <c r="W349" s="13"/>
      <c r="Y349" s="13"/>
      <c r="AQ349" s="14"/>
      <c r="AR349" s="14"/>
      <c r="AS349" s="14"/>
    </row>
    <row r="350" ht="15.75" customHeight="1">
      <c r="B350" s="138"/>
      <c r="N350" s="13"/>
      <c r="Q350" s="13"/>
      <c r="S350" s="13"/>
      <c r="U350" s="13"/>
      <c r="W350" s="13"/>
      <c r="Y350" s="13"/>
      <c r="AQ350" s="14"/>
      <c r="AR350" s="14"/>
      <c r="AS350" s="14"/>
    </row>
    <row r="351" ht="15.75" customHeight="1">
      <c r="B351" s="138"/>
      <c r="N351" s="13"/>
      <c r="Q351" s="13"/>
      <c r="S351" s="13"/>
      <c r="U351" s="13"/>
      <c r="W351" s="13"/>
      <c r="Y351" s="13"/>
      <c r="AQ351" s="14"/>
      <c r="AR351" s="14"/>
      <c r="AS351" s="14"/>
    </row>
    <row r="352" ht="15.75" customHeight="1">
      <c r="B352" s="138"/>
      <c r="N352" s="13"/>
      <c r="Q352" s="13"/>
      <c r="S352" s="13"/>
      <c r="U352" s="13"/>
      <c r="W352" s="13"/>
      <c r="Y352" s="13"/>
      <c r="AQ352" s="14"/>
      <c r="AR352" s="14"/>
      <c r="AS352" s="14"/>
    </row>
    <row r="353" ht="15.75" customHeight="1">
      <c r="B353" s="138"/>
      <c r="N353" s="13"/>
      <c r="Q353" s="13"/>
      <c r="S353" s="13"/>
      <c r="U353" s="13"/>
      <c r="W353" s="13"/>
      <c r="Y353" s="13"/>
      <c r="AQ353" s="14"/>
      <c r="AR353" s="14"/>
      <c r="AS353" s="14"/>
    </row>
    <row r="354" ht="15.75" customHeight="1">
      <c r="B354" s="138"/>
      <c r="N354" s="13"/>
      <c r="Q354" s="13"/>
      <c r="S354" s="13"/>
      <c r="U354" s="13"/>
      <c r="W354" s="13"/>
      <c r="Y354" s="13"/>
      <c r="AQ354" s="14"/>
      <c r="AR354" s="14"/>
      <c r="AS354" s="14"/>
    </row>
    <row r="355" ht="15.75" customHeight="1">
      <c r="B355" s="138"/>
      <c r="N355" s="13"/>
      <c r="Q355" s="13"/>
      <c r="S355" s="13"/>
      <c r="U355" s="13"/>
      <c r="W355" s="13"/>
      <c r="Y355" s="13"/>
      <c r="AQ355" s="14"/>
      <c r="AR355" s="14"/>
      <c r="AS355" s="14"/>
    </row>
    <row r="356" ht="15.75" customHeight="1">
      <c r="B356" s="138"/>
      <c r="N356" s="13"/>
      <c r="Q356" s="13"/>
      <c r="S356" s="13"/>
      <c r="U356" s="13"/>
      <c r="W356" s="13"/>
      <c r="Y356" s="13"/>
      <c r="AQ356" s="14"/>
      <c r="AR356" s="14"/>
      <c r="AS356" s="14"/>
    </row>
    <row r="357" ht="15.75" customHeight="1">
      <c r="B357" s="138"/>
      <c r="N357" s="13"/>
      <c r="Q357" s="13"/>
      <c r="S357" s="13"/>
      <c r="U357" s="13"/>
      <c r="W357" s="13"/>
      <c r="Y357" s="13"/>
      <c r="AQ357" s="14"/>
      <c r="AR357" s="14"/>
      <c r="AS357" s="14"/>
    </row>
    <row r="358" ht="15.75" customHeight="1">
      <c r="B358" s="138"/>
      <c r="N358" s="13"/>
      <c r="Q358" s="13"/>
      <c r="S358" s="13"/>
      <c r="U358" s="13"/>
      <c r="W358" s="13"/>
      <c r="Y358" s="13"/>
      <c r="AQ358" s="14"/>
      <c r="AR358" s="14"/>
      <c r="AS358" s="14"/>
    </row>
    <row r="359" ht="15.75" customHeight="1">
      <c r="B359" s="138"/>
      <c r="N359" s="13"/>
      <c r="Q359" s="13"/>
      <c r="S359" s="13"/>
      <c r="U359" s="13"/>
      <c r="W359" s="13"/>
      <c r="Y359" s="13"/>
      <c r="AQ359" s="14"/>
      <c r="AR359" s="14"/>
      <c r="AS359" s="14"/>
    </row>
    <row r="360" ht="15.75" customHeight="1">
      <c r="B360" s="138"/>
      <c r="N360" s="13"/>
      <c r="Q360" s="13"/>
      <c r="S360" s="13"/>
      <c r="U360" s="13"/>
      <c r="W360" s="13"/>
      <c r="Y360" s="13"/>
      <c r="AQ360" s="14"/>
      <c r="AR360" s="14"/>
      <c r="AS360" s="14"/>
    </row>
    <row r="361" ht="15.75" customHeight="1">
      <c r="B361" s="138"/>
      <c r="N361" s="13"/>
      <c r="Q361" s="13"/>
      <c r="S361" s="13"/>
      <c r="U361" s="13"/>
      <c r="W361" s="13"/>
      <c r="Y361" s="13"/>
      <c r="AQ361" s="14"/>
      <c r="AR361" s="14"/>
      <c r="AS361" s="14"/>
    </row>
    <row r="362" ht="15.75" customHeight="1">
      <c r="B362" s="138"/>
      <c r="N362" s="13"/>
      <c r="Q362" s="13"/>
      <c r="S362" s="13"/>
      <c r="U362" s="13"/>
      <c r="W362" s="13"/>
      <c r="Y362" s="13"/>
      <c r="AQ362" s="14"/>
      <c r="AR362" s="14"/>
      <c r="AS362" s="14"/>
    </row>
    <row r="363" ht="15.75" customHeight="1">
      <c r="B363" s="138"/>
      <c r="N363" s="13"/>
      <c r="Q363" s="13"/>
      <c r="S363" s="13"/>
      <c r="U363" s="13"/>
      <c r="W363" s="13"/>
      <c r="Y363" s="13"/>
      <c r="AQ363" s="14"/>
      <c r="AR363" s="14"/>
      <c r="AS363" s="14"/>
    </row>
    <row r="364" ht="15.75" customHeight="1">
      <c r="B364" s="138"/>
      <c r="N364" s="13"/>
      <c r="Q364" s="13"/>
      <c r="S364" s="13"/>
      <c r="U364" s="13"/>
      <c r="W364" s="13"/>
      <c r="Y364" s="13"/>
      <c r="AQ364" s="14"/>
      <c r="AR364" s="14"/>
      <c r="AS364" s="14"/>
    </row>
    <row r="365" ht="15.75" customHeight="1">
      <c r="B365" s="138"/>
      <c r="N365" s="13"/>
      <c r="Q365" s="13"/>
      <c r="S365" s="13"/>
      <c r="U365" s="13"/>
      <c r="W365" s="13"/>
      <c r="Y365" s="13"/>
      <c r="AQ365" s="14"/>
      <c r="AR365" s="14"/>
      <c r="AS365" s="14"/>
    </row>
    <row r="366" ht="15.75" customHeight="1">
      <c r="B366" s="138"/>
      <c r="N366" s="13"/>
      <c r="Q366" s="13"/>
      <c r="S366" s="13"/>
      <c r="U366" s="13"/>
      <c r="W366" s="13"/>
      <c r="Y366" s="13"/>
      <c r="AQ366" s="14"/>
      <c r="AR366" s="14"/>
      <c r="AS366" s="14"/>
    </row>
    <row r="367" ht="15.75" customHeight="1">
      <c r="B367" s="138"/>
      <c r="N367" s="13"/>
      <c r="Q367" s="13"/>
      <c r="S367" s="13"/>
      <c r="U367" s="13"/>
      <c r="W367" s="13"/>
      <c r="Y367" s="13"/>
      <c r="AQ367" s="14"/>
      <c r="AR367" s="14"/>
      <c r="AS367" s="14"/>
    </row>
    <row r="368" ht="15.75" customHeight="1">
      <c r="B368" s="138"/>
      <c r="N368" s="13"/>
      <c r="Q368" s="13"/>
      <c r="S368" s="13"/>
      <c r="U368" s="13"/>
      <c r="W368" s="13"/>
      <c r="Y368" s="13"/>
      <c r="AQ368" s="14"/>
      <c r="AR368" s="14"/>
      <c r="AS368" s="14"/>
    </row>
    <row r="369" ht="15.75" customHeight="1">
      <c r="B369" s="138"/>
      <c r="N369" s="13"/>
      <c r="Q369" s="13"/>
      <c r="S369" s="13"/>
      <c r="U369" s="13"/>
      <c r="W369" s="13"/>
      <c r="Y369" s="13"/>
      <c r="AQ369" s="14"/>
      <c r="AR369" s="14"/>
      <c r="AS369" s="14"/>
    </row>
    <row r="370" ht="15.75" customHeight="1">
      <c r="B370" s="138"/>
      <c r="N370" s="13"/>
      <c r="Q370" s="13"/>
      <c r="S370" s="13"/>
      <c r="U370" s="13"/>
      <c r="W370" s="13"/>
      <c r="Y370" s="13"/>
      <c r="AQ370" s="14"/>
      <c r="AR370" s="14"/>
      <c r="AS370" s="14"/>
    </row>
    <row r="371" ht="15.75" customHeight="1">
      <c r="B371" s="138"/>
      <c r="N371" s="13"/>
      <c r="Q371" s="13"/>
      <c r="S371" s="13"/>
      <c r="U371" s="13"/>
      <c r="W371" s="13"/>
      <c r="Y371" s="13"/>
      <c r="AQ371" s="14"/>
      <c r="AR371" s="14"/>
      <c r="AS371" s="14"/>
    </row>
    <row r="372" ht="15.75" customHeight="1">
      <c r="B372" s="138"/>
      <c r="N372" s="13"/>
      <c r="Q372" s="13"/>
      <c r="S372" s="13"/>
      <c r="U372" s="13"/>
      <c r="W372" s="13"/>
      <c r="Y372" s="13"/>
      <c r="AQ372" s="14"/>
      <c r="AR372" s="14"/>
      <c r="AS372" s="14"/>
    </row>
    <row r="373" ht="15.75" customHeight="1">
      <c r="B373" s="138"/>
      <c r="N373" s="13"/>
      <c r="Q373" s="13"/>
      <c r="S373" s="13"/>
      <c r="U373" s="13"/>
      <c r="W373" s="13"/>
      <c r="Y373" s="13"/>
      <c r="AQ373" s="14"/>
      <c r="AR373" s="14"/>
      <c r="AS373" s="14"/>
    </row>
    <row r="374" ht="15.75" customHeight="1">
      <c r="B374" s="138"/>
      <c r="N374" s="13"/>
      <c r="Q374" s="13"/>
      <c r="S374" s="13"/>
      <c r="U374" s="13"/>
      <c r="W374" s="13"/>
      <c r="Y374" s="13"/>
      <c r="AQ374" s="14"/>
      <c r="AR374" s="14"/>
      <c r="AS374" s="14"/>
    </row>
    <row r="375" ht="15.75" customHeight="1">
      <c r="B375" s="138"/>
      <c r="N375" s="13"/>
      <c r="Q375" s="13"/>
      <c r="S375" s="13"/>
      <c r="U375" s="13"/>
      <c r="W375" s="13"/>
      <c r="Y375" s="13"/>
      <c r="AQ375" s="14"/>
      <c r="AR375" s="14"/>
      <c r="AS375" s="14"/>
    </row>
    <row r="376" ht="15.75" customHeight="1">
      <c r="B376" s="138"/>
      <c r="N376" s="13"/>
      <c r="Q376" s="13"/>
      <c r="S376" s="13"/>
      <c r="U376" s="13"/>
      <c r="W376" s="13"/>
      <c r="Y376" s="13"/>
      <c r="AQ376" s="14"/>
      <c r="AR376" s="14"/>
      <c r="AS376" s="14"/>
    </row>
    <row r="377" ht="15.75" customHeight="1">
      <c r="B377" s="138"/>
      <c r="N377" s="13"/>
      <c r="Q377" s="13"/>
      <c r="S377" s="13"/>
      <c r="U377" s="13"/>
      <c r="W377" s="13"/>
      <c r="Y377" s="13"/>
      <c r="AQ377" s="14"/>
      <c r="AR377" s="14"/>
      <c r="AS377" s="14"/>
    </row>
    <row r="378" ht="15.75" customHeight="1">
      <c r="B378" s="138"/>
      <c r="N378" s="13"/>
      <c r="Q378" s="13"/>
      <c r="S378" s="13"/>
      <c r="U378" s="13"/>
      <c r="W378" s="13"/>
      <c r="Y378" s="13"/>
      <c r="AQ378" s="14"/>
      <c r="AR378" s="14"/>
      <c r="AS378" s="14"/>
    </row>
    <row r="379" ht="15.75" customHeight="1">
      <c r="B379" s="138"/>
      <c r="N379" s="13"/>
      <c r="Q379" s="13"/>
      <c r="S379" s="13"/>
      <c r="U379" s="13"/>
      <c r="W379" s="13"/>
      <c r="Y379" s="13"/>
      <c r="AQ379" s="14"/>
      <c r="AR379" s="14"/>
      <c r="AS379" s="14"/>
    </row>
    <row r="380" ht="15.75" customHeight="1">
      <c r="B380" s="138"/>
      <c r="N380" s="13"/>
      <c r="Q380" s="13"/>
      <c r="S380" s="13"/>
      <c r="U380" s="13"/>
      <c r="W380" s="13"/>
      <c r="Y380" s="13"/>
      <c r="AQ380" s="14"/>
      <c r="AR380" s="14"/>
      <c r="AS380" s="14"/>
    </row>
    <row r="381" ht="15.75" customHeight="1">
      <c r="B381" s="138"/>
      <c r="N381" s="13"/>
      <c r="Q381" s="13"/>
      <c r="S381" s="13"/>
      <c r="U381" s="13"/>
      <c r="W381" s="13"/>
      <c r="Y381" s="13"/>
      <c r="AQ381" s="14"/>
      <c r="AR381" s="14"/>
      <c r="AS381" s="14"/>
    </row>
    <row r="382" ht="15.75" customHeight="1">
      <c r="B382" s="138"/>
      <c r="N382" s="13"/>
      <c r="Q382" s="13"/>
      <c r="S382" s="13"/>
      <c r="U382" s="13"/>
      <c r="W382" s="13"/>
      <c r="Y382" s="13"/>
      <c r="AQ382" s="14"/>
      <c r="AR382" s="14"/>
      <c r="AS382" s="14"/>
    </row>
    <row r="383" ht="15.75" customHeight="1">
      <c r="B383" s="138"/>
      <c r="N383" s="13"/>
      <c r="Q383" s="13"/>
      <c r="S383" s="13"/>
      <c r="U383" s="13"/>
      <c r="W383" s="13"/>
      <c r="Y383" s="13"/>
      <c r="AQ383" s="14"/>
      <c r="AR383" s="14"/>
      <c r="AS383" s="14"/>
    </row>
    <row r="384" ht="15.75" customHeight="1">
      <c r="B384" s="138"/>
      <c r="N384" s="13"/>
      <c r="Q384" s="13"/>
      <c r="S384" s="13"/>
      <c r="U384" s="13"/>
      <c r="W384" s="13"/>
      <c r="Y384" s="13"/>
      <c r="AQ384" s="14"/>
      <c r="AR384" s="14"/>
      <c r="AS384" s="14"/>
    </row>
    <row r="385" ht="15.75" customHeight="1">
      <c r="B385" s="138"/>
      <c r="N385" s="13"/>
      <c r="Q385" s="13"/>
      <c r="S385" s="13"/>
      <c r="U385" s="13"/>
      <c r="W385" s="13"/>
      <c r="Y385" s="13"/>
      <c r="AQ385" s="14"/>
      <c r="AR385" s="14"/>
      <c r="AS385" s="14"/>
    </row>
    <row r="386" ht="15.75" customHeight="1">
      <c r="B386" s="138"/>
      <c r="N386" s="13"/>
      <c r="Q386" s="13"/>
      <c r="S386" s="13"/>
      <c r="U386" s="13"/>
      <c r="W386" s="13"/>
      <c r="Y386" s="13"/>
      <c r="AQ386" s="14"/>
      <c r="AR386" s="14"/>
      <c r="AS386" s="14"/>
    </row>
    <row r="387" ht="15.75" customHeight="1">
      <c r="B387" s="138"/>
      <c r="N387" s="13"/>
      <c r="Q387" s="13"/>
      <c r="S387" s="13"/>
      <c r="U387" s="13"/>
      <c r="W387" s="13"/>
      <c r="Y387" s="13"/>
      <c r="AQ387" s="14"/>
      <c r="AR387" s="14"/>
      <c r="AS387" s="14"/>
    </row>
    <row r="388" ht="15.75" customHeight="1">
      <c r="B388" s="138"/>
      <c r="N388" s="13"/>
      <c r="Q388" s="13"/>
      <c r="S388" s="13"/>
      <c r="U388" s="13"/>
      <c r="W388" s="13"/>
      <c r="Y388" s="13"/>
      <c r="AQ388" s="14"/>
      <c r="AR388" s="14"/>
      <c r="AS388" s="14"/>
    </row>
    <row r="389" ht="15.75" customHeight="1">
      <c r="B389" s="138"/>
      <c r="N389" s="13"/>
      <c r="Q389" s="13"/>
      <c r="S389" s="13"/>
      <c r="U389" s="13"/>
      <c r="W389" s="13"/>
      <c r="Y389" s="13"/>
      <c r="AQ389" s="14"/>
      <c r="AR389" s="14"/>
      <c r="AS389" s="14"/>
    </row>
    <row r="390" ht="15.75" customHeight="1">
      <c r="B390" s="138"/>
      <c r="N390" s="13"/>
      <c r="Q390" s="13"/>
      <c r="S390" s="13"/>
      <c r="U390" s="13"/>
      <c r="W390" s="13"/>
      <c r="Y390" s="13"/>
      <c r="AQ390" s="14"/>
      <c r="AR390" s="14"/>
      <c r="AS390" s="14"/>
    </row>
    <row r="391" ht="15.75" customHeight="1">
      <c r="B391" s="138"/>
      <c r="N391" s="13"/>
      <c r="Q391" s="13"/>
      <c r="S391" s="13"/>
      <c r="U391" s="13"/>
      <c r="W391" s="13"/>
      <c r="Y391" s="13"/>
      <c r="AQ391" s="14"/>
      <c r="AR391" s="14"/>
      <c r="AS391" s="14"/>
    </row>
    <row r="392" ht="15.75" customHeight="1">
      <c r="B392" s="138"/>
      <c r="N392" s="13"/>
      <c r="Q392" s="13"/>
      <c r="S392" s="13"/>
      <c r="U392" s="13"/>
      <c r="W392" s="13"/>
      <c r="Y392" s="13"/>
      <c r="AQ392" s="14"/>
      <c r="AR392" s="14"/>
      <c r="AS392" s="14"/>
    </row>
    <row r="393" ht="15.75" customHeight="1">
      <c r="B393" s="138"/>
      <c r="N393" s="13"/>
      <c r="Q393" s="13"/>
      <c r="S393" s="13"/>
      <c r="U393" s="13"/>
      <c r="W393" s="13"/>
      <c r="Y393" s="13"/>
      <c r="AQ393" s="14"/>
      <c r="AR393" s="14"/>
      <c r="AS393" s="14"/>
    </row>
    <row r="394" ht="15.75" customHeight="1">
      <c r="B394" s="138"/>
      <c r="N394" s="13"/>
      <c r="Q394" s="13"/>
      <c r="S394" s="13"/>
      <c r="U394" s="13"/>
      <c r="W394" s="13"/>
      <c r="Y394" s="13"/>
      <c r="AQ394" s="14"/>
      <c r="AR394" s="14"/>
      <c r="AS394" s="14"/>
    </row>
    <row r="395" ht="15.75" customHeight="1">
      <c r="B395" s="138"/>
      <c r="N395" s="13"/>
      <c r="Q395" s="13"/>
      <c r="S395" s="13"/>
      <c r="U395" s="13"/>
      <c r="W395" s="13"/>
      <c r="Y395" s="13"/>
      <c r="AQ395" s="14"/>
      <c r="AR395" s="14"/>
      <c r="AS395" s="14"/>
    </row>
    <row r="396" ht="15.75" customHeight="1">
      <c r="B396" s="138"/>
      <c r="N396" s="13"/>
      <c r="Q396" s="13"/>
      <c r="S396" s="13"/>
      <c r="U396" s="13"/>
      <c r="W396" s="13"/>
      <c r="Y396" s="13"/>
      <c r="AQ396" s="14"/>
      <c r="AR396" s="14"/>
      <c r="AS396" s="14"/>
    </row>
    <row r="397" ht="15.75" customHeight="1">
      <c r="B397" s="138"/>
      <c r="N397" s="13"/>
      <c r="Q397" s="13"/>
      <c r="S397" s="13"/>
      <c r="U397" s="13"/>
      <c r="W397" s="13"/>
      <c r="Y397" s="13"/>
      <c r="AQ397" s="14"/>
      <c r="AR397" s="14"/>
      <c r="AS397" s="14"/>
    </row>
    <row r="398" ht="15.75" customHeight="1">
      <c r="B398" s="138"/>
      <c r="N398" s="13"/>
      <c r="Q398" s="13"/>
      <c r="S398" s="13"/>
      <c r="U398" s="13"/>
      <c r="W398" s="13"/>
      <c r="Y398" s="13"/>
      <c r="AQ398" s="14"/>
      <c r="AR398" s="14"/>
      <c r="AS398" s="14"/>
    </row>
    <row r="399" ht="15.75" customHeight="1">
      <c r="B399" s="138"/>
      <c r="N399" s="13"/>
      <c r="Q399" s="13"/>
      <c r="S399" s="13"/>
      <c r="U399" s="13"/>
      <c r="W399" s="13"/>
      <c r="Y399" s="13"/>
      <c r="AQ399" s="14"/>
      <c r="AR399" s="14"/>
      <c r="AS399" s="14"/>
    </row>
    <row r="400" ht="15.75" customHeight="1">
      <c r="B400" s="138"/>
      <c r="N400" s="13"/>
      <c r="Q400" s="13"/>
      <c r="S400" s="13"/>
      <c r="U400" s="13"/>
      <c r="W400" s="13"/>
      <c r="Y400" s="13"/>
      <c r="AQ400" s="14"/>
      <c r="AR400" s="14"/>
      <c r="AS400" s="14"/>
    </row>
    <row r="401" ht="15.75" customHeight="1">
      <c r="B401" s="138"/>
      <c r="N401" s="13"/>
      <c r="Q401" s="13"/>
      <c r="S401" s="13"/>
      <c r="U401" s="13"/>
      <c r="W401" s="13"/>
      <c r="Y401" s="13"/>
      <c r="AQ401" s="14"/>
      <c r="AR401" s="14"/>
      <c r="AS401" s="14"/>
    </row>
    <row r="402" ht="15.75" customHeight="1">
      <c r="B402" s="138"/>
      <c r="N402" s="13"/>
      <c r="Q402" s="13"/>
      <c r="S402" s="13"/>
      <c r="U402" s="13"/>
      <c r="W402" s="13"/>
      <c r="Y402" s="13"/>
      <c r="AQ402" s="14"/>
      <c r="AR402" s="14"/>
      <c r="AS402" s="14"/>
    </row>
    <row r="403" ht="15.75" customHeight="1">
      <c r="B403" s="138"/>
      <c r="N403" s="13"/>
      <c r="Q403" s="13"/>
      <c r="S403" s="13"/>
      <c r="U403" s="13"/>
      <c r="W403" s="13"/>
      <c r="Y403" s="13"/>
      <c r="AQ403" s="14"/>
      <c r="AR403" s="14"/>
      <c r="AS403" s="14"/>
    </row>
    <row r="404" ht="15.75" customHeight="1">
      <c r="B404" s="138"/>
      <c r="N404" s="13"/>
      <c r="Q404" s="13"/>
      <c r="S404" s="13"/>
      <c r="U404" s="13"/>
      <c r="W404" s="13"/>
      <c r="Y404" s="13"/>
      <c r="AQ404" s="14"/>
      <c r="AR404" s="14"/>
      <c r="AS404" s="14"/>
    </row>
    <row r="405" ht="15.75" customHeight="1">
      <c r="B405" s="138"/>
      <c r="N405" s="13"/>
      <c r="Q405" s="13"/>
      <c r="S405" s="13"/>
      <c r="U405" s="13"/>
      <c r="W405" s="13"/>
      <c r="Y405" s="13"/>
      <c r="AQ405" s="14"/>
      <c r="AR405" s="14"/>
      <c r="AS405" s="14"/>
    </row>
    <row r="406" ht="15.75" customHeight="1">
      <c r="B406" s="138"/>
      <c r="N406" s="13"/>
      <c r="Q406" s="13"/>
      <c r="S406" s="13"/>
      <c r="U406" s="13"/>
      <c r="W406" s="13"/>
      <c r="Y406" s="13"/>
      <c r="AQ406" s="14"/>
      <c r="AR406" s="14"/>
      <c r="AS406" s="14"/>
    </row>
    <row r="407" ht="15.75" customHeight="1">
      <c r="B407" s="138"/>
      <c r="N407" s="13"/>
      <c r="Q407" s="13"/>
      <c r="S407" s="13"/>
      <c r="U407" s="13"/>
      <c r="W407" s="13"/>
      <c r="Y407" s="13"/>
      <c r="AQ407" s="14"/>
      <c r="AR407" s="14"/>
      <c r="AS407" s="14"/>
    </row>
    <row r="408" ht="15.75" customHeight="1">
      <c r="B408" s="138"/>
      <c r="N408" s="13"/>
      <c r="Q408" s="13"/>
      <c r="S408" s="13"/>
      <c r="U408" s="13"/>
      <c r="W408" s="13"/>
      <c r="Y408" s="13"/>
      <c r="AQ408" s="14"/>
      <c r="AR408" s="14"/>
      <c r="AS408" s="14"/>
    </row>
    <row r="409" ht="15.75" customHeight="1">
      <c r="B409" s="138"/>
      <c r="N409" s="13"/>
      <c r="Q409" s="13"/>
      <c r="S409" s="13"/>
      <c r="U409" s="13"/>
      <c r="W409" s="13"/>
      <c r="Y409" s="13"/>
      <c r="AQ409" s="14"/>
      <c r="AR409" s="14"/>
      <c r="AS409" s="14"/>
    </row>
    <row r="410" ht="15.75" customHeight="1">
      <c r="B410" s="138"/>
      <c r="N410" s="13"/>
      <c r="Q410" s="13"/>
      <c r="S410" s="13"/>
      <c r="U410" s="13"/>
      <c r="W410" s="13"/>
      <c r="Y410" s="13"/>
      <c r="AQ410" s="14"/>
      <c r="AR410" s="14"/>
      <c r="AS410" s="14"/>
    </row>
    <row r="411" ht="15.75" customHeight="1">
      <c r="B411" s="138"/>
      <c r="N411" s="13"/>
      <c r="Q411" s="13"/>
      <c r="S411" s="13"/>
      <c r="U411" s="13"/>
      <c r="W411" s="13"/>
      <c r="Y411" s="13"/>
      <c r="AQ411" s="14"/>
      <c r="AR411" s="14"/>
      <c r="AS411" s="14"/>
    </row>
    <row r="412" ht="15.75" customHeight="1">
      <c r="B412" s="138"/>
      <c r="N412" s="13"/>
      <c r="Q412" s="13"/>
      <c r="S412" s="13"/>
      <c r="U412" s="13"/>
      <c r="W412" s="13"/>
      <c r="Y412" s="13"/>
      <c r="AQ412" s="14"/>
      <c r="AR412" s="14"/>
      <c r="AS412" s="14"/>
    </row>
    <row r="413" ht="15.75" customHeight="1">
      <c r="B413" s="138"/>
      <c r="N413" s="13"/>
      <c r="Q413" s="13"/>
      <c r="S413" s="13"/>
      <c r="U413" s="13"/>
      <c r="W413" s="13"/>
      <c r="Y413" s="13"/>
      <c r="AQ413" s="14"/>
      <c r="AR413" s="14"/>
      <c r="AS413" s="14"/>
    </row>
    <row r="414" ht="15.75" customHeight="1">
      <c r="B414" s="138"/>
      <c r="N414" s="13"/>
      <c r="Q414" s="13"/>
      <c r="S414" s="13"/>
      <c r="U414" s="13"/>
      <c r="W414" s="13"/>
      <c r="Y414" s="13"/>
      <c r="AQ414" s="14"/>
      <c r="AR414" s="14"/>
      <c r="AS414" s="14"/>
    </row>
    <row r="415" ht="15.75" customHeight="1">
      <c r="B415" s="138"/>
      <c r="N415" s="13"/>
      <c r="Q415" s="13"/>
      <c r="S415" s="13"/>
      <c r="U415" s="13"/>
      <c r="W415" s="13"/>
      <c r="Y415" s="13"/>
      <c r="AQ415" s="14"/>
      <c r="AR415" s="14"/>
      <c r="AS415" s="14"/>
    </row>
    <row r="416" ht="15.75" customHeight="1">
      <c r="B416" s="138"/>
      <c r="N416" s="13"/>
      <c r="Q416" s="13"/>
      <c r="S416" s="13"/>
      <c r="U416" s="13"/>
      <c r="W416" s="13"/>
      <c r="Y416" s="13"/>
      <c r="AQ416" s="14"/>
      <c r="AR416" s="14"/>
      <c r="AS416" s="14"/>
    </row>
    <row r="417" ht="15.75" customHeight="1">
      <c r="B417" s="138"/>
      <c r="N417" s="13"/>
      <c r="Q417" s="13"/>
      <c r="S417" s="13"/>
      <c r="U417" s="13"/>
      <c r="W417" s="13"/>
      <c r="Y417" s="13"/>
      <c r="AQ417" s="14"/>
      <c r="AR417" s="14"/>
      <c r="AS417" s="14"/>
    </row>
    <row r="418" ht="15.75" customHeight="1">
      <c r="B418" s="138"/>
      <c r="N418" s="13"/>
      <c r="Q418" s="13"/>
      <c r="S418" s="13"/>
      <c r="U418" s="13"/>
      <c r="W418" s="13"/>
      <c r="Y418" s="13"/>
      <c r="AQ418" s="14"/>
      <c r="AR418" s="14"/>
      <c r="AS418" s="14"/>
    </row>
    <row r="419" ht="15.75" customHeight="1">
      <c r="B419" s="138"/>
      <c r="N419" s="13"/>
      <c r="Q419" s="13"/>
      <c r="S419" s="13"/>
      <c r="U419" s="13"/>
      <c r="W419" s="13"/>
      <c r="Y419" s="13"/>
      <c r="AQ419" s="14"/>
      <c r="AR419" s="14"/>
      <c r="AS419" s="14"/>
    </row>
    <row r="420" ht="15.75" customHeight="1">
      <c r="B420" s="138"/>
      <c r="N420" s="13"/>
      <c r="Q420" s="13"/>
      <c r="S420" s="13"/>
      <c r="U420" s="13"/>
      <c r="W420" s="13"/>
      <c r="Y420" s="13"/>
      <c r="AQ420" s="14"/>
      <c r="AR420" s="14"/>
      <c r="AS420" s="14"/>
    </row>
    <row r="421" ht="15.75" customHeight="1">
      <c r="B421" s="138"/>
      <c r="N421" s="13"/>
      <c r="Q421" s="13"/>
      <c r="S421" s="13"/>
      <c r="U421" s="13"/>
      <c r="W421" s="13"/>
      <c r="Y421" s="13"/>
      <c r="AQ421" s="14"/>
      <c r="AR421" s="14"/>
      <c r="AS421" s="14"/>
    </row>
    <row r="422" ht="15.75" customHeight="1">
      <c r="B422" s="138"/>
      <c r="N422" s="13"/>
      <c r="Q422" s="13"/>
      <c r="S422" s="13"/>
      <c r="U422" s="13"/>
      <c r="W422" s="13"/>
      <c r="Y422" s="13"/>
      <c r="AQ422" s="14"/>
      <c r="AR422" s="14"/>
      <c r="AS422" s="14"/>
    </row>
    <row r="423" ht="15.75" customHeight="1">
      <c r="B423" s="138"/>
      <c r="N423" s="13"/>
      <c r="Q423" s="13"/>
      <c r="S423" s="13"/>
      <c r="U423" s="13"/>
      <c r="W423" s="13"/>
      <c r="Y423" s="13"/>
      <c r="AQ423" s="14"/>
      <c r="AR423" s="14"/>
      <c r="AS423" s="14"/>
    </row>
    <row r="424" ht="15.75" customHeight="1">
      <c r="B424" s="138"/>
      <c r="N424" s="13"/>
      <c r="Q424" s="13"/>
      <c r="S424" s="13"/>
      <c r="U424" s="13"/>
      <c r="W424" s="13"/>
      <c r="Y424" s="13"/>
      <c r="AQ424" s="14"/>
      <c r="AR424" s="14"/>
      <c r="AS424" s="14"/>
    </row>
    <row r="425" ht="15.75" customHeight="1">
      <c r="B425" s="138"/>
      <c r="N425" s="13"/>
      <c r="Q425" s="13"/>
      <c r="S425" s="13"/>
      <c r="U425" s="13"/>
      <c r="W425" s="13"/>
      <c r="Y425" s="13"/>
      <c r="AQ425" s="14"/>
      <c r="AR425" s="14"/>
      <c r="AS425" s="14"/>
    </row>
    <row r="426" ht="15.75" customHeight="1">
      <c r="B426" s="138"/>
      <c r="N426" s="13"/>
      <c r="Q426" s="13"/>
      <c r="S426" s="13"/>
      <c r="U426" s="13"/>
      <c r="W426" s="13"/>
      <c r="Y426" s="13"/>
      <c r="AQ426" s="14"/>
      <c r="AR426" s="14"/>
      <c r="AS426" s="14"/>
    </row>
    <row r="427" ht="15.75" customHeight="1">
      <c r="B427" s="138"/>
      <c r="N427" s="13"/>
      <c r="Q427" s="13"/>
      <c r="S427" s="13"/>
      <c r="U427" s="13"/>
      <c r="W427" s="13"/>
      <c r="Y427" s="13"/>
      <c r="AQ427" s="14"/>
      <c r="AR427" s="14"/>
      <c r="AS427" s="14"/>
    </row>
    <row r="428" ht="15.75" customHeight="1">
      <c r="B428" s="138"/>
      <c r="N428" s="13"/>
      <c r="Q428" s="13"/>
      <c r="S428" s="13"/>
      <c r="U428" s="13"/>
      <c r="W428" s="13"/>
      <c r="Y428" s="13"/>
      <c r="AQ428" s="14"/>
      <c r="AR428" s="14"/>
      <c r="AS428" s="14"/>
    </row>
    <row r="429" ht="15.75" customHeight="1">
      <c r="B429" s="138"/>
      <c r="N429" s="13"/>
      <c r="Q429" s="13"/>
      <c r="S429" s="13"/>
      <c r="U429" s="13"/>
      <c r="W429" s="13"/>
      <c r="Y429" s="13"/>
      <c r="AQ429" s="14"/>
      <c r="AR429" s="14"/>
      <c r="AS429" s="14"/>
    </row>
    <row r="430" ht="15.75" customHeight="1">
      <c r="B430" s="138"/>
      <c r="N430" s="13"/>
      <c r="Q430" s="13"/>
      <c r="S430" s="13"/>
      <c r="U430" s="13"/>
      <c r="W430" s="13"/>
      <c r="Y430" s="13"/>
      <c r="AQ430" s="14"/>
      <c r="AR430" s="14"/>
      <c r="AS430" s="14"/>
    </row>
    <row r="431" ht="15.75" customHeight="1">
      <c r="B431" s="138"/>
      <c r="N431" s="13"/>
      <c r="Q431" s="13"/>
      <c r="S431" s="13"/>
      <c r="U431" s="13"/>
      <c r="W431" s="13"/>
      <c r="Y431" s="13"/>
      <c r="AQ431" s="14"/>
      <c r="AR431" s="14"/>
      <c r="AS431" s="14"/>
    </row>
    <row r="432" ht="15.75" customHeight="1">
      <c r="B432" s="138"/>
      <c r="N432" s="13"/>
      <c r="Q432" s="13"/>
      <c r="S432" s="13"/>
      <c r="U432" s="13"/>
      <c r="W432" s="13"/>
      <c r="Y432" s="13"/>
      <c r="AQ432" s="14"/>
      <c r="AR432" s="14"/>
      <c r="AS432" s="14"/>
    </row>
    <row r="433" ht="15.75" customHeight="1">
      <c r="B433" s="138"/>
      <c r="N433" s="13"/>
      <c r="Q433" s="13"/>
      <c r="S433" s="13"/>
      <c r="U433" s="13"/>
      <c r="W433" s="13"/>
      <c r="Y433" s="13"/>
      <c r="AQ433" s="14"/>
      <c r="AR433" s="14"/>
      <c r="AS433" s="14"/>
    </row>
    <row r="434" ht="15.75" customHeight="1">
      <c r="B434" s="138"/>
      <c r="N434" s="13"/>
      <c r="Q434" s="13"/>
      <c r="S434" s="13"/>
      <c r="U434" s="13"/>
      <c r="W434" s="13"/>
      <c r="Y434" s="13"/>
      <c r="AQ434" s="14"/>
      <c r="AR434" s="14"/>
      <c r="AS434" s="14"/>
    </row>
    <row r="435" ht="15.75" customHeight="1">
      <c r="B435" s="138"/>
      <c r="N435" s="13"/>
      <c r="Q435" s="13"/>
      <c r="S435" s="13"/>
      <c r="U435" s="13"/>
      <c r="W435" s="13"/>
      <c r="Y435" s="13"/>
      <c r="AQ435" s="14"/>
      <c r="AR435" s="14"/>
      <c r="AS435" s="14"/>
    </row>
    <row r="436" ht="15.75" customHeight="1">
      <c r="B436" s="138"/>
      <c r="N436" s="13"/>
      <c r="Q436" s="13"/>
      <c r="S436" s="13"/>
      <c r="U436" s="13"/>
      <c r="W436" s="13"/>
      <c r="Y436" s="13"/>
      <c r="AQ436" s="14"/>
      <c r="AR436" s="14"/>
      <c r="AS436" s="14"/>
    </row>
    <row r="437" ht="15.75" customHeight="1">
      <c r="B437" s="138"/>
      <c r="N437" s="13"/>
      <c r="Q437" s="13"/>
      <c r="S437" s="13"/>
      <c r="U437" s="13"/>
      <c r="W437" s="13"/>
      <c r="Y437" s="13"/>
      <c r="AQ437" s="14"/>
      <c r="AR437" s="14"/>
      <c r="AS437" s="14"/>
    </row>
    <row r="438" ht="15.75" customHeight="1">
      <c r="B438" s="138"/>
      <c r="N438" s="13"/>
      <c r="Q438" s="13"/>
      <c r="S438" s="13"/>
      <c r="U438" s="13"/>
      <c r="W438" s="13"/>
      <c r="Y438" s="13"/>
      <c r="AQ438" s="14"/>
      <c r="AR438" s="14"/>
      <c r="AS438" s="14"/>
    </row>
    <row r="439" ht="15.75" customHeight="1">
      <c r="B439" s="138"/>
      <c r="N439" s="13"/>
      <c r="Q439" s="13"/>
      <c r="S439" s="13"/>
      <c r="U439" s="13"/>
      <c r="W439" s="13"/>
      <c r="Y439" s="13"/>
      <c r="AQ439" s="14"/>
      <c r="AR439" s="14"/>
      <c r="AS439" s="14"/>
    </row>
    <row r="440" ht="15.75" customHeight="1">
      <c r="B440" s="138"/>
      <c r="N440" s="13"/>
      <c r="Q440" s="13"/>
      <c r="S440" s="13"/>
      <c r="U440" s="13"/>
      <c r="W440" s="13"/>
      <c r="Y440" s="13"/>
      <c r="AQ440" s="14"/>
      <c r="AR440" s="14"/>
      <c r="AS440" s="14"/>
    </row>
    <row r="441" ht="15.75" customHeight="1">
      <c r="B441" s="138"/>
      <c r="N441" s="13"/>
      <c r="Q441" s="13"/>
      <c r="S441" s="13"/>
      <c r="U441" s="13"/>
      <c r="W441" s="13"/>
      <c r="Y441" s="13"/>
      <c r="AQ441" s="14"/>
      <c r="AR441" s="14"/>
      <c r="AS441" s="14"/>
    </row>
    <row r="442" ht="15.75" customHeight="1">
      <c r="B442" s="138"/>
      <c r="N442" s="13"/>
      <c r="Q442" s="13"/>
      <c r="S442" s="13"/>
      <c r="U442" s="13"/>
      <c r="W442" s="13"/>
      <c r="Y442" s="13"/>
      <c r="AQ442" s="14"/>
      <c r="AR442" s="14"/>
      <c r="AS442" s="14"/>
    </row>
    <row r="443" ht="15.75" customHeight="1">
      <c r="B443" s="138"/>
      <c r="N443" s="13"/>
      <c r="Q443" s="13"/>
      <c r="S443" s="13"/>
      <c r="U443" s="13"/>
      <c r="W443" s="13"/>
      <c r="Y443" s="13"/>
      <c r="AQ443" s="14"/>
      <c r="AR443" s="14"/>
      <c r="AS443" s="14"/>
    </row>
    <row r="444" ht="15.75" customHeight="1">
      <c r="B444" s="138"/>
      <c r="N444" s="13"/>
      <c r="Q444" s="13"/>
      <c r="S444" s="13"/>
      <c r="U444" s="13"/>
      <c r="W444" s="13"/>
      <c r="Y444" s="13"/>
      <c r="AQ444" s="14"/>
      <c r="AR444" s="14"/>
      <c r="AS444" s="14"/>
    </row>
    <row r="445" ht="15.75" customHeight="1">
      <c r="B445" s="138"/>
      <c r="N445" s="13"/>
      <c r="Q445" s="13"/>
      <c r="S445" s="13"/>
      <c r="U445" s="13"/>
      <c r="W445" s="13"/>
      <c r="Y445" s="13"/>
      <c r="AQ445" s="14"/>
      <c r="AR445" s="14"/>
      <c r="AS445" s="14"/>
    </row>
    <row r="446" ht="15.75" customHeight="1">
      <c r="B446" s="138"/>
      <c r="N446" s="13"/>
      <c r="Q446" s="13"/>
      <c r="S446" s="13"/>
      <c r="U446" s="13"/>
      <c r="W446" s="13"/>
      <c r="Y446" s="13"/>
      <c r="AQ446" s="14"/>
      <c r="AR446" s="14"/>
      <c r="AS446" s="14"/>
    </row>
    <row r="447" ht="15.75" customHeight="1">
      <c r="B447" s="138"/>
      <c r="N447" s="13"/>
      <c r="Q447" s="13"/>
      <c r="S447" s="13"/>
      <c r="U447" s="13"/>
      <c r="W447" s="13"/>
      <c r="Y447" s="13"/>
      <c r="AQ447" s="14"/>
      <c r="AR447" s="14"/>
      <c r="AS447" s="14"/>
    </row>
    <row r="448" ht="15.75" customHeight="1">
      <c r="B448" s="138"/>
      <c r="N448" s="13"/>
      <c r="Q448" s="13"/>
      <c r="S448" s="13"/>
      <c r="U448" s="13"/>
      <c r="W448" s="13"/>
      <c r="Y448" s="13"/>
      <c r="AQ448" s="14"/>
      <c r="AR448" s="14"/>
      <c r="AS448" s="14"/>
    </row>
    <row r="449" ht="15.75" customHeight="1">
      <c r="B449" s="138"/>
      <c r="N449" s="13"/>
      <c r="Q449" s="13"/>
      <c r="S449" s="13"/>
      <c r="U449" s="13"/>
      <c r="W449" s="13"/>
      <c r="Y449" s="13"/>
      <c r="AQ449" s="14"/>
      <c r="AR449" s="14"/>
      <c r="AS449" s="14"/>
    </row>
    <row r="450" ht="15.75" customHeight="1">
      <c r="B450" s="138"/>
      <c r="N450" s="13"/>
      <c r="Q450" s="13"/>
      <c r="S450" s="13"/>
      <c r="U450" s="13"/>
      <c r="W450" s="13"/>
      <c r="Y450" s="13"/>
      <c r="AQ450" s="14"/>
      <c r="AR450" s="14"/>
      <c r="AS450" s="14"/>
    </row>
    <row r="451" ht="15.75" customHeight="1">
      <c r="B451" s="138"/>
      <c r="N451" s="13"/>
      <c r="Q451" s="13"/>
      <c r="S451" s="13"/>
      <c r="U451" s="13"/>
      <c r="W451" s="13"/>
      <c r="Y451" s="13"/>
      <c r="AQ451" s="14"/>
      <c r="AR451" s="14"/>
      <c r="AS451" s="14"/>
    </row>
    <row r="452" ht="15.75" customHeight="1">
      <c r="B452" s="138"/>
      <c r="N452" s="13"/>
      <c r="Q452" s="13"/>
      <c r="S452" s="13"/>
      <c r="U452" s="13"/>
      <c r="W452" s="13"/>
      <c r="Y452" s="13"/>
      <c r="AQ452" s="14"/>
      <c r="AR452" s="14"/>
      <c r="AS452" s="14"/>
    </row>
    <row r="453" ht="15.75" customHeight="1">
      <c r="B453" s="138"/>
      <c r="N453" s="13"/>
      <c r="Q453" s="13"/>
      <c r="S453" s="13"/>
      <c r="U453" s="13"/>
      <c r="W453" s="13"/>
      <c r="Y453" s="13"/>
      <c r="AQ453" s="14"/>
      <c r="AR453" s="14"/>
      <c r="AS453" s="14"/>
    </row>
    <row r="454" ht="15.75" customHeight="1">
      <c r="B454" s="138"/>
      <c r="N454" s="13"/>
      <c r="Q454" s="13"/>
      <c r="S454" s="13"/>
      <c r="U454" s="13"/>
      <c r="W454" s="13"/>
      <c r="Y454" s="13"/>
      <c r="AQ454" s="14"/>
      <c r="AR454" s="14"/>
      <c r="AS454" s="14"/>
    </row>
    <row r="455" ht="15.75" customHeight="1">
      <c r="B455" s="138"/>
      <c r="N455" s="13"/>
      <c r="Q455" s="13"/>
      <c r="S455" s="13"/>
      <c r="U455" s="13"/>
      <c r="W455" s="13"/>
      <c r="Y455" s="13"/>
      <c r="AQ455" s="14"/>
      <c r="AR455" s="14"/>
      <c r="AS455" s="14"/>
    </row>
    <row r="456" ht="15.75" customHeight="1">
      <c r="B456" s="138"/>
      <c r="N456" s="13"/>
      <c r="Q456" s="13"/>
      <c r="S456" s="13"/>
      <c r="U456" s="13"/>
      <c r="W456" s="13"/>
      <c r="Y456" s="13"/>
      <c r="AQ456" s="14"/>
      <c r="AR456" s="14"/>
      <c r="AS456" s="14"/>
    </row>
    <row r="457" ht="15.75" customHeight="1">
      <c r="B457" s="138"/>
      <c r="N457" s="13"/>
      <c r="Q457" s="13"/>
      <c r="S457" s="13"/>
      <c r="U457" s="13"/>
      <c r="W457" s="13"/>
      <c r="Y457" s="13"/>
      <c r="AQ457" s="14"/>
      <c r="AR457" s="14"/>
      <c r="AS457" s="14"/>
    </row>
    <row r="458" ht="15.75" customHeight="1">
      <c r="B458" s="138"/>
      <c r="N458" s="13"/>
      <c r="Q458" s="13"/>
      <c r="S458" s="13"/>
      <c r="U458" s="13"/>
      <c r="W458" s="13"/>
      <c r="Y458" s="13"/>
      <c r="AQ458" s="14"/>
      <c r="AR458" s="14"/>
      <c r="AS458" s="14"/>
    </row>
    <row r="459" ht="15.75" customHeight="1">
      <c r="B459" s="138"/>
      <c r="N459" s="13"/>
      <c r="Q459" s="13"/>
      <c r="S459" s="13"/>
      <c r="U459" s="13"/>
      <c r="W459" s="13"/>
      <c r="Y459" s="13"/>
      <c r="AQ459" s="14"/>
      <c r="AR459" s="14"/>
      <c r="AS459" s="14"/>
    </row>
    <row r="460" ht="15.75" customHeight="1">
      <c r="B460" s="138"/>
      <c r="N460" s="13"/>
      <c r="Q460" s="13"/>
      <c r="S460" s="13"/>
      <c r="U460" s="13"/>
      <c r="W460" s="13"/>
      <c r="Y460" s="13"/>
      <c r="AQ460" s="14"/>
      <c r="AR460" s="14"/>
      <c r="AS460" s="14"/>
    </row>
    <row r="461" ht="15.75" customHeight="1">
      <c r="B461" s="138"/>
      <c r="N461" s="13"/>
      <c r="Q461" s="13"/>
      <c r="S461" s="13"/>
      <c r="U461" s="13"/>
      <c r="W461" s="13"/>
      <c r="Y461" s="13"/>
      <c r="AQ461" s="14"/>
      <c r="AR461" s="14"/>
      <c r="AS461" s="14"/>
    </row>
    <row r="462" ht="15.75" customHeight="1">
      <c r="B462" s="138"/>
      <c r="N462" s="13"/>
      <c r="Q462" s="13"/>
      <c r="S462" s="13"/>
      <c r="U462" s="13"/>
      <c r="W462" s="13"/>
      <c r="Y462" s="13"/>
      <c r="AQ462" s="14"/>
      <c r="AR462" s="14"/>
      <c r="AS462" s="14"/>
    </row>
    <row r="463" ht="15.75" customHeight="1">
      <c r="B463" s="138"/>
      <c r="N463" s="13"/>
      <c r="Q463" s="13"/>
      <c r="S463" s="13"/>
      <c r="U463" s="13"/>
      <c r="W463" s="13"/>
      <c r="Y463" s="13"/>
      <c r="AQ463" s="14"/>
      <c r="AR463" s="14"/>
      <c r="AS463" s="14"/>
    </row>
    <row r="464" ht="15.75" customHeight="1">
      <c r="B464" s="138"/>
      <c r="N464" s="13"/>
      <c r="Q464" s="13"/>
      <c r="S464" s="13"/>
      <c r="U464" s="13"/>
      <c r="W464" s="13"/>
      <c r="Y464" s="13"/>
      <c r="AQ464" s="14"/>
      <c r="AR464" s="14"/>
      <c r="AS464" s="14"/>
    </row>
    <row r="465" ht="15.75" customHeight="1">
      <c r="B465" s="138"/>
      <c r="N465" s="13"/>
      <c r="Q465" s="13"/>
      <c r="S465" s="13"/>
      <c r="U465" s="13"/>
      <c r="W465" s="13"/>
      <c r="Y465" s="13"/>
      <c r="AQ465" s="14"/>
      <c r="AR465" s="14"/>
      <c r="AS465" s="14"/>
    </row>
    <row r="466" ht="15.75" customHeight="1">
      <c r="B466" s="138"/>
      <c r="N466" s="13"/>
      <c r="Q466" s="13"/>
      <c r="S466" s="13"/>
      <c r="U466" s="13"/>
      <c r="W466" s="13"/>
      <c r="Y466" s="13"/>
      <c r="AQ466" s="14"/>
      <c r="AR466" s="14"/>
      <c r="AS466" s="14"/>
    </row>
    <row r="467" ht="15.75" customHeight="1">
      <c r="B467" s="138"/>
      <c r="N467" s="13"/>
      <c r="Q467" s="13"/>
      <c r="S467" s="13"/>
      <c r="U467" s="13"/>
      <c r="W467" s="13"/>
      <c r="Y467" s="13"/>
      <c r="AQ467" s="14"/>
      <c r="AR467" s="14"/>
      <c r="AS467" s="14"/>
    </row>
    <row r="468" ht="15.75" customHeight="1">
      <c r="B468" s="138"/>
      <c r="N468" s="13"/>
      <c r="Q468" s="13"/>
      <c r="S468" s="13"/>
      <c r="U468" s="13"/>
      <c r="W468" s="13"/>
      <c r="Y468" s="13"/>
      <c r="AQ468" s="14"/>
      <c r="AR468" s="14"/>
      <c r="AS468" s="14"/>
    </row>
    <row r="469" ht="15.75" customHeight="1">
      <c r="B469" s="138"/>
      <c r="N469" s="13"/>
      <c r="Q469" s="13"/>
      <c r="S469" s="13"/>
      <c r="U469" s="13"/>
      <c r="W469" s="13"/>
      <c r="Y469" s="13"/>
      <c r="AQ469" s="14"/>
      <c r="AR469" s="14"/>
      <c r="AS469" s="14"/>
    </row>
    <row r="470" ht="15.75" customHeight="1">
      <c r="B470" s="138"/>
      <c r="N470" s="13"/>
      <c r="Q470" s="13"/>
      <c r="S470" s="13"/>
      <c r="U470" s="13"/>
      <c r="W470" s="13"/>
      <c r="Y470" s="13"/>
      <c r="AQ470" s="14"/>
      <c r="AR470" s="14"/>
      <c r="AS470" s="14"/>
    </row>
    <row r="471" ht="15.75" customHeight="1">
      <c r="B471" s="138"/>
      <c r="N471" s="13"/>
      <c r="Q471" s="13"/>
      <c r="S471" s="13"/>
      <c r="U471" s="13"/>
      <c r="W471" s="13"/>
      <c r="Y471" s="13"/>
      <c r="AQ471" s="14"/>
      <c r="AR471" s="14"/>
      <c r="AS471" s="14"/>
    </row>
    <row r="472" ht="15.75" customHeight="1">
      <c r="B472" s="138"/>
      <c r="N472" s="13"/>
      <c r="Q472" s="13"/>
      <c r="S472" s="13"/>
      <c r="U472" s="13"/>
      <c r="W472" s="13"/>
      <c r="Y472" s="13"/>
      <c r="AQ472" s="14"/>
      <c r="AR472" s="14"/>
      <c r="AS472" s="14"/>
    </row>
    <row r="473" ht="15.75" customHeight="1">
      <c r="B473" s="138"/>
      <c r="N473" s="13"/>
      <c r="Q473" s="13"/>
      <c r="S473" s="13"/>
      <c r="U473" s="13"/>
      <c r="W473" s="13"/>
      <c r="Y473" s="13"/>
      <c r="AQ473" s="14"/>
      <c r="AR473" s="14"/>
      <c r="AS473" s="14"/>
    </row>
    <row r="474" ht="15.75" customHeight="1">
      <c r="B474" s="138"/>
      <c r="N474" s="13"/>
      <c r="Q474" s="13"/>
      <c r="S474" s="13"/>
      <c r="U474" s="13"/>
      <c r="W474" s="13"/>
      <c r="Y474" s="13"/>
      <c r="AQ474" s="14"/>
      <c r="AR474" s="14"/>
      <c r="AS474" s="14"/>
    </row>
    <row r="475" ht="15.75" customHeight="1">
      <c r="B475" s="138"/>
      <c r="N475" s="13"/>
      <c r="Q475" s="13"/>
      <c r="S475" s="13"/>
      <c r="U475" s="13"/>
      <c r="W475" s="13"/>
      <c r="Y475" s="13"/>
      <c r="AQ475" s="14"/>
      <c r="AR475" s="14"/>
      <c r="AS475" s="14"/>
    </row>
    <row r="476" ht="15.75" customHeight="1">
      <c r="B476" s="138"/>
      <c r="N476" s="13"/>
      <c r="Q476" s="13"/>
      <c r="S476" s="13"/>
      <c r="U476" s="13"/>
      <c r="W476" s="13"/>
      <c r="Y476" s="13"/>
      <c r="AQ476" s="14"/>
      <c r="AR476" s="14"/>
      <c r="AS476" s="14"/>
    </row>
    <row r="477" ht="15.75" customHeight="1">
      <c r="B477" s="138"/>
      <c r="N477" s="13"/>
      <c r="Q477" s="13"/>
      <c r="S477" s="13"/>
      <c r="U477" s="13"/>
      <c r="W477" s="13"/>
      <c r="Y477" s="13"/>
      <c r="AQ477" s="14"/>
      <c r="AR477" s="14"/>
      <c r="AS477" s="14"/>
    </row>
    <row r="478" ht="15.75" customHeight="1">
      <c r="B478" s="138"/>
      <c r="N478" s="13"/>
      <c r="Q478" s="13"/>
      <c r="S478" s="13"/>
      <c r="U478" s="13"/>
      <c r="W478" s="13"/>
      <c r="Y478" s="13"/>
      <c r="AQ478" s="14"/>
      <c r="AR478" s="14"/>
      <c r="AS478" s="14"/>
    </row>
    <row r="479" ht="15.75" customHeight="1">
      <c r="B479" s="138"/>
      <c r="N479" s="13"/>
      <c r="Q479" s="13"/>
      <c r="S479" s="13"/>
      <c r="U479" s="13"/>
      <c r="W479" s="13"/>
      <c r="Y479" s="13"/>
      <c r="AQ479" s="14"/>
      <c r="AR479" s="14"/>
      <c r="AS479" s="14"/>
    </row>
    <row r="480" ht="15.75" customHeight="1">
      <c r="B480" s="138"/>
      <c r="N480" s="13"/>
      <c r="Q480" s="13"/>
      <c r="S480" s="13"/>
      <c r="U480" s="13"/>
      <c r="W480" s="13"/>
      <c r="Y480" s="13"/>
      <c r="AQ480" s="14"/>
      <c r="AR480" s="14"/>
      <c r="AS480" s="14"/>
    </row>
    <row r="481" ht="15.75" customHeight="1">
      <c r="B481" s="138"/>
      <c r="N481" s="13"/>
      <c r="Q481" s="13"/>
      <c r="S481" s="13"/>
      <c r="U481" s="13"/>
      <c r="W481" s="13"/>
      <c r="Y481" s="13"/>
      <c r="AQ481" s="14"/>
      <c r="AR481" s="14"/>
      <c r="AS481" s="14"/>
    </row>
    <row r="482" ht="15.75" customHeight="1">
      <c r="B482" s="138"/>
      <c r="N482" s="13"/>
      <c r="Q482" s="13"/>
      <c r="S482" s="13"/>
      <c r="U482" s="13"/>
      <c r="W482" s="13"/>
      <c r="Y482" s="13"/>
      <c r="AQ482" s="14"/>
      <c r="AR482" s="14"/>
      <c r="AS482" s="14"/>
    </row>
    <row r="483" ht="15.75" customHeight="1">
      <c r="B483" s="138"/>
      <c r="N483" s="13"/>
      <c r="Q483" s="13"/>
      <c r="S483" s="13"/>
      <c r="U483" s="13"/>
      <c r="W483" s="13"/>
      <c r="Y483" s="13"/>
      <c r="AQ483" s="14"/>
      <c r="AR483" s="14"/>
      <c r="AS483" s="14"/>
    </row>
    <row r="484" ht="15.75" customHeight="1">
      <c r="B484" s="138"/>
      <c r="N484" s="13"/>
      <c r="Q484" s="13"/>
      <c r="S484" s="13"/>
      <c r="U484" s="13"/>
      <c r="W484" s="13"/>
      <c r="Y484" s="13"/>
      <c r="AQ484" s="14"/>
      <c r="AR484" s="14"/>
      <c r="AS484" s="14"/>
    </row>
    <row r="485" ht="15.75" customHeight="1">
      <c r="B485" s="138"/>
      <c r="N485" s="13"/>
      <c r="Q485" s="13"/>
      <c r="S485" s="13"/>
      <c r="U485" s="13"/>
      <c r="W485" s="13"/>
      <c r="Y485" s="13"/>
      <c r="AQ485" s="14"/>
      <c r="AR485" s="14"/>
      <c r="AS485" s="14"/>
    </row>
    <row r="486" ht="15.75" customHeight="1">
      <c r="B486" s="138"/>
      <c r="N486" s="13"/>
      <c r="Q486" s="13"/>
      <c r="S486" s="13"/>
      <c r="U486" s="13"/>
      <c r="W486" s="13"/>
      <c r="Y486" s="13"/>
      <c r="AQ486" s="14"/>
      <c r="AR486" s="14"/>
      <c r="AS486" s="14"/>
    </row>
    <row r="487" ht="15.75" customHeight="1">
      <c r="B487" s="138"/>
      <c r="N487" s="13"/>
      <c r="Q487" s="13"/>
      <c r="S487" s="13"/>
      <c r="U487" s="13"/>
      <c r="W487" s="13"/>
      <c r="Y487" s="13"/>
      <c r="AQ487" s="14"/>
      <c r="AR487" s="14"/>
      <c r="AS487" s="14"/>
    </row>
    <row r="488" ht="15.75" customHeight="1">
      <c r="B488" s="138"/>
      <c r="N488" s="13"/>
      <c r="Q488" s="13"/>
      <c r="S488" s="13"/>
      <c r="U488" s="13"/>
      <c r="W488" s="13"/>
      <c r="Y488" s="13"/>
      <c r="AQ488" s="14"/>
      <c r="AR488" s="14"/>
      <c r="AS488" s="14"/>
    </row>
    <row r="489" ht="15.75" customHeight="1">
      <c r="B489" s="138"/>
      <c r="N489" s="13"/>
      <c r="Q489" s="13"/>
      <c r="S489" s="13"/>
      <c r="U489" s="13"/>
      <c r="W489" s="13"/>
      <c r="Y489" s="13"/>
      <c r="AQ489" s="14"/>
      <c r="AR489" s="14"/>
      <c r="AS489" s="14"/>
    </row>
    <row r="490" ht="15.75" customHeight="1">
      <c r="B490" s="138"/>
      <c r="N490" s="13"/>
      <c r="Q490" s="13"/>
      <c r="S490" s="13"/>
      <c r="U490" s="13"/>
      <c r="W490" s="13"/>
      <c r="Y490" s="13"/>
      <c r="AQ490" s="14"/>
      <c r="AR490" s="14"/>
      <c r="AS490" s="14"/>
    </row>
    <row r="491" ht="15.75" customHeight="1">
      <c r="B491" s="138"/>
      <c r="N491" s="13"/>
      <c r="Q491" s="13"/>
      <c r="S491" s="13"/>
      <c r="U491" s="13"/>
      <c r="W491" s="13"/>
      <c r="Y491" s="13"/>
      <c r="AQ491" s="14"/>
      <c r="AR491" s="14"/>
      <c r="AS491" s="14"/>
    </row>
    <row r="492" ht="15.75" customHeight="1">
      <c r="B492" s="138"/>
      <c r="N492" s="13"/>
      <c r="Q492" s="13"/>
      <c r="S492" s="13"/>
      <c r="U492" s="13"/>
      <c r="W492" s="13"/>
      <c r="Y492" s="13"/>
      <c r="AQ492" s="14"/>
      <c r="AR492" s="14"/>
      <c r="AS492" s="14"/>
    </row>
    <row r="493" ht="15.75" customHeight="1">
      <c r="B493" s="138"/>
      <c r="N493" s="13"/>
      <c r="Q493" s="13"/>
      <c r="S493" s="13"/>
      <c r="U493" s="13"/>
      <c r="W493" s="13"/>
      <c r="Y493" s="13"/>
      <c r="AQ493" s="14"/>
      <c r="AR493" s="14"/>
      <c r="AS493" s="14"/>
    </row>
    <row r="494" ht="15.75" customHeight="1">
      <c r="B494" s="138"/>
      <c r="N494" s="13"/>
      <c r="Q494" s="13"/>
      <c r="S494" s="13"/>
      <c r="U494" s="13"/>
      <c r="W494" s="13"/>
      <c r="Y494" s="13"/>
      <c r="AQ494" s="14"/>
      <c r="AR494" s="14"/>
      <c r="AS494" s="14"/>
    </row>
    <row r="495" ht="15.75" customHeight="1">
      <c r="B495" s="138"/>
      <c r="N495" s="13"/>
      <c r="Q495" s="13"/>
      <c r="S495" s="13"/>
      <c r="U495" s="13"/>
      <c r="W495" s="13"/>
      <c r="Y495" s="13"/>
      <c r="AQ495" s="14"/>
      <c r="AR495" s="14"/>
      <c r="AS495" s="14"/>
    </row>
    <row r="496" ht="15.75" customHeight="1">
      <c r="B496" s="138"/>
      <c r="N496" s="13"/>
      <c r="Q496" s="13"/>
      <c r="S496" s="13"/>
      <c r="U496" s="13"/>
      <c r="W496" s="13"/>
      <c r="Y496" s="13"/>
      <c r="AQ496" s="14"/>
      <c r="AR496" s="14"/>
      <c r="AS496" s="14"/>
    </row>
    <row r="497" ht="15.75" customHeight="1">
      <c r="B497" s="138"/>
      <c r="N497" s="13"/>
      <c r="Q497" s="13"/>
      <c r="S497" s="13"/>
      <c r="U497" s="13"/>
      <c r="W497" s="13"/>
      <c r="Y497" s="13"/>
      <c r="AQ497" s="14"/>
      <c r="AR497" s="14"/>
      <c r="AS497" s="14"/>
    </row>
    <row r="498" ht="15.75" customHeight="1">
      <c r="B498" s="138"/>
      <c r="N498" s="13"/>
      <c r="Q498" s="13"/>
      <c r="S498" s="13"/>
      <c r="U498" s="13"/>
      <c r="W498" s="13"/>
      <c r="Y498" s="13"/>
      <c r="AQ498" s="14"/>
      <c r="AR498" s="14"/>
      <c r="AS498" s="14"/>
    </row>
    <row r="499" ht="15.75" customHeight="1">
      <c r="B499" s="138"/>
      <c r="N499" s="13"/>
      <c r="Q499" s="13"/>
      <c r="S499" s="13"/>
      <c r="U499" s="13"/>
      <c r="W499" s="13"/>
      <c r="Y499" s="13"/>
      <c r="AQ499" s="14"/>
      <c r="AR499" s="14"/>
      <c r="AS499" s="14"/>
    </row>
    <row r="500" ht="15.75" customHeight="1">
      <c r="B500" s="138"/>
      <c r="N500" s="13"/>
      <c r="Q500" s="13"/>
      <c r="S500" s="13"/>
      <c r="U500" s="13"/>
      <c r="W500" s="13"/>
      <c r="Y500" s="13"/>
      <c r="AQ500" s="14"/>
      <c r="AR500" s="14"/>
      <c r="AS500" s="14"/>
    </row>
    <row r="501" ht="15.75" customHeight="1">
      <c r="B501" s="138"/>
      <c r="N501" s="13"/>
      <c r="Q501" s="13"/>
      <c r="S501" s="13"/>
      <c r="U501" s="13"/>
      <c r="W501" s="13"/>
      <c r="Y501" s="13"/>
      <c r="AQ501" s="14"/>
      <c r="AR501" s="14"/>
      <c r="AS501" s="14"/>
    </row>
    <row r="502" ht="15.75" customHeight="1">
      <c r="B502" s="138"/>
      <c r="N502" s="13"/>
      <c r="Q502" s="13"/>
      <c r="S502" s="13"/>
      <c r="U502" s="13"/>
      <c r="W502" s="13"/>
      <c r="Y502" s="13"/>
      <c r="AQ502" s="14"/>
      <c r="AR502" s="14"/>
      <c r="AS502" s="14"/>
    </row>
    <row r="503" ht="15.75" customHeight="1">
      <c r="B503" s="138"/>
      <c r="N503" s="13"/>
      <c r="Q503" s="13"/>
      <c r="S503" s="13"/>
      <c r="U503" s="13"/>
      <c r="W503" s="13"/>
      <c r="Y503" s="13"/>
      <c r="AQ503" s="14"/>
      <c r="AR503" s="14"/>
      <c r="AS503" s="14"/>
    </row>
    <row r="504" ht="15.75" customHeight="1">
      <c r="B504" s="138"/>
      <c r="N504" s="13"/>
      <c r="Q504" s="13"/>
      <c r="S504" s="13"/>
      <c r="U504" s="13"/>
      <c r="W504" s="13"/>
      <c r="Y504" s="13"/>
      <c r="AQ504" s="14"/>
      <c r="AR504" s="14"/>
      <c r="AS504" s="14"/>
    </row>
    <row r="505" ht="15.75" customHeight="1">
      <c r="B505" s="138"/>
      <c r="N505" s="13"/>
      <c r="Q505" s="13"/>
      <c r="S505" s="13"/>
      <c r="U505" s="13"/>
      <c r="W505" s="13"/>
      <c r="Y505" s="13"/>
      <c r="AQ505" s="14"/>
      <c r="AR505" s="14"/>
      <c r="AS505" s="14"/>
    </row>
    <row r="506" ht="15.75" customHeight="1">
      <c r="B506" s="138"/>
      <c r="N506" s="13"/>
      <c r="Q506" s="13"/>
      <c r="S506" s="13"/>
      <c r="U506" s="13"/>
      <c r="W506" s="13"/>
      <c r="Y506" s="13"/>
      <c r="AQ506" s="14"/>
      <c r="AR506" s="14"/>
      <c r="AS506" s="14"/>
    </row>
    <row r="507" ht="15.75" customHeight="1">
      <c r="B507" s="138"/>
      <c r="N507" s="13"/>
      <c r="Q507" s="13"/>
      <c r="S507" s="13"/>
      <c r="U507" s="13"/>
      <c r="W507" s="13"/>
      <c r="Y507" s="13"/>
      <c r="AQ507" s="14"/>
      <c r="AR507" s="14"/>
      <c r="AS507" s="14"/>
    </row>
    <row r="508" ht="15.75" customHeight="1">
      <c r="B508" s="138"/>
      <c r="N508" s="13"/>
      <c r="Q508" s="13"/>
      <c r="S508" s="13"/>
      <c r="U508" s="13"/>
      <c r="W508" s="13"/>
      <c r="Y508" s="13"/>
      <c r="AQ508" s="14"/>
      <c r="AR508" s="14"/>
      <c r="AS508" s="14"/>
    </row>
    <row r="509" ht="15.75" customHeight="1">
      <c r="B509" s="138"/>
      <c r="N509" s="13"/>
      <c r="Q509" s="13"/>
      <c r="S509" s="13"/>
      <c r="U509" s="13"/>
      <c r="W509" s="13"/>
      <c r="Y509" s="13"/>
      <c r="AQ509" s="14"/>
      <c r="AR509" s="14"/>
      <c r="AS509" s="14"/>
    </row>
    <row r="510" ht="15.75" customHeight="1">
      <c r="B510" s="138"/>
      <c r="N510" s="13"/>
      <c r="Q510" s="13"/>
      <c r="S510" s="13"/>
      <c r="U510" s="13"/>
      <c r="W510" s="13"/>
      <c r="Y510" s="13"/>
      <c r="AQ510" s="14"/>
      <c r="AR510" s="14"/>
      <c r="AS510" s="14"/>
    </row>
    <row r="511" ht="15.75" customHeight="1">
      <c r="B511" s="138"/>
      <c r="N511" s="13"/>
      <c r="Q511" s="13"/>
      <c r="S511" s="13"/>
      <c r="U511" s="13"/>
      <c r="W511" s="13"/>
      <c r="Y511" s="13"/>
      <c r="AQ511" s="14"/>
      <c r="AR511" s="14"/>
      <c r="AS511" s="14"/>
    </row>
    <row r="512" ht="15.75" customHeight="1">
      <c r="B512" s="138"/>
      <c r="N512" s="13"/>
      <c r="Q512" s="13"/>
      <c r="S512" s="13"/>
      <c r="U512" s="13"/>
      <c r="W512" s="13"/>
      <c r="Y512" s="13"/>
      <c r="AQ512" s="14"/>
      <c r="AR512" s="14"/>
      <c r="AS512" s="14"/>
    </row>
    <row r="513" ht="15.75" customHeight="1">
      <c r="B513" s="138"/>
      <c r="N513" s="13"/>
      <c r="Q513" s="13"/>
      <c r="S513" s="13"/>
      <c r="U513" s="13"/>
      <c r="W513" s="13"/>
      <c r="Y513" s="13"/>
      <c r="AQ513" s="14"/>
      <c r="AR513" s="14"/>
      <c r="AS513" s="14"/>
    </row>
    <row r="514" ht="15.75" customHeight="1">
      <c r="B514" s="138"/>
      <c r="N514" s="13"/>
      <c r="Q514" s="13"/>
      <c r="S514" s="13"/>
      <c r="U514" s="13"/>
      <c r="W514" s="13"/>
      <c r="Y514" s="13"/>
      <c r="AQ514" s="14"/>
      <c r="AR514" s="14"/>
      <c r="AS514" s="14"/>
    </row>
    <row r="515" ht="15.75" customHeight="1">
      <c r="B515" s="138"/>
      <c r="N515" s="13"/>
      <c r="Q515" s="13"/>
      <c r="S515" s="13"/>
      <c r="U515" s="13"/>
      <c r="W515" s="13"/>
      <c r="Y515" s="13"/>
      <c r="AQ515" s="14"/>
      <c r="AR515" s="14"/>
      <c r="AS515" s="14"/>
    </row>
    <row r="516" ht="15.75" customHeight="1">
      <c r="B516" s="138"/>
      <c r="N516" s="13"/>
      <c r="Q516" s="13"/>
      <c r="S516" s="13"/>
      <c r="U516" s="13"/>
      <c r="W516" s="13"/>
      <c r="Y516" s="13"/>
      <c r="AQ516" s="14"/>
      <c r="AR516" s="14"/>
      <c r="AS516" s="14"/>
    </row>
    <row r="517" ht="15.75" customHeight="1">
      <c r="B517" s="138"/>
      <c r="N517" s="13"/>
      <c r="Q517" s="13"/>
      <c r="S517" s="13"/>
      <c r="U517" s="13"/>
      <c r="W517" s="13"/>
      <c r="Y517" s="13"/>
      <c r="AQ517" s="14"/>
      <c r="AR517" s="14"/>
      <c r="AS517" s="14"/>
    </row>
    <row r="518" ht="15.75" customHeight="1">
      <c r="B518" s="138"/>
      <c r="N518" s="13"/>
      <c r="Q518" s="13"/>
      <c r="S518" s="13"/>
      <c r="U518" s="13"/>
      <c r="W518" s="13"/>
      <c r="Y518" s="13"/>
      <c r="AQ518" s="14"/>
      <c r="AR518" s="14"/>
      <c r="AS518" s="14"/>
    </row>
    <row r="519" ht="15.75" customHeight="1">
      <c r="B519" s="138"/>
      <c r="N519" s="13"/>
      <c r="Q519" s="13"/>
      <c r="S519" s="13"/>
      <c r="U519" s="13"/>
      <c r="W519" s="13"/>
      <c r="Y519" s="13"/>
      <c r="AQ519" s="14"/>
      <c r="AR519" s="14"/>
      <c r="AS519" s="14"/>
    </row>
    <row r="520" ht="15.75" customHeight="1">
      <c r="B520" s="138"/>
      <c r="N520" s="13"/>
      <c r="Q520" s="13"/>
      <c r="S520" s="13"/>
      <c r="U520" s="13"/>
      <c r="W520" s="13"/>
      <c r="Y520" s="13"/>
      <c r="AQ520" s="14"/>
      <c r="AR520" s="14"/>
      <c r="AS520" s="14"/>
    </row>
    <row r="521" ht="15.75" customHeight="1">
      <c r="B521" s="138"/>
      <c r="N521" s="13"/>
      <c r="Q521" s="13"/>
      <c r="S521" s="13"/>
      <c r="U521" s="13"/>
      <c r="W521" s="13"/>
      <c r="Y521" s="13"/>
      <c r="AQ521" s="14"/>
      <c r="AR521" s="14"/>
      <c r="AS521" s="14"/>
    </row>
    <row r="522" ht="15.75" customHeight="1">
      <c r="B522" s="138"/>
      <c r="N522" s="13"/>
      <c r="Q522" s="13"/>
      <c r="S522" s="13"/>
      <c r="U522" s="13"/>
      <c r="W522" s="13"/>
      <c r="Y522" s="13"/>
      <c r="AQ522" s="14"/>
      <c r="AR522" s="14"/>
      <c r="AS522" s="14"/>
    </row>
    <row r="523" ht="15.75" customHeight="1">
      <c r="B523" s="138"/>
      <c r="N523" s="13"/>
      <c r="Q523" s="13"/>
      <c r="S523" s="13"/>
      <c r="U523" s="13"/>
      <c r="W523" s="13"/>
      <c r="Y523" s="13"/>
      <c r="AQ523" s="14"/>
      <c r="AR523" s="14"/>
      <c r="AS523" s="14"/>
    </row>
    <row r="524" ht="15.75" customHeight="1">
      <c r="B524" s="138"/>
      <c r="N524" s="13"/>
      <c r="Q524" s="13"/>
      <c r="S524" s="13"/>
      <c r="U524" s="13"/>
      <c r="W524" s="13"/>
      <c r="Y524" s="13"/>
      <c r="AQ524" s="14"/>
      <c r="AR524" s="14"/>
      <c r="AS524" s="14"/>
    </row>
    <row r="525" ht="15.75" customHeight="1">
      <c r="B525" s="138"/>
      <c r="N525" s="13"/>
      <c r="Q525" s="13"/>
      <c r="S525" s="13"/>
      <c r="U525" s="13"/>
      <c r="W525" s="13"/>
      <c r="Y525" s="13"/>
      <c r="AQ525" s="14"/>
      <c r="AR525" s="14"/>
      <c r="AS525" s="14"/>
    </row>
    <row r="526" ht="15.75" customHeight="1">
      <c r="B526" s="138"/>
      <c r="N526" s="13"/>
      <c r="Q526" s="13"/>
      <c r="S526" s="13"/>
      <c r="U526" s="13"/>
      <c r="W526" s="13"/>
      <c r="Y526" s="13"/>
      <c r="AQ526" s="14"/>
      <c r="AR526" s="14"/>
      <c r="AS526" s="14"/>
    </row>
    <row r="527" ht="15.75" customHeight="1">
      <c r="B527" s="138"/>
      <c r="N527" s="13"/>
      <c r="Q527" s="13"/>
      <c r="S527" s="13"/>
      <c r="U527" s="13"/>
      <c r="W527" s="13"/>
      <c r="Y527" s="13"/>
      <c r="AQ527" s="14"/>
      <c r="AR527" s="14"/>
      <c r="AS527" s="14"/>
    </row>
    <row r="528" ht="15.75" customHeight="1">
      <c r="B528" s="138"/>
      <c r="N528" s="13"/>
      <c r="Q528" s="13"/>
      <c r="S528" s="13"/>
      <c r="U528" s="13"/>
      <c r="W528" s="13"/>
      <c r="Y528" s="13"/>
      <c r="AQ528" s="14"/>
      <c r="AR528" s="14"/>
      <c r="AS528" s="14"/>
    </row>
    <row r="529" ht="15.75" customHeight="1">
      <c r="B529" s="138"/>
      <c r="N529" s="13"/>
      <c r="Q529" s="13"/>
      <c r="S529" s="13"/>
      <c r="U529" s="13"/>
      <c r="W529" s="13"/>
      <c r="Y529" s="13"/>
      <c r="AQ529" s="14"/>
      <c r="AR529" s="14"/>
      <c r="AS529" s="14"/>
    </row>
    <row r="530" ht="15.75" customHeight="1">
      <c r="B530" s="138"/>
      <c r="N530" s="13"/>
      <c r="Q530" s="13"/>
      <c r="S530" s="13"/>
      <c r="U530" s="13"/>
      <c r="W530" s="13"/>
      <c r="Y530" s="13"/>
      <c r="AQ530" s="14"/>
      <c r="AR530" s="14"/>
      <c r="AS530" s="14"/>
    </row>
    <row r="531" ht="15.75" customHeight="1">
      <c r="B531" s="138"/>
      <c r="N531" s="13"/>
      <c r="Q531" s="13"/>
      <c r="S531" s="13"/>
      <c r="U531" s="13"/>
      <c r="W531" s="13"/>
      <c r="Y531" s="13"/>
      <c r="AQ531" s="14"/>
      <c r="AR531" s="14"/>
      <c r="AS531" s="14"/>
    </row>
    <row r="532" ht="15.75" customHeight="1">
      <c r="B532" s="138"/>
      <c r="N532" s="13"/>
      <c r="Q532" s="13"/>
      <c r="S532" s="13"/>
      <c r="U532" s="13"/>
      <c r="W532" s="13"/>
      <c r="Y532" s="13"/>
      <c r="AQ532" s="14"/>
      <c r="AR532" s="14"/>
      <c r="AS532" s="14"/>
    </row>
    <row r="533" ht="15.75" customHeight="1">
      <c r="B533" s="138"/>
      <c r="N533" s="13"/>
      <c r="Q533" s="13"/>
      <c r="S533" s="13"/>
      <c r="U533" s="13"/>
      <c r="W533" s="13"/>
      <c r="Y533" s="13"/>
      <c r="AQ533" s="14"/>
      <c r="AR533" s="14"/>
      <c r="AS533" s="14"/>
    </row>
    <row r="534" ht="15.75" customHeight="1">
      <c r="B534" s="138"/>
      <c r="N534" s="13"/>
      <c r="Q534" s="13"/>
      <c r="S534" s="13"/>
      <c r="U534" s="13"/>
      <c r="W534" s="13"/>
      <c r="Y534" s="13"/>
      <c r="AQ534" s="14"/>
      <c r="AR534" s="14"/>
      <c r="AS534" s="14"/>
    </row>
    <row r="535" ht="15.75" customHeight="1">
      <c r="B535" s="138"/>
      <c r="N535" s="13"/>
      <c r="Q535" s="13"/>
      <c r="S535" s="13"/>
      <c r="U535" s="13"/>
      <c r="W535" s="13"/>
      <c r="Y535" s="13"/>
      <c r="AQ535" s="14"/>
      <c r="AR535" s="14"/>
      <c r="AS535" s="14"/>
    </row>
    <row r="536" ht="15.75" customHeight="1">
      <c r="B536" s="138"/>
      <c r="N536" s="13"/>
      <c r="Q536" s="13"/>
      <c r="S536" s="13"/>
      <c r="U536" s="13"/>
      <c r="W536" s="13"/>
      <c r="Y536" s="13"/>
      <c r="AQ536" s="14"/>
      <c r="AR536" s="14"/>
      <c r="AS536" s="14"/>
    </row>
    <row r="537" ht="15.75" customHeight="1">
      <c r="B537" s="138"/>
      <c r="N537" s="13"/>
      <c r="Q537" s="13"/>
      <c r="S537" s="13"/>
      <c r="U537" s="13"/>
      <c r="W537" s="13"/>
      <c r="Y537" s="13"/>
      <c r="AQ537" s="14"/>
      <c r="AR537" s="14"/>
      <c r="AS537" s="14"/>
    </row>
    <row r="538" ht="15.75" customHeight="1">
      <c r="B538" s="138"/>
      <c r="N538" s="13"/>
      <c r="Q538" s="13"/>
      <c r="S538" s="13"/>
      <c r="U538" s="13"/>
      <c r="W538" s="13"/>
      <c r="Y538" s="13"/>
      <c r="AQ538" s="14"/>
      <c r="AR538" s="14"/>
      <c r="AS538" s="14"/>
    </row>
    <row r="539" ht="15.75" customHeight="1">
      <c r="B539" s="138"/>
      <c r="N539" s="13"/>
      <c r="Q539" s="13"/>
      <c r="S539" s="13"/>
      <c r="U539" s="13"/>
      <c r="W539" s="13"/>
      <c r="Y539" s="13"/>
      <c r="AQ539" s="14"/>
      <c r="AR539" s="14"/>
      <c r="AS539" s="14"/>
    </row>
    <row r="540" ht="15.75" customHeight="1">
      <c r="B540" s="138"/>
      <c r="N540" s="13"/>
      <c r="Q540" s="13"/>
      <c r="S540" s="13"/>
      <c r="U540" s="13"/>
      <c r="W540" s="13"/>
      <c r="Y540" s="13"/>
      <c r="AQ540" s="14"/>
      <c r="AR540" s="14"/>
      <c r="AS540" s="14"/>
    </row>
    <row r="541" ht="15.75" customHeight="1">
      <c r="B541" s="138"/>
      <c r="N541" s="13"/>
      <c r="Q541" s="13"/>
      <c r="S541" s="13"/>
      <c r="U541" s="13"/>
      <c r="W541" s="13"/>
      <c r="Y541" s="13"/>
      <c r="AQ541" s="14"/>
      <c r="AR541" s="14"/>
      <c r="AS541" s="14"/>
    </row>
    <row r="542" ht="15.75" customHeight="1">
      <c r="B542" s="138"/>
      <c r="N542" s="13"/>
      <c r="Q542" s="13"/>
      <c r="S542" s="13"/>
      <c r="U542" s="13"/>
      <c r="W542" s="13"/>
      <c r="Y542" s="13"/>
      <c r="AQ542" s="14"/>
      <c r="AR542" s="14"/>
      <c r="AS542" s="14"/>
    </row>
    <row r="543" ht="15.75" customHeight="1">
      <c r="B543" s="138"/>
      <c r="N543" s="13"/>
      <c r="Q543" s="13"/>
      <c r="S543" s="13"/>
      <c r="U543" s="13"/>
      <c r="W543" s="13"/>
      <c r="Y543" s="13"/>
      <c r="AQ543" s="14"/>
      <c r="AR543" s="14"/>
      <c r="AS543" s="14"/>
    </row>
    <row r="544" ht="15.75" customHeight="1">
      <c r="B544" s="138"/>
      <c r="N544" s="13"/>
      <c r="Q544" s="13"/>
      <c r="S544" s="13"/>
      <c r="U544" s="13"/>
      <c r="W544" s="13"/>
      <c r="Y544" s="13"/>
      <c r="AQ544" s="14"/>
      <c r="AR544" s="14"/>
      <c r="AS544" s="14"/>
    </row>
    <row r="545" ht="15.75" customHeight="1">
      <c r="B545" s="138"/>
      <c r="N545" s="13"/>
      <c r="Q545" s="13"/>
      <c r="S545" s="13"/>
      <c r="U545" s="13"/>
      <c r="W545" s="13"/>
      <c r="Y545" s="13"/>
      <c r="AQ545" s="14"/>
      <c r="AR545" s="14"/>
      <c r="AS545" s="14"/>
    </row>
    <row r="546" ht="15.75" customHeight="1">
      <c r="B546" s="138"/>
      <c r="N546" s="13"/>
      <c r="Q546" s="13"/>
      <c r="S546" s="13"/>
      <c r="U546" s="13"/>
      <c r="W546" s="13"/>
      <c r="Y546" s="13"/>
      <c r="AQ546" s="14"/>
      <c r="AR546" s="14"/>
      <c r="AS546" s="14"/>
    </row>
    <row r="547" ht="15.75" customHeight="1">
      <c r="B547" s="138"/>
      <c r="N547" s="13"/>
      <c r="Q547" s="13"/>
      <c r="S547" s="13"/>
      <c r="U547" s="13"/>
      <c r="W547" s="13"/>
      <c r="Y547" s="13"/>
      <c r="AQ547" s="14"/>
      <c r="AR547" s="14"/>
      <c r="AS547" s="14"/>
    </row>
    <row r="548" ht="15.75" customHeight="1">
      <c r="B548" s="138"/>
      <c r="N548" s="13"/>
      <c r="Q548" s="13"/>
      <c r="S548" s="13"/>
      <c r="U548" s="13"/>
      <c r="W548" s="13"/>
      <c r="Y548" s="13"/>
      <c r="AQ548" s="14"/>
      <c r="AR548" s="14"/>
      <c r="AS548" s="14"/>
    </row>
    <row r="549" ht="15.75" customHeight="1">
      <c r="B549" s="138"/>
      <c r="N549" s="13"/>
      <c r="Q549" s="13"/>
      <c r="S549" s="13"/>
      <c r="U549" s="13"/>
      <c r="W549" s="13"/>
      <c r="Y549" s="13"/>
      <c r="AQ549" s="14"/>
      <c r="AR549" s="14"/>
      <c r="AS549" s="14"/>
    </row>
    <row r="550" ht="15.75" customHeight="1">
      <c r="B550" s="138"/>
      <c r="N550" s="13"/>
      <c r="Q550" s="13"/>
      <c r="S550" s="13"/>
      <c r="U550" s="13"/>
      <c r="W550" s="13"/>
      <c r="Y550" s="13"/>
      <c r="AQ550" s="14"/>
      <c r="AR550" s="14"/>
      <c r="AS550" s="14"/>
    </row>
    <row r="551" ht="15.75" customHeight="1">
      <c r="B551" s="138"/>
      <c r="N551" s="13"/>
      <c r="Q551" s="13"/>
      <c r="S551" s="13"/>
      <c r="U551" s="13"/>
      <c r="W551" s="13"/>
      <c r="Y551" s="13"/>
      <c r="AQ551" s="14"/>
      <c r="AR551" s="14"/>
      <c r="AS551" s="14"/>
    </row>
    <row r="552" ht="15.75" customHeight="1">
      <c r="B552" s="138"/>
      <c r="N552" s="13"/>
      <c r="Q552" s="13"/>
      <c r="S552" s="13"/>
      <c r="U552" s="13"/>
      <c r="W552" s="13"/>
      <c r="Y552" s="13"/>
      <c r="AQ552" s="14"/>
      <c r="AR552" s="14"/>
      <c r="AS552" s="14"/>
    </row>
    <row r="553" ht="15.75" customHeight="1">
      <c r="B553" s="138"/>
      <c r="N553" s="13"/>
      <c r="Q553" s="13"/>
      <c r="S553" s="13"/>
      <c r="U553" s="13"/>
      <c r="W553" s="13"/>
      <c r="Y553" s="13"/>
      <c r="AQ553" s="14"/>
      <c r="AR553" s="14"/>
      <c r="AS553" s="14"/>
    </row>
    <row r="554" ht="15.75" customHeight="1">
      <c r="B554" s="138"/>
      <c r="N554" s="13"/>
      <c r="Q554" s="13"/>
      <c r="S554" s="13"/>
      <c r="U554" s="13"/>
      <c r="W554" s="13"/>
      <c r="Y554" s="13"/>
      <c r="AQ554" s="14"/>
      <c r="AR554" s="14"/>
      <c r="AS554" s="14"/>
    </row>
    <row r="555" ht="15.75" customHeight="1">
      <c r="B555" s="138"/>
      <c r="N555" s="13"/>
      <c r="Q555" s="13"/>
      <c r="S555" s="13"/>
      <c r="U555" s="13"/>
      <c r="W555" s="13"/>
      <c r="Y555" s="13"/>
      <c r="AQ555" s="14"/>
      <c r="AR555" s="14"/>
      <c r="AS555" s="14"/>
    </row>
    <row r="556" ht="15.75" customHeight="1">
      <c r="B556" s="138"/>
      <c r="N556" s="13"/>
      <c r="Q556" s="13"/>
      <c r="S556" s="13"/>
      <c r="U556" s="13"/>
      <c r="W556" s="13"/>
      <c r="Y556" s="13"/>
      <c r="AQ556" s="14"/>
      <c r="AR556" s="14"/>
      <c r="AS556" s="14"/>
    </row>
    <row r="557" ht="15.75" customHeight="1">
      <c r="B557" s="138"/>
      <c r="N557" s="13"/>
      <c r="Q557" s="13"/>
      <c r="S557" s="13"/>
      <c r="U557" s="13"/>
      <c r="W557" s="13"/>
      <c r="Y557" s="13"/>
      <c r="AQ557" s="14"/>
      <c r="AR557" s="14"/>
      <c r="AS557" s="14"/>
    </row>
    <row r="558" ht="15.75" customHeight="1">
      <c r="B558" s="138"/>
      <c r="N558" s="13"/>
      <c r="Q558" s="13"/>
      <c r="S558" s="13"/>
      <c r="U558" s="13"/>
      <c r="W558" s="13"/>
      <c r="Y558" s="13"/>
      <c r="AQ558" s="14"/>
      <c r="AR558" s="14"/>
      <c r="AS558" s="14"/>
    </row>
    <row r="559" ht="15.75" customHeight="1">
      <c r="B559" s="138"/>
      <c r="N559" s="13"/>
      <c r="Q559" s="13"/>
      <c r="S559" s="13"/>
      <c r="U559" s="13"/>
      <c r="W559" s="13"/>
      <c r="Y559" s="13"/>
      <c r="AQ559" s="14"/>
      <c r="AR559" s="14"/>
      <c r="AS559" s="14"/>
    </row>
    <row r="560" ht="15.75" customHeight="1">
      <c r="B560" s="138"/>
      <c r="N560" s="13"/>
      <c r="Q560" s="13"/>
      <c r="S560" s="13"/>
      <c r="U560" s="13"/>
      <c r="W560" s="13"/>
      <c r="Y560" s="13"/>
      <c r="AQ560" s="14"/>
      <c r="AR560" s="14"/>
      <c r="AS560" s="14"/>
    </row>
    <row r="561" ht="15.75" customHeight="1">
      <c r="B561" s="138"/>
      <c r="N561" s="13"/>
      <c r="Q561" s="13"/>
      <c r="S561" s="13"/>
      <c r="U561" s="13"/>
      <c r="W561" s="13"/>
      <c r="Y561" s="13"/>
      <c r="AQ561" s="14"/>
      <c r="AR561" s="14"/>
      <c r="AS561" s="14"/>
    </row>
    <row r="562" ht="15.75" customHeight="1">
      <c r="B562" s="138"/>
      <c r="N562" s="13"/>
      <c r="Q562" s="13"/>
      <c r="S562" s="13"/>
      <c r="U562" s="13"/>
      <c r="W562" s="13"/>
      <c r="Y562" s="13"/>
      <c r="AQ562" s="14"/>
      <c r="AR562" s="14"/>
      <c r="AS562" s="14"/>
    </row>
    <row r="563" ht="15.75" customHeight="1">
      <c r="B563" s="138"/>
      <c r="N563" s="13"/>
      <c r="Q563" s="13"/>
      <c r="S563" s="13"/>
      <c r="U563" s="13"/>
      <c r="W563" s="13"/>
      <c r="Y563" s="13"/>
      <c r="AQ563" s="14"/>
      <c r="AR563" s="14"/>
      <c r="AS563" s="14"/>
    </row>
    <row r="564" ht="15.75" customHeight="1">
      <c r="B564" s="138"/>
      <c r="N564" s="13"/>
      <c r="Q564" s="13"/>
      <c r="S564" s="13"/>
      <c r="U564" s="13"/>
      <c r="W564" s="13"/>
      <c r="Y564" s="13"/>
      <c r="AQ564" s="14"/>
      <c r="AR564" s="14"/>
      <c r="AS564" s="14"/>
    </row>
    <row r="565" ht="15.75" customHeight="1">
      <c r="B565" s="138"/>
      <c r="N565" s="13"/>
      <c r="Q565" s="13"/>
      <c r="S565" s="13"/>
      <c r="U565" s="13"/>
      <c r="W565" s="13"/>
      <c r="Y565" s="13"/>
      <c r="AQ565" s="14"/>
      <c r="AR565" s="14"/>
      <c r="AS565" s="14"/>
    </row>
    <row r="566" ht="15.75" customHeight="1">
      <c r="B566" s="138"/>
      <c r="N566" s="13"/>
      <c r="Q566" s="13"/>
      <c r="S566" s="13"/>
      <c r="U566" s="13"/>
      <c r="W566" s="13"/>
      <c r="Y566" s="13"/>
      <c r="AQ566" s="14"/>
      <c r="AR566" s="14"/>
      <c r="AS566" s="14"/>
    </row>
    <row r="567" ht="15.75" customHeight="1">
      <c r="B567" s="138"/>
      <c r="N567" s="13"/>
      <c r="Q567" s="13"/>
      <c r="S567" s="13"/>
      <c r="U567" s="13"/>
      <c r="W567" s="13"/>
      <c r="Y567" s="13"/>
      <c r="AQ567" s="14"/>
      <c r="AR567" s="14"/>
      <c r="AS567" s="14"/>
    </row>
    <row r="568" ht="15.75" customHeight="1">
      <c r="B568" s="138"/>
      <c r="N568" s="13"/>
      <c r="Q568" s="13"/>
      <c r="S568" s="13"/>
      <c r="U568" s="13"/>
      <c r="W568" s="13"/>
      <c r="Y568" s="13"/>
      <c r="AQ568" s="14"/>
      <c r="AR568" s="14"/>
      <c r="AS568" s="14"/>
    </row>
    <row r="569" ht="15.75" customHeight="1">
      <c r="B569" s="138"/>
      <c r="N569" s="13"/>
      <c r="Q569" s="13"/>
      <c r="S569" s="13"/>
      <c r="U569" s="13"/>
      <c r="W569" s="13"/>
      <c r="Y569" s="13"/>
      <c r="AQ569" s="14"/>
      <c r="AR569" s="14"/>
      <c r="AS569" s="14"/>
    </row>
    <row r="570" ht="15.75" customHeight="1">
      <c r="B570" s="138"/>
      <c r="N570" s="13"/>
      <c r="Q570" s="13"/>
      <c r="S570" s="13"/>
      <c r="U570" s="13"/>
      <c r="W570" s="13"/>
      <c r="Y570" s="13"/>
      <c r="AQ570" s="14"/>
      <c r="AR570" s="14"/>
      <c r="AS570" s="14"/>
    </row>
    <row r="571" ht="15.75" customHeight="1">
      <c r="B571" s="138"/>
      <c r="N571" s="13"/>
      <c r="Q571" s="13"/>
      <c r="S571" s="13"/>
      <c r="U571" s="13"/>
      <c r="W571" s="13"/>
      <c r="Y571" s="13"/>
      <c r="AQ571" s="14"/>
      <c r="AR571" s="14"/>
      <c r="AS571" s="14"/>
    </row>
    <row r="572" ht="15.75" customHeight="1">
      <c r="B572" s="138"/>
      <c r="N572" s="13"/>
      <c r="Q572" s="13"/>
      <c r="S572" s="13"/>
      <c r="U572" s="13"/>
      <c r="W572" s="13"/>
      <c r="Y572" s="13"/>
      <c r="AQ572" s="14"/>
      <c r="AR572" s="14"/>
      <c r="AS572" s="14"/>
    </row>
    <row r="573" ht="15.75" customHeight="1">
      <c r="B573" s="138"/>
      <c r="N573" s="13"/>
      <c r="Q573" s="13"/>
      <c r="S573" s="13"/>
      <c r="U573" s="13"/>
      <c r="W573" s="13"/>
      <c r="Y573" s="13"/>
      <c r="AQ573" s="14"/>
      <c r="AR573" s="14"/>
      <c r="AS573" s="14"/>
    </row>
    <row r="574" ht="15.75" customHeight="1">
      <c r="B574" s="138"/>
      <c r="N574" s="13"/>
      <c r="Q574" s="13"/>
      <c r="S574" s="13"/>
      <c r="U574" s="13"/>
      <c r="W574" s="13"/>
      <c r="Y574" s="13"/>
      <c r="AQ574" s="14"/>
      <c r="AR574" s="14"/>
      <c r="AS574" s="14"/>
    </row>
    <row r="575" ht="15.75" customHeight="1">
      <c r="B575" s="138"/>
      <c r="N575" s="13"/>
      <c r="Q575" s="13"/>
      <c r="S575" s="13"/>
      <c r="U575" s="13"/>
      <c r="W575" s="13"/>
      <c r="Y575" s="13"/>
      <c r="AQ575" s="14"/>
      <c r="AR575" s="14"/>
      <c r="AS575" s="14"/>
    </row>
    <row r="576" ht="15.75" customHeight="1">
      <c r="B576" s="138"/>
      <c r="N576" s="13"/>
      <c r="Q576" s="13"/>
      <c r="S576" s="13"/>
      <c r="U576" s="13"/>
      <c r="W576" s="13"/>
      <c r="Y576" s="13"/>
      <c r="AQ576" s="14"/>
      <c r="AR576" s="14"/>
      <c r="AS576" s="14"/>
    </row>
    <row r="577" ht="15.75" customHeight="1">
      <c r="B577" s="138"/>
      <c r="N577" s="13"/>
      <c r="Q577" s="13"/>
      <c r="S577" s="13"/>
      <c r="U577" s="13"/>
      <c r="W577" s="13"/>
      <c r="Y577" s="13"/>
      <c r="AQ577" s="14"/>
      <c r="AR577" s="14"/>
      <c r="AS577" s="14"/>
    </row>
    <row r="578" ht="15.75" customHeight="1">
      <c r="B578" s="138"/>
      <c r="N578" s="13"/>
      <c r="Q578" s="13"/>
      <c r="S578" s="13"/>
      <c r="U578" s="13"/>
      <c r="W578" s="13"/>
      <c r="Y578" s="13"/>
      <c r="AQ578" s="14"/>
      <c r="AR578" s="14"/>
      <c r="AS578" s="14"/>
    </row>
    <row r="579" ht="15.75" customHeight="1">
      <c r="B579" s="138"/>
      <c r="N579" s="13"/>
      <c r="Q579" s="13"/>
      <c r="S579" s="13"/>
      <c r="U579" s="13"/>
      <c r="W579" s="13"/>
      <c r="Y579" s="13"/>
      <c r="AQ579" s="14"/>
      <c r="AR579" s="14"/>
      <c r="AS579" s="14"/>
    </row>
    <row r="580" ht="15.75" customHeight="1">
      <c r="B580" s="138"/>
      <c r="N580" s="13"/>
      <c r="Q580" s="13"/>
      <c r="S580" s="13"/>
      <c r="U580" s="13"/>
      <c r="W580" s="13"/>
      <c r="Y580" s="13"/>
      <c r="AQ580" s="14"/>
      <c r="AR580" s="14"/>
      <c r="AS580" s="14"/>
    </row>
    <row r="581" ht="15.75" customHeight="1">
      <c r="B581" s="138"/>
      <c r="N581" s="13"/>
      <c r="Q581" s="13"/>
      <c r="S581" s="13"/>
      <c r="U581" s="13"/>
      <c r="W581" s="13"/>
      <c r="Y581" s="13"/>
      <c r="AQ581" s="14"/>
      <c r="AR581" s="14"/>
      <c r="AS581" s="14"/>
    </row>
    <row r="582" ht="15.75" customHeight="1">
      <c r="B582" s="138"/>
      <c r="N582" s="13"/>
      <c r="Q582" s="13"/>
      <c r="S582" s="13"/>
      <c r="U582" s="13"/>
      <c r="W582" s="13"/>
      <c r="Y582" s="13"/>
      <c r="AQ582" s="14"/>
      <c r="AR582" s="14"/>
      <c r="AS582" s="14"/>
    </row>
    <row r="583" ht="15.75" customHeight="1">
      <c r="B583" s="138"/>
      <c r="N583" s="13"/>
      <c r="Q583" s="13"/>
      <c r="S583" s="13"/>
      <c r="U583" s="13"/>
      <c r="W583" s="13"/>
      <c r="Y583" s="13"/>
      <c r="AQ583" s="14"/>
      <c r="AR583" s="14"/>
      <c r="AS583" s="14"/>
    </row>
    <row r="584" ht="15.75" customHeight="1">
      <c r="B584" s="138"/>
      <c r="N584" s="13"/>
      <c r="Q584" s="13"/>
      <c r="S584" s="13"/>
      <c r="U584" s="13"/>
      <c r="W584" s="13"/>
      <c r="Y584" s="13"/>
      <c r="AQ584" s="14"/>
      <c r="AR584" s="14"/>
      <c r="AS584" s="14"/>
    </row>
    <row r="585" ht="15.75" customHeight="1">
      <c r="B585" s="138"/>
      <c r="N585" s="13"/>
      <c r="Q585" s="13"/>
      <c r="S585" s="13"/>
      <c r="U585" s="13"/>
      <c r="W585" s="13"/>
      <c r="Y585" s="13"/>
      <c r="AQ585" s="14"/>
      <c r="AR585" s="14"/>
      <c r="AS585" s="14"/>
    </row>
    <row r="586" ht="15.75" customHeight="1">
      <c r="B586" s="138"/>
      <c r="N586" s="13"/>
      <c r="Q586" s="13"/>
      <c r="S586" s="13"/>
      <c r="U586" s="13"/>
      <c r="W586" s="13"/>
      <c r="Y586" s="13"/>
      <c r="AQ586" s="14"/>
      <c r="AR586" s="14"/>
      <c r="AS586" s="14"/>
    </row>
    <row r="587" ht="15.75" customHeight="1">
      <c r="B587" s="138"/>
      <c r="N587" s="13"/>
      <c r="Q587" s="13"/>
      <c r="S587" s="13"/>
      <c r="U587" s="13"/>
      <c r="W587" s="13"/>
      <c r="Y587" s="13"/>
      <c r="AQ587" s="14"/>
      <c r="AR587" s="14"/>
      <c r="AS587" s="14"/>
    </row>
    <row r="588" ht="15.75" customHeight="1">
      <c r="B588" s="138"/>
      <c r="N588" s="13"/>
      <c r="Q588" s="13"/>
      <c r="S588" s="13"/>
      <c r="U588" s="13"/>
      <c r="W588" s="13"/>
      <c r="Y588" s="13"/>
      <c r="AQ588" s="14"/>
      <c r="AR588" s="14"/>
      <c r="AS588" s="14"/>
    </row>
    <row r="589" ht="15.75" customHeight="1">
      <c r="B589" s="138"/>
      <c r="N589" s="13"/>
      <c r="Q589" s="13"/>
      <c r="S589" s="13"/>
      <c r="U589" s="13"/>
      <c r="W589" s="13"/>
      <c r="Y589" s="13"/>
      <c r="AQ589" s="14"/>
      <c r="AR589" s="14"/>
      <c r="AS589" s="14"/>
    </row>
    <row r="590" ht="15.75" customHeight="1">
      <c r="B590" s="138"/>
      <c r="N590" s="13"/>
      <c r="Q590" s="13"/>
      <c r="S590" s="13"/>
      <c r="U590" s="13"/>
      <c r="W590" s="13"/>
      <c r="Y590" s="13"/>
      <c r="AQ590" s="14"/>
      <c r="AR590" s="14"/>
      <c r="AS590" s="14"/>
    </row>
    <row r="591" ht="15.75" customHeight="1">
      <c r="B591" s="138"/>
      <c r="N591" s="13"/>
      <c r="Q591" s="13"/>
      <c r="S591" s="13"/>
      <c r="U591" s="13"/>
      <c r="W591" s="13"/>
      <c r="Y591" s="13"/>
      <c r="AQ591" s="14"/>
      <c r="AR591" s="14"/>
      <c r="AS591" s="14"/>
    </row>
    <row r="592" ht="15.75" customHeight="1">
      <c r="B592" s="138"/>
      <c r="N592" s="13"/>
      <c r="Q592" s="13"/>
      <c r="S592" s="13"/>
      <c r="U592" s="13"/>
      <c r="W592" s="13"/>
      <c r="Y592" s="13"/>
      <c r="AQ592" s="14"/>
      <c r="AR592" s="14"/>
      <c r="AS592" s="14"/>
    </row>
    <row r="593" ht="15.75" customHeight="1">
      <c r="B593" s="138"/>
      <c r="N593" s="13"/>
      <c r="Q593" s="13"/>
      <c r="S593" s="13"/>
      <c r="U593" s="13"/>
      <c r="W593" s="13"/>
      <c r="Y593" s="13"/>
      <c r="AQ593" s="14"/>
      <c r="AR593" s="14"/>
      <c r="AS593" s="14"/>
    </row>
    <row r="594" ht="15.75" customHeight="1">
      <c r="B594" s="138"/>
      <c r="N594" s="13"/>
      <c r="Q594" s="13"/>
      <c r="S594" s="13"/>
      <c r="U594" s="13"/>
      <c r="W594" s="13"/>
      <c r="Y594" s="13"/>
      <c r="AQ594" s="14"/>
      <c r="AR594" s="14"/>
      <c r="AS594" s="14"/>
    </row>
    <row r="595" ht="15.75" customHeight="1">
      <c r="B595" s="138"/>
      <c r="N595" s="13"/>
      <c r="Q595" s="13"/>
      <c r="S595" s="13"/>
      <c r="U595" s="13"/>
      <c r="W595" s="13"/>
      <c r="Y595" s="13"/>
      <c r="AQ595" s="14"/>
      <c r="AR595" s="14"/>
      <c r="AS595" s="14"/>
    </row>
    <row r="596" ht="15.75" customHeight="1">
      <c r="B596" s="138"/>
      <c r="N596" s="13"/>
      <c r="Q596" s="13"/>
      <c r="S596" s="13"/>
      <c r="U596" s="13"/>
      <c r="W596" s="13"/>
      <c r="Y596" s="13"/>
      <c r="AQ596" s="14"/>
      <c r="AR596" s="14"/>
      <c r="AS596" s="14"/>
    </row>
    <row r="597" ht="15.75" customHeight="1">
      <c r="B597" s="138"/>
      <c r="N597" s="13"/>
      <c r="Q597" s="13"/>
      <c r="S597" s="13"/>
      <c r="U597" s="13"/>
      <c r="W597" s="13"/>
      <c r="Y597" s="13"/>
      <c r="AQ597" s="14"/>
      <c r="AR597" s="14"/>
      <c r="AS597" s="14"/>
    </row>
    <row r="598" ht="15.75" customHeight="1">
      <c r="B598" s="138"/>
      <c r="N598" s="13"/>
      <c r="Q598" s="13"/>
      <c r="S598" s="13"/>
      <c r="U598" s="13"/>
      <c r="W598" s="13"/>
      <c r="Y598" s="13"/>
      <c r="AQ598" s="14"/>
      <c r="AR598" s="14"/>
      <c r="AS598" s="14"/>
    </row>
    <row r="599" ht="15.75" customHeight="1">
      <c r="B599" s="138"/>
      <c r="N599" s="13"/>
      <c r="Q599" s="13"/>
      <c r="S599" s="13"/>
      <c r="U599" s="13"/>
      <c r="W599" s="13"/>
      <c r="Y599" s="13"/>
      <c r="AQ599" s="14"/>
      <c r="AR599" s="14"/>
      <c r="AS599" s="14"/>
    </row>
    <row r="600" ht="15.75" customHeight="1">
      <c r="B600" s="138"/>
      <c r="N600" s="13"/>
      <c r="Q600" s="13"/>
      <c r="S600" s="13"/>
      <c r="U600" s="13"/>
      <c r="W600" s="13"/>
      <c r="Y600" s="13"/>
      <c r="AQ600" s="14"/>
      <c r="AR600" s="14"/>
      <c r="AS600" s="14"/>
    </row>
    <row r="601" ht="15.75" customHeight="1">
      <c r="B601" s="138"/>
      <c r="N601" s="13"/>
      <c r="Q601" s="13"/>
      <c r="S601" s="13"/>
      <c r="U601" s="13"/>
      <c r="W601" s="13"/>
      <c r="Y601" s="13"/>
      <c r="AQ601" s="14"/>
      <c r="AR601" s="14"/>
      <c r="AS601" s="14"/>
    </row>
    <row r="602" ht="15.75" customHeight="1">
      <c r="B602" s="138"/>
      <c r="N602" s="13"/>
      <c r="Q602" s="13"/>
      <c r="S602" s="13"/>
      <c r="U602" s="13"/>
      <c r="W602" s="13"/>
      <c r="Y602" s="13"/>
      <c r="AQ602" s="14"/>
      <c r="AR602" s="14"/>
      <c r="AS602" s="14"/>
    </row>
    <row r="603" ht="15.75" customHeight="1">
      <c r="B603" s="138"/>
      <c r="N603" s="13"/>
      <c r="Q603" s="13"/>
      <c r="S603" s="13"/>
      <c r="U603" s="13"/>
      <c r="W603" s="13"/>
      <c r="Y603" s="13"/>
      <c r="AQ603" s="14"/>
      <c r="AR603" s="14"/>
      <c r="AS603" s="14"/>
    </row>
    <row r="604" ht="15.75" customHeight="1">
      <c r="B604" s="138"/>
      <c r="N604" s="13"/>
      <c r="Q604" s="13"/>
      <c r="S604" s="13"/>
      <c r="U604" s="13"/>
      <c r="W604" s="13"/>
      <c r="Y604" s="13"/>
      <c r="AQ604" s="14"/>
      <c r="AR604" s="14"/>
      <c r="AS604" s="14"/>
    </row>
    <row r="605" ht="15.75" customHeight="1">
      <c r="B605" s="138"/>
      <c r="N605" s="13"/>
      <c r="Q605" s="13"/>
      <c r="S605" s="13"/>
      <c r="U605" s="13"/>
      <c r="W605" s="13"/>
      <c r="Y605" s="13"/>
      <c r="AQ605" s="14"/>
      <c r="AR605" s="14"/>
      <c r="AS605" s="14"/>
    </row>
    <row r="606" ht="15.75" customHeight="1">
      <c r="B606" s="138"/>
      <c r="N606" s="13"/>
      <c r="Q606" s="13"/>
      <c r="S606" s="13"/>
      <c r="U606" s="13"/>
      <c r="W606" s="13"/>
      <c r="Y606" s="13"/>
      <c r="AQ606" s="14"/>
      <c r="AR606" s="14"/>
      <c r="AS606" s="14"/>
    </row>
    <row r="607" ht="15.75" customHeight="1">
      <c r="B607" s="138"/>
      <c r="N607" s="13"/>
      <c r="Q607" s="13"/>
      <c r="S607" s="13"/>
      <c r="U607" s="13"/>
      <c r="W607" s="13"/>
      <c r="Y607" s="13"/>
      <c r="AQ607" s="14"/>
      <c r="AR607" s="14"/>
      <c r="AS607" s="14"/>
    </row>
    <row r="608" ht="15.75" customHeight="1">
      <c r="B608" s="138"/>
      <c r="N608" s="13"/>
      <c r="Q608" s="13"/>
      <c r="S608" s="13"/>
      <c r="U608" s="13"/>
      <c r="W608" s="13"/>
      <c r="Y608" s="13"/>
      <c r="AQ608" s="14"/>
      <c r="AR608" s="14"/>
      <c r="AS608" s="14"/>
    </row>
    <row r="609" ht="15.75" customHeight="1">
      <c r="B609" s="138"/>
      <c r="N609" s="13"/>
      <c r="Q609" s="13"/>
      <c r="S609" s="13"/>
      <c r="U609" s="13"/>
      <c r="W609" s="13"/>
      <c r="Y609" s="13"/>
      <c r="AQ609" s="14"/>
      <c r="AR609" s="14"/>
      <c r="AS609" s="14"/>
    </row>
    <row r="610" ht="15.75" customHeight="1">
      <c r="B610" s="138"/>
      <c r="N610" s="13"/>
      <c r="Q610" s="13"/>
      <c r="S610" s="13"/>
      <c r="U610" s="13"/>
      <c r="W610" s="13"/>
      <c r="Y610" s="13"/>
      <c r="AQ610" s="14"/>
      <c r="AR610" s="14"/>
      <c r="AS610" s="14"/>
    </row>
    <row r="611" ht="15.75" customHeight="1">
      <c r="B611" s="138"/>
      <c r="N611" s="13"/>
      <c r="Q611" s="13"/>
      <c r="S611" s="13"/>
      <c r="U611" s="13"/>
      <c r="W611" s="13"/>
      <c r="Y611" s="13"/>
      <c r="AQ611" s="14"/>
      <c r="AR611" s="14"/>
      <c r="AS611" s="14"/>
    </row>
    <row r="612" ht="15.75" customHeight="1">
      <c r="B612" s="138"/>
      <c r="N612" s="13"/>
      <c r="Q612" s="13"/>
      <c r="S612" s="13"/>
      <c r="U612" s="13"/>
      <c r="W612" s="13"/>
      <c r="Y612" s="13"/>
      <c r="AQ612" s="14"/>
      <c r="AR612" s="14"/>
      <c r="AS612" s="14"/>
    </row>
    <row r="613" ht="15.75" customHeight="1">
      <c r="B613" s="138"/>
      <c r="N613" s="13"/>
      <c r="Q613" s="13"/>
      <c r="S613" s="13"/>
      <c r="U613" s="13"/>
      <c r="W613" s="13"/>
      <c r="Y613" s="13"/>
      <c r="AQ613" s="14"/>
      <c r="AR613" s="14"/>
      <c r="AS613" s="14"/>
    </row>
    <row r="614" ht="15.75" customHeight="1">
      <c r="B614" s="138"/>
      <c r="N614" s="13"/>
      <c r="Q614" s="13"/>
      <c r="S614" s="13"/>
      <c r="U614" s="13"/>
      <c r="W614" s="13"/>
      <c r="Y614" s="13"/>
      <c r="AQ614" s="14"/>
      <c r="AR614" s="14"/>
      <c r="AS614" s="14"/>
    </row>
    <row r="615" ht="15.75" customHeight="1">
      <c r="B615" s="138"/>
      <c r="N615" s="13"/>
      <c r="Q615" s="13"/>
      <c r="S615" s="13"/>
      <c r="U615" s="13"/>
      <c r="W615" s="13"/>
      <c r="Y615" s="13"/>
      <c r="AQ615" s="14"/>
      <c r="AR615" s="14"/>
      <c r="AS615" s="14"/>
    </row>
    <row r="616" ht="15.75" customHeight="1">
      <c r="B616" s="138"/>
      <c r="N616" s="13"/>
      <c r="Q616" s="13"/>
      <c r="S616" s="13"/>
      <c r="U616" s="13"/>
      <c r="W616" s="13"/>
      <c r="Y616" s="13"/>
      <c r="AQ616" s="14"/>
      <c r="AR616" s="14"/>
      <c r="AS616" s="14"/>
    </row>
    <row r="617" ht="15.75" customHeight="1">
      <c r="B617" s="138"/>
      <c r="N617" s="13"/>
      <c r="Q617" s="13"/>
      <c r="S617" s="13"/>
      <c r="U617" s="13"/>
      <c r="W617" s="13"/>
      <c r="Y617" s="13"/>
      <c r="AQ617" s="14"/>
      <c r="AR617" s="14"/>
      <c r="AS617" s="14"/>
    </row>
    <row r="618" ht="15.75" customHeight="1">
      <c r="B618" s="138"/>
      <c r="N618" s="13"/>
      <c r="Q618" s="13"/>
      <c r="S618" s="13"/>
      <c r="U618" s="13"/>
      <c r="W618" s="13"/>
      <c r="Y618" s="13"/>
      <c r="AQ618" s="14"/>
      <c r="AR618" s="14"/>
      <c r="AS618" s="14"/>
    </row>
    <row r="619" ht="15.75" customHeight="1">
      <c r="B619" s="138"/>
      <c r="N619" s="13"/>
      <c r="Q619" s="13"/>
      <c r="S619" s="13"/>
      <c r="U619" s="13"/>
      <c r="W619" s="13"/>
      <c r="Y619" s="13"/>
      <c r="AQ619" s="14"/>
      <c r="AR619" s="14"/>
      <c r="AS619" s="14"/>
    </row>
    <row r="620" ht="15.75" customHeight="1">
      <c r="B620" s="138"/>
      <c r="N620" s="13"/>
      <c r="Q620" s="13"/>
      <c r="S620" s="13"/>
      <c r="U620" s="13"/>
      <c r="W620" s="13"/>
      <c r="Y620" s="13"/>
      <c r="AQ620" s="14"/>
      <c r="AR620" s="14"/>
      <c r="AS620" s="14"/>
    </row>
    <row r="621" ht="15.75" customHeight="1">
      <c r="B621" s="138"/>
      <c r="N621" s="13"/>
      <c r="Q621" s="13"/>
      <c r="S621" s="13"/>
      <c r="U621" s="13"/>
      <c r="W621" s="13"/>
      <c r="Y621" s="13"/>
      <c r="AQ621" s="14"/>
      <c r="AR621" s="14"/>
      <c r="AS621" s="14"/>
    </row>
    <row r="622" ht="15.75" customHeight="1">
      <c r="B622" s="138"/>
      <c r="N622" s="13"/>
      <c r="Q622" s="13"/>
      <c r="S622" s="13"/>
      <c r="U622" s="13"/>
      <c r="W622" s="13"/>
      <c r="Y622" s="13"/>
      <c r="AQ622" s="14"/>
      <c r="AR622" s="14"/>
      <c r="AS622" s="14"/>
    </row>
    <row r="623" ht="15.75" customHeight="1">
      <c r="B623" s="138"/>
      <c r="N623" s="13"/>
      <c r="Q623" s="13"/>
      <c r="S623" s="13"/>
      <c r="U623" s="13"/>
      <c r="W623" s="13"/>
      <c r="Y623" s="13"/>
      <c r="AQ623" s="14"/>
      <c r="AR623" s="14"/>
      <c r="AS623" s="14"/>
    </row>
    <row r="624" ht="15.75" customHeight="1">
      <c r="B624" s="138"/>
      <c r="N624" s="13"/>
      <c r="Q624" s="13"/>
      <c r="S624" s="13"/>
      <c r="U624" s="13"/>
      <c r="W624" s="13"/>
      <c r="Y624" s="13"/>
      <c r="AQ624" s="14"/>
      <c r="AR624" s="14"/>
      <c r="AS624" s="14"/>
    </row>
    <row r="625" ht="15.75" customHeight="1">
      <c r="B625" s="138"/>
      <c r="N625" s="13"/>
      <c r="Q625" s="13"/>
      <c r="S625" s="13"/>
      <c r="U625" s="13"/>
      <c r="W625" s="13"/>
      <c r="Y625" s="13"/>
      <c r="AQ625" s="14"/>
      <c r="AR625" s="14"/>
      <c r="AS625" s="14"/>
    </row>
    <row r="626" ht="15.75" customHeight="1">
      <c r="B626" s="138"/>
      <c r="N626" s="13"/>
      <c r="Q626" s="13"/>
      <c r="S626" s="13"/>
      <c r="U626" s="13"/>
      <c r="W626" s="13"/>
      <c r="Y626" s="13"/>
      <c r="AQ626" s="14"/>
      <c r="AR626" s="14"/>
      <c r="AS626" s="14"/>
    </row>
    <row r="627" ht="15.75" customHeight="1">
      <c r="B627" s="138"/>
      <c r="N627" s="13"/>
      <c r="Q627" s="13"/>
      <c r="S627" s="13"/>
      <c r="U627" s="13"/>
      <c r="W627" s="13"/>
      <c r="Y627" s="13"/>
      <c r="AQ627" s="14"/>
      <c r="AR627" s="14"/>
      <c r="AS627" s="14"/>
    </row>
    <row r="628" ht="15.75" customHeight="1">
      <c r="B628" s="138"/>
      <c r="N628" s="13"/>
      <c r="Q628" s="13"/>
      <c r="S628" s="13"/>
      <c r="U628" s="13"/>
      <c r="W628" s="13"/>
      <c r="Y628" s="13"/>
      <c r="AQ628" s="14"/>
      <c r="AR628" s="14"/>
      <c r="AS628" s="14"/>
    </row>
    <row r="629" ht="15.75" customHeight="1">
      <c r="B629" s="138"/>
      <c r="N629" s="13"/>
      <c r="Q629" s="13"/>
      <c r="S629" s="13"/>
      <c r="U629" s="13"/>
      <c r="W629" s="13"/>
      <c r="Y629" s="13"/>
      <c r="AQ629" s="14"/>
      <c r="AR629" s="14"/>
      <c r="AS629" s="14"/>
    </row>
    <row r="630" ht="15.75" customHeight="1">
      <c r="B630" s="138"/>
      <c r="N630" s="13"/>
      <c r="Q630" s="13"/>
      <c r="S630" s="13"/>
      <c r="U630" s="13"/>
      <c r="W630" s="13"/>
      <c r="Y630" s="13"/>
      <c r="AQ630" s="14"/>
      <c r="AR630" s="14"/>
      <c r="AS630" s="14"/>
    </row>
    <row r="631" ht="15.75" customHeight="1">
      <c r="B631" s="138"/>
      <c r="N631" s="13"/>
      <c r="Q631" s="13"/>
      <c r="S631" s="13"/>
      <c r="U631" s="13"/>
      <c r="W631" s="13"/>
      <c r="Y631" s="13"/>
      <c r="AQ631" s="14"/>
      <c r="AR631" s="14"/>
      <c r="AS631" s="14"/>
    </row>
    <row r="632" ht="15.75" customHeight="1">
      <c r="B632" s="138"/>
      <c r="N632" s="13"/>
      <c r="Q632" s="13"/>
      <c r="S632" s="13"/>
      <c r="U632" s="13"/>
      <c r="W632" s="13"/>
      <c r="Y632" s="13"/>
      <c r="AQ632" s="14"/>
      <c r="AR632" s="14"/>
      <c r="AS632" s="14"/>
    </row>
    <row r="633" ht="15.75" customHeight="1">
      <c r="B633" s="138"/>
      <c r="N633" s="13"/>
      <c r="Q633" s="13"/>
      <c r="S633" s="13"/>
      <c r="U633" s="13"/>
      <c r="W633" s="13"/>
      <c r="Y633" s="13"/>
      <c r="AQ633" s="14"/>
      <c r="AR633" s="14"/>
      <c r="AS633" s="14"/>
    </row>
    <row r="634" ht="15.75" customHeight="1">
      <c r="B634" s="138"/>
      <c r="N634" s="13"/>
      <c r="Q634" s="13"/>
      <c r="S634" s="13"/>
      <c r="U634" s="13"/>
      <c r="W634" s="13"/>
      <c r="Y634" s="13"/>
      <c r="AQ634" s="14"/>
      <c r="AR634" s="14"/>
      <c r="AS634" s="14"/>
    </row>
    <row r="635" ht="15.75" customHeight="1">
      <c r="B635" s="138"/>
      <c r="N635" s="13"/>
      <c r="Q635" s="13"/>
      <c r="S635" s="13"/>
      <c r="U635" s="13"/>
      <c r="W635" s="13"/>
      <c r="Y635" s="13"/>
      <c r="AQ635" s="14"/>
      <c r="AR635" s="14"/>
      <c r="AS635" s="14"/>
    </row>
    <row r="636" ht="15.75" customHeight="1">
      <c r="B636" s="138"/>
      <c r="N636" s="13"/>
      <c r="Q636" s="13"/>
      <c r="S636" s="13"/>
      <c r="U636" s="13"/>
      <c r="W636" s="13"/>
      <c r="Y636" s="13"/>
      <c r="AQ636" s="14"/>
      <c r="AR636" s="14"/>
      <c r="AS636" s="14"/>
    </row>
    <row r="637" ht="15.75" customHeight="1">
      <c r="B637" s="138"/>
      <c r="N637" s="13"/>
      <c r="Q637" s="13"/>
      <c r="S637" s="13"/>
      <c r="U637" s="13"/>
      <c r="W637" s="13"/>
      <c r="Y637" s="13"/>
      <c r="AQ637" s="14"/>
      <c r="AR637" s="14"/>
      <c r="AS637" s="14"/>
    </row>
    <row r="638" ht="15.75" customHeight="1">
      <c r="B638" s="138"/>
      <c r="N638" s="13"/>
      <c r="Q638" s="13"/>
      <c r="S638" s="13"/>
      <c r="U638" s="13"/>
      <c r="W638" s="13"/>
      <c r="Y638" s="13"/>
      <c r="AQ638" s="14"/>
      <c r="AR638" s="14"/>
      <c r="AS638" s="14"/>
    </row>
    <row r="639" ht="15.75" customHeight="1">
      <c r="B639" s="138"/>
      <c r="N639" s="13"/>
      <c r="Q639" s="13"/>
      <c r="S639" s="13"/>
      <c r="U639" s="13"/>
      <c r="W639" s="13"/>
      <c r="Y639" s="13"/>
      <c r="AQ639" s="14"/>
      <c r="AR639" s="14"/>
      <c r="AS639" s="14"/>
    </row>
    <row r="640" ht="15.75" customHeight="1">
      <c r="B640" s="138"/>
      <c r="N640" s="13"/>
      <c r="Q640" s="13"/>
      <c r="S640" s="13"/>
      <c r="U640" s="13"/>
      <c r="W640" s="13"/>
      <c r="Y640" s="13"/>
      <c r="AQ640" s="14"/>
      <c r="AR640" s="14"/>
      <c r="AS640" s="14"/>
    </row>
    <row r="641" ht="15.75" customHeight="1">
      <c r="B641" s="138"/>
      <c r="N641" s="13"/>
      <c r="Q641" s="13"/>
      <c r="S641" s="13"/>
      <c r="U641" s="13"/>
      <c r="W641" s="13"/>
      <c r="Y641" s="13"/>
      <c r="AQ641" s="14"/>
      <c r="AR641" s="14"/>
      <c r="AS641" s="14"/>
    </row>
    <row r="642" ht="15.75" customHeight="1">
      <c r="B642" s="138"/>
      <c r="N642" s="13"/>
      <c r="Q642" s="13"/>
      <c r="S642" s="13"/>
      <c r="U642" s="13"/>
      <c r="W642" s="13"/>
      <c r="Y642" s="13"/>
      <c r="AQ642" s="14"/>
      <c r="AR642" s="14"/>
      <c r="AS642" s="14"/>
    </row>
    <row r="643" ht="15.75" customHeight="1">
      <c r="B643" s="138"/>
      <c r="N643" s="13"/>
      <c r="Q643" s="13"/>
      <c r="S643" s="13"/>
      <c r="U643" s="13"/>
      <c r="W643" s="13"/>
      <c r="Y643" s="13"/>
      <c r="AQ643" s="14"/>
      <c r="AR643" s="14"/>
      <c r="AS643" s="14"/>
    </row>
    <row r="644" ht="15.75" customHeight="1">
      <c r="B644" s="138"/>
      <c r="N644" s="13"/>
      <c r="Q644" s="13"/>
      <c r="S644" s="13"/>
      <c r="U644" s="13"/>
      <c r="W644" s="13"/>
      <c r="Y644" s="13"/>
      <c r="AQ644" s="14"/>
      <c r="AR644" s="14"/>
      <c r="AS644" s="14"/>
    </row>
    <row r="645" ht="15.75" customHeight="1">
      <c r="B645" s="138"/>
      <c r="N645" s="13"/>
      <c r="Q645" s="13"/>
      <c r="S645" s="13"/>
      <c r="U645" s="13"/>
      <c r="W645" s="13"/>
      <c r="Y645" s="13"/>
      <c r="AQ645" s="14"/>
      <c r="AR645" s="14"/>
      <c r="AS645" s="14"/>
    </row>
    <row r="646" ht="15.75" customHeight="1">
      <c r="B646" s="138"/>
      <c r="N646" s="13"/>
      <c r="Q646" s="13"/>
      <c r="S646" s="13"/>
      <c r="U646" s="13"/>
      <c r="W646" s="13"/>
      <c r="Y646" s="13"/>
      <c r="AQ646" s="14"/>
      <c r="AR646" s="14"/>
      <c r="AS646" s="14"/>
    </row>
    <row r="647" ht="15.75" customHeight="1">
      <c r="B647" s="138"/>
      <c r="N647" s="13"/>
      <c r="Q647" s="13"/>
      <c r="S647" s="13"/>
      <c r="U647" s="13"/>
      <c r="W647" s="13"/>
      <c r="Y647" s="13"/>
      <c r="AQ647" s="14"/>
      <c r="AR647" s="14"/>
      <c r="AS647" s="14"/>
    </row>
    <row r="648" ht="15.75" customHeight="1">
      <c r="B648" s="138"/>
      <c r="N648" s="13"/>
      <c r="Q648" s="13"/>
      <c r="S648" s="13"/>
      <c r="U648" s="13"/>
      <c r="W648" s="13"/>
      <c r="Y648" s="13"/>
      <c r="AQ648" s="14"/>
      <c r="AR648" s="14"/>
      <c r="AS648" s="14"/>
    </row>
    <row r="649" ht="15.75" customHeight="1">
      <c r="B649" s="138"/>
      <c r="N649" s="13"/>
      <c r="Q649" s="13"/>
      <c r="S649" s="13"/>
      <c r="U649" s="13"/>
      <c r="W649" s="13"/>
      <c r="Y649" s="13"/>
      <c r="AQ649" s="14"/>
      <c r="AR649" s="14"/>
      <c r="AS649" s="14"/>
    </row>
    <row r="650" ht="15.75" customHeight="1">
      <c r="B650" s="138"/>
      <c r="N650" s="13"/>
      <c r="Q650" s="13"/>
      <c r="S650" s="13"/>
      <c r="U650" s="13"/>
      <c r="W650" s="13"/>
      <c r="Y650" s="13"/>
      <c r="AQ650" s="14"/>
      <c r="AR650" s="14"/>
      <c r="AS650" s="14"/>
    </row>
    <row r="651" ht="15.75" customHeight="1">
      <c r="B651" s="138"/>
      <c r="N651" s="13"/>
      <c r="Q651" s="13"/>
      <c r="S651" s="13"/>
      <c r="U651" s="13"/>
      <c r="W651" s="13"/>
      <c r="Y651" s="13"/>
      <c r="AQ651" s="14"/>
      <c r="AR651" s="14"/>
      <c r="AS651" s="14"/>
    </row>
    <row r="652" ht="15.75" customHeight="1">
      <c r="B652" s="138"/>
      <c r="N652" s="13"/>
      <c r="Q652" s="13"/>
      <c r="S652" s="13"/>
      <c r="U652" s="13"/>
      <c r="W652" s="13"/>
      <c r="Y652" s="13"/>
      <c r="AQ652" s="14"/>
      <c r="AR652" s="14"/>
      <c r="AS652" s="14"/>
    </row>
    <row r="653" ht="15.75" customHeight="1">
      <c r="B653" s="138"/>
      <c r="N653" s="13"/>
      <c r="Q653" s="13"/>
      <c r="S653" s="13"/>
      <c r="U653" s="13"/>
      <c r="W653" s="13"/>
      <c r="Y653" s="13"/>
      <c r="AQ653" s="14"/>
      <c r="AR653" s="14"/>
      <c r="AS653" s="14"/>
    </row>
    <row r="654" ht="15.75" customHeight="1">
      <c r="B654" s="138"/>
      <c r="N654" s="13"/>
      <c r="Q654" s="13"/>
      <c r="S654" s="13"/>
      <c r="U654" s="13"/>
      <c r="W654" s="13"/>
      <c r="Y654" s="13"/>
      <c r="AQ654" s="14"/>
      <c r="AR654" s="14"/>
      <c r="AS654" s="14"/>
    </row>
    <row r="655" ht="15.75" customHeight="1">
      <c r="B655" s="138"/>
      <c r="N655" s="13"/>
      <c r="Q655" s="13"/>
      <c r="S655" s="13"/>
      <c r="U655" s="13"/>
      <c r="W655" s="13"/>
      <c r="Y655" s="13"/>
      <c r="AQ655" s="14"/>
      <c r="AR655" s="14"/>
      <c r="AS655" s="14"/>
    </row>
    <row r="656" ht="15.75" customHeight="1">
      <c r="B656" s="138"/>
      <c r="N656" s="13"/>
      <c r="Q656" s="13"/>
      <c r="S656" s="13"/>
      <c r="U656" s="13"/>
      <c r="W656" s="13"/>
      <c r="Y656" s="13"/>
      <c r="AQ656" s="14"/>
      <c r="AR656" s="14"/>
      <c r="AS656" s="14"/>
    </row>
    <row r="657" ht="15.75" customHeight="1">
      <c r="B657" s="138"/>
      <c r="N657" s="13"/>
      <c r="Q657" s="13"/>
      <c r="S657" s="13"/>
      <c r="U657" s="13"/>
      <c r="W657" s="13"/>
      <c r="Y657" s="13"/>
      <c r="AQ657" s="14"/>
      <c r="AR657" s="14"/>
      <c r="AS657" s="14"/>
    </row>
    <row r="658" ht="15.75" customHeight="1">
      <c r="B658" s="138"/>
      <c r="N658" s="13"/>
      <c r="Q658" s="13"/>
      <c r="S658" s="13"/>
      <c r="U658" s="13"/>
      <c r="W658" s="13"/>
      <c r="Y658" s="13"/>
      <c r="AQ658" s="14"/>
      <c r="AR658" s="14"/>
      <c r="AS658" s="14"/>
    </row>
    <row r="659" ht="15.75" customHeight="1">
      <c r="B659" s="138"/>
      <c r="N659" s="13"/>
      <c r="Q659" s="13"/>
      <c r="S659" s="13"/>
      <c r="U659" s="13"/>
      <c r="W659" s="13"/>
      <c r="Y659" s="13"/>
      <c r="AQ659" s="14"/>
      <c r="AR659" s="14"/>
      <c r="AS659" s="14"/>
    </row>
    <row r="660" ht="15.75" customHeight="1">
      <c r="B660" s="138"/>
      <c r="N660" s="13"/>
      <c r="Q660" s="13"/>
      <c r="S660" s="13"/>
      <c r="U660" s="13"/>
      <c r="W660" s="13"/>
      <c r="Y660" s="13"/>
      <c r="AQ660" s="14"/>
      <c r="AR660" s="14"/>
      <c r="AS660" s="14"/>
    </row>
    <row r="661" ht="15.75" customHeight="1">
      <c r="B661" s="138"/>
      <c r="N661" s="13"/>
      <c r="Q661" s="13"/>
      <c r="S661" s="13"/>
      <c r="U661" s="13"/>
      <c r="W661" s="13"/>
      <c r="Y661" s="13"/>
      <c r="AQ661" s="14"/>
      <c r="AR661" s="14"/>
      <c r="AS661" s="14"/>
    </row>
    <row r="662" ht="15.75" customHeight="1">
      <c r="B662" s="138"/>
      <c r="N662" s="13"/>
      <c r="Q662" s="13"/>
      <c r="S662" s="13"/>
      <c r="U662" s="13"/>
      <c r="W662" s="13"/>
      <c r="Y662" s="13"/>
      <c r="AQ662" s="14"/>
      <c r="AR662" s="14"/>
      <c r="AS662" s="14"/>
    </row>
    <row r="663" ht="15.75" customHeight="1">
      <c r="B663" s="138"/>
      <c r="N663" s="13"/>
      <c r="Q663" s="13"/>
      <c r="S663" s="13"/>
      <c r="U663" s="13"/>
      <c r="W663" s="13"/>
      <c r="Y663" s="13"/>
      <c r="AQ663" s="14"/>
      <c r="AR663" s="14"/>
      <c r="AS663" s="14"/>
    </row>
    <row r="664" ht="15.75" customHeight="1">
      <c r="B664" s="138"/>
      <c r="N664" s="13"/>
      <c r="Q664" s="13"/>
      <c r="S664" s="13"/>
      <c r="U664" s="13"/>
      <c r="W664" s="13"/>
      <c r="Y664" s="13"/>
      <c r="AQ664" s="14"/>
      <c r="AR664" s="14"/>
      <c r="AS664" s="14"/>
    </row>
    <row r="665" ht="15.75" customHeight="1">
      <c r="B665" s="138"/>
      <c r="N665" s="13"/>
      <c r="Q665" s="13"/>
      <c r="S665" s="13"/>
      <c r="U665" s="13"/>
      <c r="W665" s="13"/>
      <c r="Y665" s="13"/>
      <c r="AQ665" s="14"/>
      <c r="AR665" s="14"/>
      <c r="AS665" s="14"/>
    </row>
    <row r="666" ht="15.75" customHeight="1">
      <c r="B666" s="138"/>
      <c r="N666" s="13"/>
      <c r="Q666" s="13"/>
      <c r="S666" s="13"/>
      <c r="U666" s="13"/>
      <c r="W666" s="13"/>
      <c r="Y666" s="13"/>
      <c r="AQ666" s="14"/>
      <c r="AR666" s="14"/>
      <c r="AS666" s="14"/>
    </row>
    <row r="667" ht="15.75" customHeight="1">
      <c r="B667" s="138"/>
      <c r="N667" s="13"/>
      <c r="Q667" s="13"/>
      <c r="S667" s="13"/>
      <c r="U667" s="13"/>
      <c r="W667" s="13"/>
      <c r="Y667" s="13"/>
      <c r="AQ667" s="14"/>
      <c r="AR667" s="14"/>
      <c r="AS667" s="14"/>
    </row>
    <row r="668" ht="15.75" customHeight="1">
      <c r="B668" s="138"/>
      <c r="N668" s="13"/>
      <c r="Q668" s="13"/>
      <c r="S668" s="13"/>
      <c r="U668" s="13"/>
      <c r="W668" s="13"/>
      <c r="Y668" s="13"/>
      <c r="AQ668" s="14"/>
      <c r="AR668" s="14"/>
      <c r="AS668" s="14"/>
    </row>
    <row r="669" ht="15.75" customHeight="1">
      <c r="B669" s="138"/>
      <c r="N669" s="13"/>
      <c r="Q669" s="13"/>
      <c r="S669" s="13"/>
      <c r="U669" s="13"/>
      <c r="W669" s="13"/>
      <c r="Y669" s="13"/>
      <c r="AQ669" s="14"/>
      <c r="AR669" s="14"/>
      <c r="AS669" s="14"/>
    </row>
    <row r="670" ht="15.75" customHeight="1">
      <c r="B670" s="138"/>
      <c r="N670" s="13"/>
      <c r="Q670" s="13"/>
      <c r="S670" s="13"/>
      <c r="U670" s="13"/>
      <c r="W670" s="13"/>
      <c r="Y670" s="13"/>
      <c r="AQ670" s="14"/>
      <c r="AR670" s="14"/>
      <c r="AS670" s="14"/>
    </row>
    <row r="671" ht="15.75" customHeight="1">
      <c r="B671" s="138"/>
      <c r="N671" s="13"/>
      <c r="Q671" s="13"/>
      <c r="S671" s="13"/>
      <c r="U671" s="13"/>
      <c r="W671" s="13"/>
      <c r="Y671" s="13"/>
      <c r="AQ671" s="14"/>
      <c r="AR671" s="14"/>
      <c r="AS671" s="14"/>
    </row>
    <row r="672" ht="15.75" customHeight="1">
      <c r="B672" s="138"/>
      <c r="N672" s="13"/>
      <c r="Q672" s="13"/>
      <c r="S672" s="13"/>
      <c r="U672" s="13"/>
      <c r="W672" s="13"/>
      <c r="Y672" s="13"/>
      <c r="AQ672" s="14"/>
      <c r="AR672" s="14"/>
      <c r="AS672" s="14"/>
    </row>
    <row r="673" ht="15.75" customHeight="1">
      <c r="B673" s="138"/>
      <c r="N673" s="13"/>
      <c r="Q673" s="13"/>
      <c r="S673" s="13"/>
      <c r="U673" s="13"/>
      <c r="W673" s="13"/>
      <c r="Y673" s="13"/>
      <c r="AQ673" s="14"/>
      <c r="AR673" s="14"/>
      <c r="AS673" s="14"/>
    </row>
    <row r="674" ht="15.75" customHeight="1">
      <c r="B674" s="138"/>
      <c r="N674" s="13"/>
      <c r="Q674" s="13"/>
      <c r="S674" s="13"/>
      <c r="U674" s="13"/>
      <c r="W674" s="13"/>
      <c r="Y674" s="13"/>
      <c r="AQ674" s="14"/>
      <c r="AR674" s="14"/>
      <c r="AS674" s="14"/>
    </row>
    <row r="675" ht="15.75" customHeight="1">
      <c r="B675" s="138"/>
      <c r="N675" s="13"/>
      <c r="Q675" s="13"/>
      <c r="S675" s="13"/>
      <c r="U675" s="13"/>
      <c r="W675" s="13"/>
      <c r="Y675" s="13"/>
      <c r="AQ675" s="14"/>
      <c r="AR675" s="14"/>
      <c r="AS675" s="14"/>
    </row>
    <row r="676" ht="15.75" customHeight="1">
      <c r="B676" s="138"/>
      <c r="N676" s="13"/>
      <c r="Q676" s="13"/>
      <c r="S676" s="13"/>
      <c r="U676" s="13"/>
      <c r="W676" s="13"/>
      <c r="Y676" s="13"/>
      <c r="AQ676" s="14"/>
      <c r="AR676" s="14"/>
      <c r="AS676" s="14"/>
    </row>
    <row r="677" ht="15.75" customHeight="1">
      <c r="B677" s="138"/>
      <c r="N677" s="13"/>
      <c r="Q677" s="13"/>
      <c r="S677" s="13"/>
      <c r="U677" s="13"/>
      <c r="W677" s="13"/>
      <c r="Y677" s="13"/>
      <c r="AQ677" s="14"/>
      <c r="AR677" s="14"/>
      <c r="AS677" s="14"/>
    </row>
    <row r="678" ht="15.75" customHeight="1">
      <c r="B678" s="138"/>
      <c r="N678" s="13"/>
      <c r="Q678" s="13"/>
      <c r="S678" s="13"/>
      <c r="U678" s="13"/>
      <c r="W678" s="13"/>
      <c r="Y678" s="13"/>
      <c r="AQ678" s="14"/>
      <c r="AR678" s="14"/>
      <c r="AS678" s="14"/>
    </row>
    <row r="679" ht="15.75" customHeight="1">
      <c r="B679" s="138"/>
      <c r="N679" s="13"/>
      <c r="Q679" s="13"/>
      <c r="S679" s="13"/>
      <c r="U679" s="13"/>
      <c r="W679" s="13"/>
      <c r="Y679" s="13"/>
      <c r="AQ679" s="14"/>
      <c r="AR679" s="14"/>
      <c r="AS679" s="14"/>
    </row>
    <row r="680" ht="15.75" customHeight="1">
      <c r="B680" s="138"/>
      <c r="N680" s="13"/>
      <c r="Q680" s="13"/>
      <c r="S680" s="13"/>
      <c r="U680" s="13"/>
      <c r="W680" s="13"/>
      <c r="Y680" s="13"/>
      <c r="AQ680" s="14"/>
      <c r="AR680" s="14"/>
      <c r="AS680" s="14"/>
    </row>
    <row r="681" ht="15.75" customHeight="1">
      <c r="B681" s="138"/>
      <c r="N681" s="13"/>
      <c r="Q681" s="13"/>
      <c r="S681" s="13"/>
      <c r="U681" s="13"/>
      <c r="W681" s="13"/>
      <c r="Y681" s="13"/>
      <c r="AQ681" s="14"/>
      <c r="AR681" s="14"/>
      <c r="AS681" s="14"/>
    </row>
    <row r="682" ht="15.75" customHeight="1">
      <c r="B682" s="138"/>
      <c r="N682" s="13"/>
      <c r="Q682" s="13"/>
      <c r="S682" s="13"/>
      <c r="U682" s="13"/>
      <c r="W682" s="13"/>
      <c r="Y682" s="13"/>
      <c r="AQ682" s="14"/>
      <c r="AR682" s="14"/>
      <c r="AS682" s="14"/>
    </row>
    <row r="683" ht="15.75" customHeight="1">
      <c r="B683" s="138"/>
      <c r="N683" s="13"/>
      <c r="Q683" s="13"/>
      <c r="S683" s="13"/>
      <c r="U683" s="13"/>
      <c r="W683" s="13"/>
      <c r="Y683" s="13"/>
      <c r="AQ683" s="14"/>
      <c r="AR683" s="14"/>
      <c r="AS683" s="14"/>
    </row>
    <row r="684" ht="15.75" customHeight="1">
      <c r="B684" s="138"/>
      <c r="N684" s="13"/>
      <c r="Q684" s="13"/>
      <c r="S684" s="13"/>
      <c r="U684" s="13"/>
      <c r="W684" s="13"/>
      <c r="Y684" s="13"/>
      <c r="AQ684" s="14"/>
      <c r="AR684" s="14"/>
      <c r="AS684" s="14"/>
    </row>
    <row r="685" ht="15.75" customHeight="1">
      <c r="B685" s="138"/>
      <c r="N685" s="13"/>
      <c r="Q685" s="13"/>
      <c r="S685" s="13"/>
      <c r="U685" s="13"/>
      <c r="W685" s="13"/>
      <c r="Y685" s="13"/>
      <c r="AQ685" s="14"/>
      <c r="AR685" s="14"/>
      <c r="AS685" s="14"/>
    </row>
    <row r="686" ht="15.75" customHeight="1">
      <c r="B686" s="138"/>
      <c r="N686" s="13"/>
      <c r="Q686" s="13"/>
      <c r="S686" s="13"/>
      <c r="U686" s="13"/>
      <c r="W686" s="13"/>
      <c r="Y686" s="13"/>
      <c r="AQ686" s="14"/>
      <c r="AR686" s="14"/>
      <c r="AS686" s="14"/>
    </row>
    <row r="687" ht="15.75" customHeight="1">
      <c r="B687" s="138"/>
      <c r="N687" s="13"/>
      <c r="Q687" s="13"/>
      <c r="S687" s="13"/>
      <c r="U687" s="13"/>
      <c r="W687" s="13"/>
      <c r="Y687" s="13"/>
      <c r="AQ687" s="14"/>
      <c r="AR687" s="14"/>
      <c r="AS687" s="14"/>
    </row>
    <row r="688" ht="15.75" customHeight="1">
      <c r="B688" s="138"/>
      <c r="N688" s="13"/>
      <c r="Q688" s="13"/>
      <c r="S688" s="13"/>
      <c r="U688" s="13"/>
      <c r="W688" s="13"/>
      <c r="Y688" s="13"/>
      <c r="AQ688" s="14"/>
      <c r="AR688" s="14"/>
      <c r="AS688" s="14"/>
    </row>
    <row r="689" ht="15.75" customHeight="1">
      <c r="B689" s="138"/>
      <c r="N689" s="13"/>
      <c r="Q689" s="13"/>
      <c r="S689" s="13"/>
      <c r="U689" s="13"/>
      <c r="W689" s="13"/>
      <c r="Y689" s="13"/>
      <c r="AQ689" s="14"/>
      <c r="AR689" s="14"/>
      <c r="AS689" s="14"/>
    </row>
    <row r="690" ht="15.75" customHeight="1">
      <c r="B690" s="138"/>
      <c r="N690" s="13"/>
      <c r="Q690" s="13"/>
      <c r="S690" s="13"/>
      <c r="U690" s="13"/>
      <c r="W690" s="13"/>
      <c r="Y690" s="13"/>
      <c r="AQ690" s="14"/>
      <c r="AR690" s="14"/>
      <c r="AS690" s="14"/>
    </row>
    <row r="691" ht="15.75" customHeight="1">
      <c r="B691" s="138"/>
      <c r="N691" s="13"/>
      <c r="Q691" s="13"/>
      <c r="S691" s="13"/>
      <c r="U691" s="13"/>
      <c r="W691" s="13"/>
      <c r="Y691" s="13"/>
      <c r="AQ691" s="14"/>
      <c r="AR691" s="14"/>
      <c r="AS691" s="14"/>
    </row>
    <row r="692" ht="15.75" customHeight="1">
      <c r="B692" s="138"/>
      <c r="N692" s="13"/>
      <c r="Q692" s="13"/>
      <c r="S692" s="13"/>
      <c r="U692" s="13"/>
      <c r="W692" s="13"/>
      <c r="Y692" s="13"/>
      <c r="AQ692" s="14"/>
      <c r="AR692" s="14"/>
      <c r="AS692" s="14"/>
    </row>
    <row r="693" ht="15.75" customHeight="1">
      <c r="B693" s="138"/>
      <c r="N693" s="13"/>
      <c r="Q693" s="13"/>
      <c r="S693" s="13"/>
      <c r="U693" s="13"/>
      <c r="W693" s="13"/>
      <c r="Y693" s="13"/>
      <c r="AQ693" s="14"/>
      <c r="AR693" s="14"/>
      <c r="AS693" s="14"/>
    </row>
    <row r="694" ht="15.75" customHeight="1">
      <c r="B694" s="138"/>
      <c r="N694" s="13"/>
      <c r="Q694" s="13"/>
      <c r="S694" s="13"/>
      <c r="U694" s="13"/>
      <c r="W694" s="13"/>
      <c r="Y694" s="13"/>
      <c r="AQ694" s="14"/>
      <c r="AR694" s="14"/>
      <c r="AS694" s="14"/>
    </row>
    <row r="695" ht="15.75" customHeight="1">
      <c r="B695" s="138"/>
      <c r="N695" s="13"/>
      <c r="Q695" s="13"/>
      <c r="S695" s="13"/>
      <c r="U695" s="13"/>
      <c r="W695" s="13"/>
      <c r="Y695" s="13"/>
      <c r="AQ695" s="14"/>
      <c r="AR695" s="14"/>
      <c r="AS695" s="14"/>
    </row>
    <row r="696" ht="15.75" customHeight="1">
      <c r="B696" s="138"/>
      <c r="N696" s="13"/>
      <c r="Q696" s="13"/>
      <c r="S696" s="13"/>
      <c r="U696" s="13"/>
      <c r="W696" s="13"/>
      <c r="Y696" s="13"/>
      <c r="AQ696" s="14"/>
      <c r="AR696" s="14"/>
      <c r="AS696" s="14"/>
    </row>
    <row r="697" ht="15.75" customHeight="1">
      <c r="B697" s="138"/>
      <c r="N697" s="13"/>
      <c r="Q697" s="13"/>
      <c r="S697" s="13"/>
      <c r="U697" s="13"/>
      <c r="W697" s="13"/>
      <c r="Y697" s="13"/>
      <c r="AQ697" s="14"/>
      <c r="AR697" s="14"/>
      <c r="AS697" s="14"/>
    </row>
    <row r="698" ht="15.75" customHeight="1">
      <c r="B698" s="138"/>
      <c r="N698" s="13"/>
      <c r="Q698" s="13"/>
      <c r="S698" s="13"/>
      <c r="U698" s="13"/>
      <c r="W698" s="13"/>
      <c r="Y698" s="13"/>
      <c r="AQ698" s="14"/>
      <c r="AR698" s="14"/>
      <c r="AS698" s="14"/>
    </row>
    <row r="699" ht="15.75" customHeight="1">
      <c r="B699" s="138"/>
      <c r="N699" s="13"/>
      <c r="Q699" s="13"/>
      <c r="S699" s="13"/>
      <c r="U699" s="13"/>
      <c r="W699" s="13"/>
      <c r="Y699" s="13"/>
      <c r="AQ699" s="14"/>
      <c r="AR699" s="14"/>
      <c r="AS699" s="14"/>
    </row>
    <row r="700" ht="15.75" customHeight="1">
      <c r="B700" s="138"/>
      <c r="N700" s="13"/>
      <c r="Q700" s="13"/>
      <c r="S700" s="13"/>
      <c r="U700" s="13"/>
      <c r="W700" s="13"/>
      <c r="Y700" s="13"/>
      <c r="AQ700" s="14"/>
      <c r="AR700" s="14"/>
      <c r="AS700" s="14"/>
    </row>
    <row r="701" ht="15.75" customHeight="1">
      <c r="B701" s="138"/>
      <c r="N701" s="13"/>
      <c r="Q701" s="13"/>
      <c r="S701" s="13"/>
      <c r="U701" s="13"/>
      <c r="W701" s="13"/>
      <c r="Y701" s="13"/>
      <c r="AQ701" s="14"/>
      <c r="AR701" s="14"/>
      <c r="AS701" s="14"/>
    </row>
    <row r="702" ht="15.75" customHeight="1">
      <c r="B702" s="138"/>
      <c r="N702" s="13"/>
      <c r="Q702" s="13"/>
      <c r="S702" s="13"/>
      <c r="U702" s="13"/>
      <c r="W702" s="13"/>
      <c r="Y702" s="13"/>
      <c r="AQ702" s="14"/>
      <c r="AR702" s="14"/>
      <c r="AS702" s="14"/>
    </row>
    <row r="703" ht="15.75" customHeight="1">
      <c r="B703" s="138"/>
      <c r="N703" s="13"/>
      <c r="Q703" s="13"/>
      <c r="S703" s="13"/>
      <c r="U703" s="13"/>
      <c r="W703" s="13"/>
      <c r="Y703" s="13"/>
      <c r="AQ703" s="14"/>
      <c r="AR703" s="14"/>
      <c r="AS703" s="14"/>
    </row>
    <row r="704" ht="15.75" customHeight="1">
      <c r="B704" s="138"/>
      <c r="N704" s="13"/>
      <c r="Q704" s="13"/>
      <c r="S704" s="13"/>
      <c r="U704" s="13"/>
      <c r="W704" s="13"/>
      <c r="Y704" s="13"/>
      <c r="AQ704" s="14"/>
      <c r="AR704" s="14"/>
      <c r="AS704" s="14"/>
    </row>
    <row r="705" ht="15.75" customHeight="1">
      <c r="B705" s="138"/>
      <c r="N705" s="13"/>
      <c r="Q705" s="13"/>
      <c r="S705" s="13"/>
      <c r="U705" s="13"/>
      <c r="W705" s="13"/>
      <c r="Y705" s="13"/>
      <c r="AQ705" s="14"/>
      <c r="AR705" s="14"/>
      <c r="AS705" s="14"/>
    </row>
    <row r="706" ht="15.75" customHeight="1">
      <c r="B706" s="138"/>
      <c r="N706" s="13"/>
      <c r="Q706" s="13"/>
      <c r="S706" s="13"/>
      <c r="U706" s="13"/>
      <c r="W706" s="13"/>
      <c r="Y706" s="13"/>
      <c r="AQ706" s="14"/>
      <c r="AR706" s="14"/>
      <c r="AS706" s="14"/>
    </row>
    <row r="707" ht="15.75" customHeight="1">
      <c r="B707" s="138"/>
      <c r="N707" s="13"/>
      <c r="Q707" s="13"/>
      <c r="S707" s="13"/>
      <c r="U707" s="13"/>
      <c r="W707" s="13"/>
      <c r="Y707" s="13"/>
      <c r="AQ707" s="14"/>
      <c r="AR707" s="14"/>
      <c r="AS707" s="14"/>
    </row>
    <row r="708" ht="15.75" customHeight="1">
      <c r="B708" s="138"/>
      <c r="N708" s="13"/>
      <c r="Q708" s="13"/>
      <c r="S708" s="13"/>
      <c r="U708" s="13"/>
      <c r="W708" s="13"/>
      <c r="Y708" s="13"/>
      <c r="AQ708" s="14"/>
      <c r="AR708" s="14"/>
      <c r="AS708" s="14"/>
    </row>
    <row r="709" ht="15.75" customHeight="1">
      <c r="B709" s="138"/>
      <c r="N709" s="13"/>
      <c r="Q709" s="13"/>
      <c r="S709" s="13"/>
      <c r="U709" s="13"/>
      <c r="W709" s="13"/>
      <c r="Y709" s="13"/>
      <c r="AQ709" s="14"/>
      <c r="AR709" s="14"/>
      <c r="AS709" s="14"/>
    </row>
    <row r="710" ht="15.75" customHeight="1">
      <c r="B710" s="138"/>
      <c r="N710" s="13"/>
      <c r="Q710" s="13"/>
      <c r="S710" s="13"/>
      <c r="U710" s="13"/>
      <c r="W710" s="13"/>
      <c r="Y710" s="13"/>
      <c r="AQ710" s="14"/>
      <c r="AR710" s="14"/>
      <c r="AS710" s="14"/>
    </row>
    <row r="711" ht="15.75" customHeight="1">
      <c r="B711" s="138"/>
      <c r="N711" s="13"/>
      <c r="Q711" s="13"/>
      <c r="S711" s="13"/>
      <c r="U711" s="13"/>
      <c r="W711" s="13"/>
      <c r="Y711" s="13"/>
      <c r="AQ711" s="14"/>
      <c r="AR711" s="14"/>
      <c r="AS711" s="14"/>
    </row>
    <row r="712" ht="15.75" customHeight="1">
      <c r="B712" s="138"/>
      <c r="N712" s="13"/>
      <c r="Q712" s="13"/>
      <c r="S712" s="13"/>
      <c r="U712" s="13"/>
      <c r="W712" s="13"/>
      <c r="Y712" s="13"/>
      <c r="AQ712" s="14"/>
      <c r="AR712" s="14"/>
      <c r="AS712" s="14"/>
    </row>
    <row r="713" ht="15.75" customHeight="1">
      <c r="B713" s="138"/>
      <c r="N713" s="13"/>
      <c r="Q713" s="13"/>
      <c r="S713" s="13"/>
      <c r="U713" s="13"/>
      <c r="W713" s="13"/>
      <c r="Y713" s="13"/>
      <c r="AQ713" s="14"/>
      <c r="AR713" s="14"/>
      <c r="AS713" s="14"/>
    </row>
    <row r="714" ht="15.75" customHeight="1">
      <c r="B714" s="138"/>
      <c r="N714" s="13"/>
      <c r="Q714" s="13"/>
      <c r="S714" s="13"/>
      <c r="U714" s="13"/>
      <c r="W714" s="13"/>
      <c r="Y714" s="13"/>
      <c r="AQ714" s="14"/>
      <c r="AR714" s="14"/>
      <c r="AS714" s="14"/>
    </row>
    <row r="715" ht="15.75" customHeight="1">
      <c r="B715" s="138"/>
      <c r="N715" s="13"/>
      <c r="Q715" s="13"/>
      <c r="S715" s="13"/>
      <c r="U715" s="13"/>
      <c r="W715" s="13"/>
      <c r="Y715" s="13"/>
      <c r="AQ715" s="14"/>
      <c r="AR715" s="14"/>
      <c r="AS715" s="14"/>
    </row>
    <row r="716" ht="15.75" customHeight="1">
      <c r="B716" s="138"/>
      <c r="N716" s="13"/>
      <c r="Q716" s="13"/>
      <c r="S716" s="13"/>
      <c r="U716" s="13"/>
      <c r="W716" s="13"/>
      <c r="Y716" s="13"/>
      <c r="AQ716" s="14"/>
      <c r="AR716" s="14"/>
      <c r="AS716" s="14"/>
    </row>
    <row r="717" ht="15.75" customHeight="1">
      <c r="B717" s="138"/>
      <c r="N717" s="13"/>
      <c r="Q717" s="13"/>
      <c r="S717" s="13"/>
      <c r="U717" s="13"/>
      <c r="W717" s="13"/>
      <c r="Y717" s="13"/>
      <c r="AQ717" s="14"/>
      <c r="AR717" s="14"/>
      <c r="AS717" s="14"/>
    </row>
    <row r="718" ht="15.75" customHeight="1">
      <c r="B718" s="138"/>
      <c r="N718" s="13"/>
      <c r="Q718" s="13"/>
      <c r="S718" s="13"/>
      <c r="U718" s="13"/>
      <c r="W718" s="13"/>
      <c r="Y718" s="13"/>
      <c r="AQ718" s="14"/>
      <c r="AR718" s="14"/>
      <c r="AS718" s="14"/>
    </row>
    <row r="719" ht="15.75" customHeight="1">
      <c r="B719" s="138"/>
      <c r="N719" s="13"/>
      <c r="Q719" s="13"/>
      <c r="S719" s="13"/>
      <c r="U719" s="13"/>
      <c r="W719" s="13"/>
      <c r="Y719" s="13"/>
      <c r="AQ719" s="14"/>
      <c r="AR719" s="14"/>
      <c r="AS719" s="14"/>
    </row>
    <row r="720" ht="15.75" customHeight="1">
      <c r="B720" s="138"/>
      <c r="N720" s="13"/>
      <c r="Q720" s="13"/>
      <c r="S720" s="13"/>
      <c r="U720" s="13"/>
      <c r="W720" s="13"/>
      <c r="Y720" s="13"/>
      <c r="AQ720" s="14"/>
      <c r="AR720" s="14"/>
      <c r="AS720" s="14"/>
    </row>
    <row r="721" ht="15.75" customHeight="1">
      <c r="B721" s="138"/>
      <c r="N721" s="13"/>
      <c r="Q721" s="13"/>
      <c r="S721" s="13"/>
      <c r="U721" s="13"/>
      <c r="W721" s="13"/>
      <c r="Y721" s="13"/>
      <c r="AQ721" s="14"/>
      <c r="AR721" s="14"/>
      <c r="AS721" s="14"/>
    </row>
    <row r="722" ht="15.75" customHeight="1">
      <c r="B722" s="138"/>
      <c r="N722" s="13"/>
      <c r="Q722" s="13"/>
      <c r="S722" s="13"/>
      <c r="U722" s="13"/>
      <c r="W722" s="13"/>
      <c r="Y722" s="13"/>
      <c r="AQ722" s="14"/>
      <c r="AR722" s="14"/>
      <c r="AS722" s="14"/>
    </row>
    <row r="723" ht="15.75" customHeight="1">
      <c r="B723" s="138"/>
      <c r="N723" s="13"/>
      <c r="Q723" s="13"/>
      <c r="S723" s="13"/>
      <c r="U723" s="13"/>
      <c r="W723" s="13"/>
      <c r="Y723" s="13"/>
      <c r="AQ723" s="14"/>
      <c r="AR723" s="14"/>
      <c r="AS723" s="14"/>
    </row>
    <row r="724" ht="15.75" customHeight="1">
      <c r="B724" s="138"/>
      <c r="N724" s="13"/>
      <c r="Q724" s="13"/>
      <c r="S724" s="13"/>
      <c r="U724" s="13"/>
      <c r="W724" s="13"/>
      <c r="Y724" s="13"/>
      <c r="AQ724" s="14"/>
      <c r="AR724" s="14"/>
      <c r="AS724" s="14"/>
    </row>
    <row r="725" ht="15.75" customHeight="1">
      <c r="B725" s="138"/>
      <c r="N725" s="13"/>
      <c r="Q725" s="13"/>
      <c r="S725" s="13"/>
      <c r="U725" s="13"/>
      <c r="W725" s="13"/>
      <c r="Y725" s="13"/>
      <c r="AQ725" s="14"/>
      <c r="AR725" s="14"/>
      <c r="AS725" s="14"/>
    </row>
    <row r="726" ht="15.75" customHeight="1">
      <c r="B726" s="138"/>
      <c r="N726" s="13"/>
      <c r="Q726" s="13"/>
      <c r="S726" s="13"/>
      <c r="U726" s="13"/>
      <c r="W726" s="13"/>
      <c r="Y726" s="13"/>
      <c r="AQ726" s="14"/>
      <c r="AR726" s="14"/>
      <c r="AS726" s="14"/>
    </row>
    <row r="727" ht="15.75" customHeight="1">
      <c r="B727" s="138"/>
      <c r="N727" s="13"/>
      <c r="Q727" s="13"/>
      <c r="S727" s="13"/>
      <c r="U727" s="13"/>
      <c r="W727" s="13"/>
      <c r="Y727" s="13"/>
      <c r="AQ727" s="14"/>
      <c r="AR727" s="14"/>
      <c r="AS727" s="14"/>
    </row>
    <row r="728" ht="15.75" customHeight="1">
      <c r="B728" s="138"/>
      <c r="N728" s="13"/>
      <c r="Q728" s="13"/>
      <c r="S728" s="13"/>
      <c r="U728" s="13"/>
      <c r="W728" s="13"/>
      <c r="Y728" s="13"/>
      <c r="AQ728" s="14"/>
      <c r="AR728" s="14"/>
      <c r="AS728" s="14"/>
    </row>
    <row r="729" ht="15.75" customHeight="1">
      <c r="B729" s="138"/>
      <c r="N729" s="13"/>
      <c r="Q729" s="13"/>
      <c r="S729" s="13"/>
      <c r="U729" s="13"/>
      <c r="W729" s="13"/>
      <c r="Y729" s="13"/>
      <c r="AQ729" s="14"/>
      <c r="AR729" s="14"/>
      <c r="AS729" s="14"/>
    </row>
    <row r="730" ht="15.75" customHeight="1">
      <c r="B730" s="138"/>
      <c r="N730" s="13"/>
      <c r="Q730" s="13"/>
      <c r="S730" s="13"/>
      <c r="U730" s="13"/>
      <c r="W730" s="13"/>
      <c r="Y730" s="13"/>
      <c r="AQ730" s="14"/>
      <c r="AR730" s="14"/>
      <c r="AS730" s="14"/>
    </row>
    <row r="731" ht="15.75" customHeight="1">
      <c r="B731" s="138"/>
      <c r="N731" s="13"/>
      <c r="Q731" s="13"/>
      <c r="S731" s="13"/>
      <c r="U731" s="13"/>
      <c r="W731" s="13"/>
      <c r="Y731" s="13"/>
      <c r="AQ731" s="14"/>
      <c r="AR731" s="14"/>
      <c r="AS731" s="14"/>
    </row>
    <row r="732" ht="15.75" customHeight="1">
      <c r="B732" s="138"/>
      <c r="N732" s="13"/>
      <c r="Q732" s="13"/>
      <c r="S732" s="13"/>
      <c r="U732" s="13"/>
      <c r="W732" s="13"/>
      <c r="Y732" s="13"/>
      <c r="AQ732" s="14"/>
      <c r="AR732" s="14"/>
      <c r="AS732" s="14"/>
    </row>
    <row r="733" ht="15.75" customHeight="1">
      <c r="B733" s="138"/>
      <c r="N733" s="13"/>
      <c r="Q733" s="13"/>
      <c r="S733" s="13"/>
      <c r="U733" s="13"/>
      <c r="W733" s="13"/>
      <c r="Y733" s="13"/>
      <c r="AQ733" s="14"/>
      <c r="AR733" s="14"/>
      <c r="AS733" s="14"/>
    </row>
    <row r="734" ht="15.75" customHeight="1">
      <c r="B734" s="138"/>
      <c r="N734" s="13"/>
      <c r="Q734" s="13"/>
      <c r="S734" s="13"/>
      <c r="U734" s="13"/>
      <c r="W734" s="13"/>
      <c r="Y734" s="13"/>
      <c r="AQ734" s="14"/>
      <c r="AR734" s="14"/>
      <c r="AS734" s="14"/>
    </row>
    <row r="735" ht="15.75" customHeight="1">
      <c r="B735" s="138"/>
      <c r="N735" s="13"/>
      <c r="Q735" s="13"/>
      <c r="S735" s="13"/>
      <c r="U735" s="13"/>
      <c r="W735" s="13"/>
      <c r="Y735" s="13"/>
      <c r="AQ735" s="14"/>
      <c r="AR735" s="14"/>
      <c r="AS735" s="14"/>
    </row>
    <row r="736" ht="15.75" customHeight="1">
      <c r="B736" s="138"/>
      <c r="N736" s="13"/>
      <c r="Q736" s="13"/>
      <c r="S736" s="13"/>
      <c r="U736" s="13"/>
      <c r="W736" s="13"/>
      <c r="Y736" s="13"/>
      <c r="AQ736" s="14"/>
      <c r="AR736" s="14"/>
      <c r="AS736" s="14"/>
    </row>
    <row r="737" ht="15.75" customHeight="1">
      <c r="B737" s="138"/>
      <c r="N737" s="13"/>
      <c r="Q737" s="13"/>
      <c r="S737" s="13"/>
      <c r="U737" s="13"/>
      <c r="W737" s="13"/>
      <c r="Y737" s="13"/>
      <c r="AQ737" s="14"/>
      <c r="AR737" s="14"/>
      <c r="AS737" s="14"/>
    </row>
    <row r="738" ht="15.75" customHeight="1">
      <c r="B738" s="138"/>
      <c r="N738" s="13"/>
      <c r="Q738" s="13"/>
      <c r="S738" s="13"/>
      <c r="U738" s="13"/>
      <c r="W738" s="13"/>
      <c r="Y738" s="13"/>
      <c r="AQ738" s="14"/>
      <c r="AR738" s="14"/>
      <c r="AS738" s="14"/>
    </row>
    <row r="739" ht="15.75" customHeight="1">
      <c r="B739" s="138"/>
      <c r="N739" s="13"/>
      <c r="Q739" s="13"/>
      <c r="S739" s="13"/>
      <c r="U739" s="13"/>
      <c r="W739" s="13"/>
      <c r="Y739" s="13"/>
      <c r="AQ739" s="14"/>
      <c r="AR739" s="14"/>
      <c r="AS739" s="14"/>
    </row>
    <row r="740" ht="15.75" customHeight="1">
      <c r="B740" s="138"/>
      <c r="N740" s="13"/>
      <c r="Q740" s="13"/>
      <c r="S740" s="13"/>
      <c r="U740" s="13"/>
      <c r="W740" s="13"/>
      <c r="Y740" s="13"/>
      <c r="AQ740" s="14"/>
      <c r="AR740" s="14"/>
      <c r="AS740" s="14"/>
    </row>
    <row r="741" ht="15.75" customHeight="1">
      <c r="B741" s="138"/>
      <c r="N741" s="13"/>
      <c r="Q741" s="13"/>
      <c r="S741" s="13"/>
      <c r="U741" s="13"/>
      <c r="W741" s="13"/>
      <c r="Y741" s="13"/>
      <c r="AQ741" s="14"/>
      <c r="AR741" s="14"/>
      <c r="AS741" s="14"/>
    </row>
    <row r="742" ht="15.75" customHeight="1">
      <c r="B742" s="138"/>
      <c r="N742" s="13"/>
      <c r="Q742" s="13"/>
      <c r="S742" s="13"/>
      <c r="U742" s="13"/>
      <c r="W742" s="13"/>
      <c r="Y742" s="13"/>
      <c r="AQ742" s="14"/>
      <c r="AR742" s="14"/>
      <c r="AS742" s="14"/>
    </row>
    <row r="743" ht="15.75" customHeight="1">
      <c r="B743" s="138"/>
      <c r="N743" s="13"/>
      <c r="Q743" s="13"/>
      <c r="S743" s="13"/>
      <c r="U743" s="13"/>
      <c r="W743" s="13"/>
      <c r="Y743" s="13"/>
      <c r="AQ743" s="14"/>
      <c r="AR743" s="14"/>
      <c r="AS743" s="14"/>
    </row>
    <row r="744" ht="15.75" customHeight="1">
      <c r="B744" s="138"/>
      <c r="N744" s="13"/>
      <c r="Q744" s="13"/>
      <c r="S744" s="13"/>
      <c r="U744" s="13"/>
      <c r="W744" s="13"/>
      <c r="Y744" s="13"/>
      <c r="AQ744" s="14"/>
      <c r="AR744" s="14"/>
      <c r="AS744" s="14"/>
    </row>
    <row r="745" ht="15.75" customHeight="1">
      <c r="B745" s="138"/>
      <c r="N745" s="13"/>
      <c r="Q745" s="13"/>
      <c r="S745" s="13"/>
      <c r="U745" s="13"/>
      <c r="W745" s="13"/>
      <c r="Y745" s="13"/>
      <c r="AQ745" s="14"/>
      <c r="AR745" s="14"/>
      <c r="AS745" s="14"/>
    </row>
    <row r="746" ht="15.75" customHeight="1">
      <c r="B746" s="138"/>
      <c r="N746" s="13"/>
      <c r="Q746" s="13"/>
      <c r="S746" s="13"/>
      <c r="U746" s="13"/>
      <c r="W746" s="13"/>
      <c r="Y746" s="13"/>
      <c r="AQ746" s="14"/>
      <c r="AR746" s="14"/>
      <c r="AS746" s="14"/>
    </row>
    <row r="747" ht="15.75" customHeight="1">
      <c r="B747" s="138"/>
      <c r="N747" s="13"/>
      <c r="Q747" s="13"/>
      <c r="S747" s="13"/>
      <c r="U747" s="13"/>
      <c r="W747" s="13"/>
      <c r="Y747" s="13"/>
      <c r="AQ747" s="14"/>
      <c r="AR747" s="14"/>
      <c r="AS747" s="14"/>
    </row>
    <row r="748" ht="15.75" customHeight="1">
      <c r="B748" s="138"/>
      <c r="N748" s="13"/>
      <c r="Q748" s="13"/>
      <c r="S748" s="13"/>
      <c r="U748" s="13"/>
      <c r="W748" s="13"/>
      <c r="Y748" s="13"/>
      <c r="AQ748" s="14"/>
      <c r="AR748" s="14"/>
      <c r="AS748" s="14"/>
    </row>
    <row r="749" ht="15.75" customHeight="1">
      <c r="B749" s="138"/>
      <c r="N749" s="13"/>
      <c r="Q749" s="13"/>
      <c r="S749" s="13"/>
      <c r="U749" s="13"/>
      <c r="W749" s="13"/>
      <c r="Y749" s="13"/>
      <c r="AQ749" s="14"/>
      <c r="AR749" s="14"/>
      <c r="AS749" s="14"/>
    </row>
    <row r="750" ht="15.75" customHeight="1">
      <c r="B750" s="138"/>
      <c r="N750" s="13"/>
      <c r="Q750" s="13"/>
      <c r="S750" s="13"/>
      <c r="U750" s="13"/>
      <c r="W750" s="13"/>
      <c r="Y750" s="13"/>
      <c r="AQ750" s="14"/>
      <c r="AR750" s="14"/>
      <c r="AS750" s="14"/>
    </row>
    <row r="751" ht="15.75" customHeight="1">
      <c r="B751" s="138"/>
      <c r="N751" s="13"/>
      <c r="Q751" s="13"/>
      <c r="S751" s="13"/>
      <c r="U751" s="13"/>
      <c r="W751" s="13"/>
      <c r="Y751" s="13"/>
      <c r="AQ751" s="14"/>
      <c r="AR751" s="14"/>
      <c r="AS751" s="14"/>
    </row>
    <row r="752" ht="15.75" customHeight="1">
      <c r="B752" s="138"/>
      <c r="N752" s="13"/>
      <c r="Q752" s="13"/>
      <c r="S752" s="13"/>
      <c r="U752" s="13"/>
      <c r="W752" s="13"/>
      <c r="Y752" s="13"/>
      <c r="AQ752" s="14"/>
      <c r="AR752" s="14"/>
      <c r="AS752" s="14"/>
    </row>
    <row r="753" ht="15.75" customHeight="1">
      <c r="B753" s="138"/>
      <c r="N753" s="13"/>
      <c r="Q753" s="13"/>
      <c r="S753" s="13"/>
      <c r="U753" s="13"/>
      <c r="W753" s="13"/>
      <c r="Y753" s="13"/>
      <c r="AQ753" s="14"/>
      <c r="AR753" s="14"/>
      <c r="AS753" s="14"/>
    </row>
    <row r="754" ht="15.75" customHeight="1">
      <c r="B754" s="138"/>
      <c r="N754" s="13"/>
      <c r="Q754" s="13"/>
      <c r="S754" s="13"/>
      <c r="U754" s="13"/>
      <c r="W754" s="13"/>
      <c r="Y754" s="13"/>
      <c r="AQ754" s="14"/>
      <c r="AR754" s="14"/>
      <c r="AS754" s="14"/>
    </row>
    <row r="755" ht="15.75" customHeight="1">
      <c r="B755" s="138"/>
      <c r="N755" s="13"/>
      <c r="Q755" s="13"/>
      <c r="S755" s="13"/>
      <c r="U755" s="13"/>
      <c r="W755" s="13"/>
      <c r="Y755" s="13"/>
      <c r="AQ755" s="14"/>
      <c r="AR755" s="14"/>
      <c r="AS755" s="14"/>
    </row>
    <row r="756" ht="15.75" customHeight="1">
      <c r="B756" s="138"/>
      <c r="N756" s="13"/>
      <c r="Q756" s="13"/>
      <c r="S756" s="13"/>
      <c r="U756" s="13"/>
      <c r="W756" s="13"/>
      <c r="Y756" s="13"/>
      <c r="AQ756" s="14"/>
      <c r="AR756" s="14"/>
      <c r="AS756" s="14"/>
    </row>
    <row r="757" ht="15.75" customHeight="1">
      <c r="B757" s="138"/>
      <c r="N757" s="13"/>
      <c r="Q757" s="13"/>
      <c r="S757" s="13"/>
      <c r="U757" s="13"/>
      <c r="W757" s="13"/>
      <c r="Y757" s="13"/>
      <c r="AQ757" s="14"/>
      <c r="AR757" s="14"/>
      <c r="AS757" s="14"/>
    </row>
    <row r="758" ht="15.75" customHeight="1">
      <c r="B758" s="138"/>
      <c r="N758" s="13"/>
      <c r="Q758" s="13"/>
      <c r="S758" s="13"/>
      <c r="U758" s="13"/>
      <c r="W758" s="13"/>
      <c r="Y758" s="13"/>
      <c r="AQ758" s="14"/>
      <c r="AR758" s="14"/>
      <c r="AS758" s="14"/>
    </row>
    <row r="759" ht="15.75" customHeight="1">
      <c r="B759" s="138"/>
      <c r="N759" s="13"/>
      <c r="Q759" s="13"/>
      <c r="S759" s="13"/>
      <c r="U759" s="13"/>
      <c r="W759" s="13"/>
      <c r="Y759" s="13"/>
      <c r="AQ759" s="14"/>
      <c r="AR759" s="14"/>
      <c r="AS759" s="14"/>
    </row>
    <row r="760" ht="15.75" customHeight="1">
      <c r="B760" s="138"/>
      <c r="N760" s="13"/>
      <c r="Q760" s="13"/>
      <c r="S760" s="13"/>
      <c r="U760" s="13"/>
      <c r="W760" s="13"/>
      <c r="Y760" s="13"/>
      <c r="AQ760" s="14"/>
      <c r="AR760" s="14"/>
      <c r="AS760" s="14"/>
    </row>
    <row r="761" ht="15.75" customHeight="1">
      <c r="B761" s="138"/>
      <c r="N761" s="13"/>
      <c r="Q761" s="13"/>
      <c r="S761" s="13"/>
      <c r="U761" s="13"/>
      <c r="W761" s="13"/>
      <c r="Y761" s="13"/>
      <c r="AQ761" s="14"/>
      <c r="AR761" s="14"/>
      <c r="AS761" s="14"/>
    </row>
    <row r="762" ht="15.75" customHeight="1">
      <c r="B762" s="138"/>
      <c r="N762" s="13"/>
      <c r="Q762" s="13"/>
      <c r="S762" s="13"/>
      <c r="U762" s="13"/>
      <c r="W762" s="13"/>
      <c r="Y762" s="13"/>
      <c r="AQ762" s="14"/>
      <c r="AR762" s="14"/>
      <c r="AS762" s="14"/>
    </row>
    <row r="763" ht="15.75" customHeight="1">
      <c r="B763" s="138"/>
      <c r="N763" s="13"/>
      <c r="Q763" s="13"/>
      <c r="S763" s="13"/>
      <c r="U763" s="13"/>
      <c r="W763" s="13"/>
      <c r="Y763" s="13"/>
      <c r="AQ763" s="14"/>
      <c r="AR763" s="14"/>
      <c r="AS763" s="14"/>
    </row>
    <row r="764" ht="15.75" customHeight="1">
      <c r="B764" s="138"/>
      <c r="N764" s="13"/>
      <c r="Q764" s="13"/>
      <c r="S764" s="13"/>
      <c r="U764" s="13"/>
      <c r="W764" s="13"/>
      <c r="Y764" s="13"/>
      <c r="AQ764" s="14"/>
      <c r="AR764" s="14"/>
      <c r="AS764" s="14"/>
    </row>
    <row r="765" ht="15.75" customHeight="1">
      <c r="B765" s="138"/>
      <c r="N765" s="13"/>
      <c r="Q765" s="13"/>
      <c r="S765" s="13"/>
      <c r="U765" s="13"/>
      <c r="W765" s="13"/>
      <c r="Y765" s="13"/>
      <c r="AQ765" s="14"/>
      <c r="AR765" s="14"/>
      <c r="AS765" s="14"/>
    </row>
    <row r="766" ht="15.75" customHeight="1">
      <c r="B766" s="138"/>
      <c r="N766" s="13"/>
      <c r="Q766" s="13"/>
      <c r="S766" s="13"/>
      <c r="U766" s="13"/>
      <c r="W766" s="13"/>
      <c r="Y766" s="13"/>
      <c r="AQ766" s="14"/>
      <c r="AR766" s="14"/>
      <c r="AS766" s="14"/>
    </row>
    <row r="767" ht="15.75" customHeight="1">
      <c r="B767" s="138"/>
      <c r="N767" s="13"/>
      <c r="Q767" s="13"/>
      <c r="S767" s="13"/>
      <c r="U767" s="13"/>
      <c r="W767" s="13"/>
      <c r="Y767" s="13"/>
      <c r="AQ767" s="14"/>
      <c r="AR767" s="14"/>
      <c r="AS767" s="14"/>
    </row>
    <row r="768" ht="15.75" customHeight="1">
      <c r="B768" s="138"/>
      <c r="N768" s="13"/>
      <c r="Q768" s="13"/>
      <c r="S768" s="13"/>
      <c r="U768" s="13"/>
      <c r="W768" s="13"/>
      <c r="Y768" s="13"/>
      <c r="AQ768" s="14"/>
      <c r="AR768" s="14"/>
      <c r="AS768" s="14"/>
    </row>
    <row r="769" ht="15.75" customHeight="1">
      <c r="B769" s="138"/>
      <c r="N769" s="13"/>
      <c r="Q769" s="13"/>
      <c r="S769" s="13"/>
      <c r="U769" s="13"/>
      <c r="W769" s="13"/>
      <c r="Y769" s="13"/>
      <c r="AQ769" s="14"/>
      <c r="AR769" s="14"/>
      <c r="AS769" s="14"/>
    </row>
    <row r="770" ht="15.75" customHeight="1">
      <c r="B770" s="138"/>
      <c r="N770" s="13"/>
      <c r="Q770" s="13"/>
      <c r="S770" s="13"/>
      <c r="U770" s="13"/>
      <c r="W770" s="13"/>
      <c r="Y770" s="13"/>
      <c r="AQ770" s="14"/>
      <c r="AR770" s="14"/>
      <c r="AS770" s="14"/>
    </row>
    <row r="771" ht="15.75" customHeight="1">
      <c r="B771" s="138"/>
      <c r="N771" s="13"/>
      <c r="Q771" s="13"/>
      <c r="S771" s="13"/>
      <c r="U771" s="13"/>
      <c r="W771" s="13"/>
      <c r="Y771" s="13"/>
      <c r="AQ771" s="14"/>
      <c r="AR771" s="14"/>
      <c r="AS771" s="14"/>
    </row>
    <row r="772" ht="15.75" customHeight="1">
      <c r="B772" s="138"/>
      <c r="N772" s="13"/>
      <c r="Q772" s="13"/>
      <c r="S772" s="13"/>
      <c r="U772" s="13"/>
      <c r="W772" s="13"/>
      <c r="Y772" s="13"/>
      <c r="AQ772" s="14"/>
      <c r="AR772" s="14"/>
      <c r="AS772" s="14"/>
    </row>
    <row r="773" ht="15.75" customHeight="1">
      <c r="B773" s="138"/>
      <c r="N773" s="13"/>
      <c r="Q773" s="13"/>
      <c r="S773" s="13"/>
      <c r="U773" s="13"/>
      <c r="W773" s="13"/>
      <c r="Y773" s="13"/>
      <c r="AQ773" s="14"/>
      <c r="AR773" s="14"/>
      <c r="AS773" s="14"/>
    </row>
    <row r="774" ht="15.75" customHeight="1">
      <c r="B774" s="138"/>
      <c r="N774" s="13"/>
      <c r="Q774" s="13"/>
      <c r="S774" s="13"/>
      <c r="U774" s="13"/>
      <c r="W774" s="13"/>
      <c r="Y774" s="13"/>
      <c r="AQ774" s="14"/>
      <c r="AR774" s="14"/>
      <c r="AS774" s="14"/>
    </row>
    <row r="775" ht="15.75" customHeight="1">
      <c r="B775" s="138"/>
      <c r="N775" s="13"/>
      <c r="Q775" s="13"/>
      <c r="S775" s="13"/>
      <c r="U775" s="13"/>
      <c r="W775" s="13"/>
      <c r="Y775" s="13"/>
      <c r="AQ775" s="14"/>
      <c r="AR775" s="14"/>
      <c r="AS775" s="14"/>
    </row>
    <row r="776" ht="15.75" customHeight="1">
      <c r="B776" s="138"/>
      <c r="N776" s="13"/>
      <c r="Q776" s="13"/>
      <c r="S776" s="13"/>
      <c r="U776" s="13"/>
      <c r="W776" s="13"/>
      <c r="Y776" s="13"/>
      <c r="AQ776" s="14"/>
      <c r="AR776" s="14"/>
      <c r="AS776" s="14"/>
    </row>
    <row r="777" ht="15.75" customHeight="1">
      <c r="B777" s="138"/>
      <c r="N777" s="13"/>
      <c r="Q777" s="13"/>
      <c r="S777" s="13"/>
      <c r="U777" s="13"/>
      <c r="W777" s="13"/>
      <c r="Y777" s="13"/>
      <c r="AQ777" s="14"/>
      <c r="AR777" s="14"/>
      <c r="AS777" s="14"/>
    </row>
    <row r="778" ht="15.75" customHeight="1">
      <c r="B778" s="138"/>
      <c r="N778" s="13"/>
      <c r="Q778" s="13"/>
      <c r="S778" s="13"/>
      <c r="U778" s="13"/>
      <c r="W778" s="13"/>
      <c r="Y778" s="13"/>
      <c r="AQ778" s="14"/>
      <c r="AR778" s="14"/>
      <c r="AS778" s="14"/>
    </row>
    <row r="779" ht="15.75" customHeight="1">
      <c r="B779" s="138"/>
      <c r="N779" s="13"/>
      <c r="Q779" s="13"/>
      <c r="S779" s="13"/>
      <c r="U779" s="13"/>
      <c r="W779" s="13"/>
      <c r="Y779" s="13"/>
      <c r="AQ779" s="14"/>
      <c r="AR779" s="14"/>
      <c r="AS779" s="14"/>
    </row>
    <row r="780" ht="15.75" customHeight="1">
      <c r="B780" s="138"/>
      <c r="N780" s="13"/>
      <c r="Q780" s="13"/>
      <c r="S780" s="13"/>
      <c r="U780" s="13"/>
      <c r="W780" s="13"/>
      <c r="Y780" s="13"/>
      <c r="AQ780" s="14"/>
      <c r="AR780" s="14"/>
      <c r="AS780" s="14"/>
    </row>
    <row r="781" ht="15.75" customHeight="1">
      <c r="B781" s="138"/>
      <c r="N781" s="13"/>
      <c r="Q781" s="13"/>
      <c r="S781" s="13"/>
      <c r="U781" s="13"/>
      <c r="W781" s="13"/>
      <c r="Y781" s="13"/>
      <c r="AQ781" s="14"/>
      <c r="AR781" s="14"/>
      <c r="AS781" s="14"/>
    </row>
    <row r="782" ht="15.75" customHeight="1">
      <c r="B782" s="138"/>
      <c r="N782" s="13"/>
      <c r="Q782" s="13"/>
      <c r="S782" s="13"/>
      <c r="U782" s="13"/>
      <c r="W782" s="13"/>
      <c r="Y782" s="13"/>
      <c r="AQ782" s="14"/>
      <c r="AR782" s="14"/>
      <c r="AS782" s="14"/>
    </row>
    <row r="783" ht="15.75" customHeight="1">
      <c r="B783" s="138"/>
      <c r="N783" s="13"/>
      <c r="Q783" s="13"/>
      <c r="S783" s="13"/>
      <c r="U783" s="13"/>
      <c r="W783" s="13"/>
      <c r="Y783" s="13"/>
      <c r="AQ783" s="14"/>
      <c r="AR783" s="14"/>
      <c r="AS783" s="14"/>
    </row>
    <row r="784" ht="15.75" customHeight="1">
      <c r="B784" s="138"/>
      <c r="N784" s="13"/>
      <c r="Q784" s="13"/>
      <c r="S784" s="13"/>
      <c r="U784" s="13"/>
      <c r="W784" s="13"/>
      <c r="Y784" s="13"/>
      <c r="AQ784" s="14"/>
      <c r="AR784" s="14"/>
      <c r="AS784" s="14"/>
    </row>
    <row r="785" ht="15.75" customHeight="1">
      <c r="B785" s="138"/>
      <c r="N785" s="13"/>
      <c r="Q785" s="13"/>
      <c r="S785" s="13"/>
      <c r="U785" s="13"/>
      <c r="W785" s="13"/>
      <c r="Y785" s="13"/>
      <c r="AQ785" s="14"/>
      <c r="AR785" s="14"/>
      <c r="AS785" s="14"/>
    </row>
    <row r="786" ht="15.75" customHeight="1">
      <c r="B786" s="138"/>
      <c r="N786" s="13"/>
      <c r="Q786" s="13"/>
      <c r="S786" s="13"/>
      <c r="U786" s="13"/>
      <c r="W786" s="13"/>
      <c r="Y786" s="13"/>
      <c r="AQ786" s="14"/>
      <c r="AR786" s="14"/>
      <c r="AS786" s="14"/>
    </row>
    <row r="787" ht="15.75" customHeight="1">
      <c r="B787" s="138"/>
      <c r="N787" s="13"/>
      <c r="Q787" s="13"/>
      <c r="S787" s="13"/>
      <c r="U787" s="13"/>
      <c r="W787" s="13"/>
      <c r="Y787" s="13"/>
      <c r="AQ787" s="14"/>
      <c r="AR787" s="14"/>
      <c r="AS787" s="14"/>
    </row>
    <row r="788" ht="15.75" customHeight="1">
      <c r="B788" s="138"/>
      <c r="N788" s="13"/>
      <c r="Q788" s="13"/>
      <c r="S788" s="13"/>
      <c r="U788" s="13"/>
      <c r="W788" s="13"/>
      <c r="Y788" s="13"/>
      <c r="AQ788" s="14"/>
      <c r="AR788" s="14"/>
      <c r="AS788" s="14"/>
    </row>
    <row r="789" ht="15.75" customHeight="1">
      <c r="B789" s="138"/>
      <c r="N789" s="13"/>
      <c r="Q789" s="13"/>
      <c r="S789" s="13"/>
      <c r="U789" s="13"/>
      <c r="W789" s="13"/>
      <c r="Y789" s="13"/>
      <c r="AQ789" s="14"/>
      <c r="AR789" s="14"/>
      <c r="AS789" s="14"/>
    </row>
    <row r="790" ht="15.75" customHeight="1">
      <c r="B790" s="138"/>
      <c r="N790" s="13"/>
      <c r="Q790" s="13"/>
      <c r="S790" s="13"/>
      <c r="U790" s="13"/>
      <c r="W790" s="13"/>
      <c r="Y790" s="13"/>
      <c r="AQ790" s="14"/>
      <c r="AR790" s="14"/>
      <c r="AS790" s="14"/>
    </row>
    <row r="791" ht="15.75" customHeight="1">
      <c r="B791" s="138"/>
      <c r="N791" s="13"/>
      <c r="Q791" s="13"/>
      <c r="S791" s="13"/>
      <c r="U791" s="13"/>
      <c r="W791" s="13"/>
      <c r="Y791" s="13"/>
      <c r="AQ791" s="14"/>
      <c r="AR791" s="14"/>
      <c r="AS791" s="14"/>
    </row>
    <row r="792" ht="15.75" customHeight="1">
      <c r="B792" s="138"/>
      <c r="N792" s="13"/>
      <c r="Q792" s="13"/>
      <c r="S792" s="13"/>
      <c r="U792" s="13"/>
      <c r="W792" s="13"/>
      <c r="Y792" s="13"/>
      <c r="AQ792" s="14"/>
      <c r="AR792" s="14"/>
      <c r="AS792" s="14"/>
    </row>
    <row r="793" ht="15.75" customHeight="1">
      <c r="B793" s="138"/>
      <c r="N793" s="13"/>
      <c r="Q793" s="13"/>
      <c r="S793" s="13"/>
      <c r="U793" s="13"/>
      <c r="W793" s="13"/>
      <c r="Y793" s="13"/>
      <c r="AQ793" s="14"/>
      <c r="AR793" s="14"/>
      <c r="AS793" s="14"/>
    </row>
    <row r="794" ht="15.75" customHeight="1">
      <c r="B794" s="138"/>
      <c r="N794" s="13"/>
      <c r="Q794" s="13"/>
      <c r="S794" s="13"/>
      <c r="U794" s="13"/>
      <c r="W794" s="13"/>
      <c r="Y794" s="13"/>
      <c r="AQ794" s="14"/>
      <c r="AR794" s="14"/>
      <c r="AS794" s="14"/>
    </row>
    <row r="795" ht="15.75" customHeight="1">
      <c r="B795" s="138"/>
      <c r="N795" s="13"/>
      <c r="Q795" s="13"/>
      <c r="S795" s="13"/>
      <c r="U795" s="13"/>
      <c r="W795" s="13"/>
      <c r="Y795" s="13"/>
      <c r="AQ795" s="14"/>
      <c r="AR795" s="14"/>
      <c r="AS795" s="14"/>
    </row>
    <row r="796" ht="15.75" customHeight="1">
      <c r="B796" s="138"/>
      <c r="N796" s="13"/>
      <c r="Q796" s="13"/>
      <c r="S796" s="13"/>
      <c r="U796" s="13"/>
      <c r="W796" s="13"/>
      <c r="Y796" s="13"/>
      <c r="AQ796" s="14"/>
      <c r="AR796" s="14"/>
      <c r="AS796" s="14"/>
    </row>
    <row r="797" ht="15.75" customHeight="1">
      <c r="B797" s="138"/>
      <c r="N797" s="13"/>
      <c r="Q797" s="13"/>
      <c r="S797" s="13"/>
      <c r="U797" s="13"/>
      <c r="W797" s="13"/>
      <c r="Y797" s="13"/>
      <c r="AQ797" s="14"/>
      <c r="AR797" s="14"/>
      <c r="AS797" s="14"/>
    </row>
    <row r="798" ht="15.75" customHeight="1">
      <c r="B798" s="138"/>
      <c r="N798" s="13"/>
      <c r="Q798" s="13"/>
      <c r="S798" s="13"/>
      <c r="U798" s="13"/>
      <c r="W798" s="13"/>
      <c r="Y798" s="13"/>
      <c r="AQ798" s="14"/>
      <c r="AR798" s="14"/>
      <c r="AS798" s="14"/>
    </row>
    <row r="799" ht="15.75" customHeight="1">
      <c r="B799" s="138"/>
      <c r="N799" s="13"/>
      <c r="Q799" s="13"/>
      <c r="S799" s="13"/>
      <c r="U799" s="13"/>
      <c r="W799" s="13"/>
      <c r="Y799" s="13"/>
      <c r="AQ799" s="14"/>
      <c r="AR799" s="14"/>
      <c r="AS799" s="14"/>
    </row>
    <row r="800" ht="15.75" customHeight="1">
      <c r="B800" s="138"/>
      <c r="N800" s="13"/>
      <c r="Q800" s="13"/>
      <c r="S800" s="13"/>
      <c r="U800" s="13"/>
      <c r="W800" s="13"/>
      <c r="Y800" s="13"/>
      <c r="AQ800" s="14"/>
      <c r="AR800" s="14"/>
      <c r="AS800" s="14"/>
    </row>
    <row r="801" ht="15.75" customHeight="1">
      <c r="B801" s="138"/>
      <c r="N801" s="13"/>
      <c r="Q801" s="13"/>
      <c r="S801" s="13"/>
      <c r="U801" s="13"/>
      <c r="W801" s="13"/>
      <c r="Y801" s="13"/>
      <c r="AQ801" s="14"/>
      <c r="AR801" s="14"/>
      <c r="AS801" s="14"/>
    </row>
    <row r="802" ht="15.75" customHeight="1">
      <c r="B802" s="138"/>
      <c r="N802" s="13"/>
      <c r="Q802" s="13"/>
      <c r="S802" s="13"/>
      <c r="U802" s="13"/>
      <c r="W802" s="13"/>
      <c r="Y802" s="13"/>
      <c r="AQ802" s="14"/>
      <c r="AR802" s="14"/>
      <c r="AS802" s="14"/>
    </row>
    <row r="803" ht="15.75" customHeight="1">
      <c r="B803" s="138"/>
      <c r="N803" s="13"/>
      <c r="Q803" s="13"/>
      <c r="S803" s="13"/>
      <c r="U803" s="13"/>
      <c r="W803" s="13"/>
      <c r="Y803" s="13"/>
      <c r="AQ803" s="14"/>
      <c r="AR803" s="14"/>
      <c r="AS803" s="14"/>
    </row>
    <row r="804" ht="15.75" customHeight="1">
      <c r="B804" s="138"/>
      <c r="N804" s="13"/>
      <c r="Q804" s="13"/>
      <c r="S804" s="13"/>
      <c r="U804" s="13"/>
      <c r="W804" s="13"/>
      <c r="Y804" s="13"/>
      <c r="AQ804" s="14"/>
      <c r="AR804" s="14"/>
      <c r="AS804" s="14"/>
    </row>
    <row r="805" ht="15.75" customHeight="1">
      <c r="B805" s="138"/>
      <c r="N805" s="13"/>
      <c r="Q805" s="13"/>
      <c r="S805" s="13"/>
      <c r="U805" s="13"/>
      <c r="W805" s="13"/>
      <c r="Y805" s="13"/>
      <c r="AQ805" s="14"/>
      <c r="AR805" s="14"/>
      <c r="AS805" s="14"/>
    </row>
    <row r="806" ht="15.75" customHeight="1">
      <c r="B806" s="138"/>
      <c r="N806" s="13"/>
      <c r="Q806" s="13"/>
      <c r="S806" s="13"/>
      <c r="U806" s="13"/>
      <c r="W806" s="13"/>
      <c r="Y806" s="13"/>
      <c r="AQ806" s="14"/>
      <c r="AR806" s="14"/>
      <c r="AS806" s="14"/>
    </row>
    <row r="807" ht="15.75" customHeight="1">
      <c r="B807" s="138"/>
      <c r="N807" s="13"/>
      <c r="Q807" s="13"/>
      <c r="S807" s="13"/>
      <c r="U807" s="13"/>
      <c r="W807" s="13"/>
      <c r="Y807" s="13"/>
      <c r="AQ807" s="14"/>
      <c r="AR807" s="14"/>
      <c r="AS807" s="14"/>
    </row>
    <row r="808" ht="15.75" customHeight="1">
      <c r="B808" s="138"/>
      <c r="N808" s="13"/>
      <c r="Q808" s="13"/>
      <c r="S808" s="13"/>
      <c r="U808" s="13"/>
      <c r="W808" s="13"/>
      <c r="Y808" s="13"/>
      <c r="AQ808" s="14"/>
      <c r="AR808" s="14"/>
      <c r="AS808" s="14"/>
    </row>
    <row r="809" ht="15.75" customHeight="1">
      <c r="B809" s="138"/>
      <c r="N809" s="13"/>
      <c r="Q809" s="13"/>
      <c r="S809" s="13"/>
      <c r="U809" s="13"/>
      <c r="W809" s="13"/>
      <c r="Y809" s="13"/>
      <c r="AQ809" s="14"/>
      <c r="AR809" s="14"/>
      <c r="AS809" s="14"/>
    </row>
    <row r="810" ht="15.75" customHeight="1">
      <c r="B810" s="138"/>
      <c r="N810" s="13"/>
      <c r="Q810" s="13"/>
      <c r="S810" s="13"/>
      <c r="U810" s="13"/>
      <c r="W810" s="13"/>
      <c r="Y810" s="13"/>
      <c r="AQ810" s="14"/>
      <c r="AR810" s="14"/>
      <c r="AS810" s="14"/>
    </row>
    <row r="811" ht="15.75" customHeight="1">
      <c r="B811" s="138"/>
      <c r="N811" s="13"/>
      <c r="Q811" s="13"/>
      <c r="S811" s="13"/>
      <c r="U811" s="13"/>
      <c r="W811" s="13"/>
      <c r="Y811" s="13"/>
      <c r="AQ811" s="14"/>
      <c r="AR811" s="14"/>
      <c r="AS811" s="14"/>
    </row>
    <row r="812" ht="15.75" customHeight="1">
      <c r="B812" s="138"/>
      <c r="N812" s="13"/>
      <c r="Q812" s="13"/>
      <c r="S812" s="13"/>
      <c r="U812" s="13"/>
      <c r="W812" s="13"/>
      <c r="Y812" s="13"/>
      <c r="AQ812" s="14"/>
      <c r="AR812" s="14"/>
      <c r="AS812" s="14"/>
    </row>
    <row r="813" ht="15.75" customHeight="1">
      <c r="B813" s="138"/>
      <c r="N813" s="13"/>
      <c r="Q813" s="13"/>
      <c r="S813" s="13"/>
      <c r="U813" s="13"/>
      <c r="W813" s="13"/>
      <c r="Y813" s="13"/>
      <c r="AQ813" s="14"/>
      <c r="AR813" s="14"/>
      <c r="AS813" s="14"/>
    </row>
    <row r="814" ht="15.75" customHeight="1">
      <c r="B814" s="138"/>
      <c r="N814" s="13"/>
      <c r="Q814" s="13"/>
      <c r="S814" s="13"/>
      <c r="U814" s="13"/>
      <c r="W814" s="13"/>
      <c r="Y814" s="13"/>
      <c r="AQ814" s="14"/>
      <c r="AR814" s="14"/>
      <c r="AS814" s="14"/>
    </row>
    <row r="815" ht="15.75" customHeight="1">
      <c r="B815" s="138"/>
      <c r="N815" s="13"/>
      <c r="Q815" s="13"/>
      <c r="S815" s="13"/>
      <c r="U815" s="13"/>
      <c r="W815" s="13"/>
      <c r="Y815" s="13"/>
      <c r="AQ815" s="14"/>
      <c r="AR815" s="14"/>
      <c r="AS815" s="14"/>
    </row>
    <row r="816" ht="15.75" customHeight="1">
      <c r="B816" s="138"/>
      <c r="N816" s="13"/>
      <c r="Q816" s="13"/>
      <c r="S816" s="13"/>
      <c r="U816" s="13"/>
      <c r="W816" s="13"/>
      <c r="Y816" s="13"/>
      <c r="AQ816" s="14"/>
      <c r="AR816" s="14"/>
      <c r="AS816" s="14"/>
    </row>
    <row r="817" ht="15.75" customHeight="1">
      <c r="B817" s="138"/>
      <c r="N817" s="13"/>
      <c r="Q817" s="13"/>
      <c r="S817" s="13"/>
      <c r="U817" s="13"/>
      <c r="W817" s="13"/>
      <c r="Y817" s="13"/>
      <c r="AQ817" s="14"/>
      <c r="AR817" s="14"/>
      <c r="AS817" s="14"/>
    </row>
    <row r="818" ht="15.75" customHeight="1">
      <c r="B818" s="138"/>
      <c r="N818" s="13"/>
      <c r="Q818" s="13"/>
      <c r="S818" s="13"/>
      <c r="U818" s="13"/>
      <c r="W818" s="13"/>
      <c r="Y818" s="13"/>
      <c r="AQ818" s="14"/>
      <c r="AR818" s="14"/>
      <c r="AS818" s="14"/>
    </row>
    <row r="819" ht="15.75" customHeight="1">
      <c r="B819" s="138"/>
      <c r="N819" s="13"/>
      <c r="Q819" s="13"/>
      <c r="S819" s="13"/>
      <c r="U819" s="13"/>
      <c r="W819" s="13"/>
      <c r="Y819" s="13"/>
      <c r="AQ819" s="14"/>
      <c r="AR819" s="14"/>
      <c r="AS819" s="14"/>
    </row>
    <row r="820" ht="15.75" customHeight="1">
      <c r="B820" s="138"/>
      <c r="N820" s="13"/>
      <c r="Q820" s="13"/>
      <c r="S820" s="13"/>
      <c r="U820" s="13"/>
      <c r="W820" s="13"/>
      <c r="Y820" s="13"/>
      <c r="AQ820" s="14"/>
      <c r="AR820" s="14"/>
      <c r="AS820" s="14"/>
    </row>
    <row r="821" ht="15.75" customHeight="1">
      <c r="B821" s="138"/>
      <c r="N821" s="13"/>
      <c r="Q821" s="13"/>
      <c r="S821" s="13"/>
      <c r="U821" s="13"/>
      <c r="W821" s="13"/>
      <c r="Y821" s="13"/>
      <c r="AQ821" s="14"/>
      <c r="AR821" s="14"/>
      <c r="AS821" s="14"/>
    </row>
    <row r="822" ht="15.75" customHeight="1">
      <c r="B822" s="138"/>
      <c r="N822" s="13"/>
      <c r="Q822" s="13"/>
      <c r="S822" s="13"/>
      <c r="U822" s="13"/>
      <c r="W822" s="13"/>
      <c r="Y822" s="13"/>
      <c r="AQ822" s="14"/>
      <c r="AR822" s="14"/>
      <c r="AS822" s="14"/>
    </row>
    <row r="823" ht="15.75" customHeight="1">
      <c r="B823" s="138"/>
      <c r="N823" s="13"/>
      <c r="Q823" s="13"/>
      <c r="S823" s="13"/>
      <c r="U823" s="13"/>
      <c r="W823" s="13"/>
      <c r="Y823" s="13"/>
      <c r="AQ823" s="14"/>
      <c r="AR823" s="14"/>
      <c r="AS823" s="14"/>
    </row>
    <row r="824" ht="15.75" customHeight="1">
      <c r="B824" s="138"/>
      <c r="N824" s="13"/>
      <c r="Q824" s="13"/>
      <c r="S824" s="13"/>
      <c r="U824" s="13"/>
      <c r="W824" s="13"/>
      <c r="Y824" s="13"/>
      <c r="AQ824" s="14"/>
      <c r="AR824" s="14"/>
      <c r="AS824" s="14"/>
    </row>
    <row r="825" ht="15.75" customHeight="1">
      <c r="B825" s="138"/>
      <c r="N825" s="13"/>
      <c r="Q825" s="13"/>
      <c r="S825" s="13"/>
      <c r="U825" s="13"/>
      <c r="W825" s="13"/>
      <c r="Y825" s="13"/>
      <c r="AQ825" s="14"/>
      <c r="AR825" s="14"/>
      <c r="AS825" s="14"/>
    </row>
    <row r="826" ht="15.75" customHeight="1">
      <c r="B826" s="138"/>
      <c r="N826" s="13"/>
      <c r="Q826" s="13"/>
      <c r="S826" s="13"/>
      <c r="U826" s="13"/>
      <c r="W826" s="13"/>
      <c r="Y826" s="13"/>
      <c r="AQ826" s="14"/>
      <c r="AR826" s="14"/>
      <c r="AS826" s="14"/>
    </row>
    <row r="827" ht="15.75" customHeight="1">
      <c r="B827" s="138"/>
      <c r="N827" s="13"/>
      <c r="Q827" s="13"/>
      <c r="S827" s="13"/>
      <c r="U827" s="13"/>
      <c r="W827" s="13"/>
      <c r="Y827" s="13"/>
      <c r="AQ827" s="14"/>
      <c r="AR827" s="14"/>
      <c r="AS827" s="14"/>
    </row>
    <row r="828" ht="15.75" customHeight="1">
      <c r="B828" s="138"/>
      <c r="N828" s="13"/>
      <c r="Q828" s="13"/>
      <c r="S828" s="13"/>
      <c r="U828" s="13"/>
      <c r="W828" s="13"/>
      <c r="Y828" s="13"/>
      <c r="AQ828" s="14"/>
      <c r="AR828" s="14"/>
      <c r="AS828" s="14"/>
    </row>
    <row r="829" ht="15.75" customHeight="1">
      <c r="B829" s="138"/>
      <c r="N829" s="13"/>
      <c r="Q829" s="13"/>
      <c r="S829" s="13"/>
      <c r="U829" s="13"/>
      <c r="W829" s="13"/>
      <c r="Y829" s="13"/>
      <c r="AQ829" s="14"/>
      <c r="AR829" s="14"/>
      <c r="AS829" s="14"/>
    </row>
    <row r="830" ht="15.75" customHeight="1">
      <c r="B830" s="138"/>
      <c r="N830" s="13"/>
      <c r="Q830" s="13"/>
      <c r="S830" s="13"/>
      <c r="U830" s="13"/>
      <c r="W830" s="13"/>
      <c r="Y830" s="13"/>
      <c r="AQ830" s="14"/>
      <c r="AR830" s="14"/>
      <c r="AS830" s="14"/>
    </row>
    <row r="831" ht="15.75" customHeight="1">
      <c r="B831" s="138"/>
      <c r="N831" s="13"/>
      <c r="Q831" s="13"/>
      <c r="S831" s="13"/>
      <c r="U831" s="13"/>
      <c r="W831" s="13"/>
      <c r="Y831" s="13"/>
      <c r="AQ831" s="14"/>
      <c r="AR831" s="14"/>
      <c r="AS831" s="14"/>
    </row>
    <row r="832" ht="15.75" customHeight="1">
      <c r="B832" s="138"/>
      <c r="N832" s="13"/>
      <c r="Q832" s="13"/>
      <c r="S832" s="13"/>
      <c r="U832" s="13"/>
      <c r="W832" s="13"/>
      <c r="Y832" s="13"/>
      <c r="AQ832" s="14"/>
      <c r="AR832" s="14"/>
      <c r="AS832" s="14"/>
    </row>
    <row r="833" ht="15.75" customHeight="1">
      <c r="B833" s="138"/>
      <c r="N833" s="13"/>
      <c r="Q833" s="13"/>
      <c r="S833" s="13"/>
      <c r="U833" s="13"/>
      <c r="W833" s="13"/>
      <c r="Y833" s="13"/>
      <c r="AQ833" s="14"/>
      <c r="AR833" s="14"/>
      <c r="AS833" s="14"/>
    </row>
    <row r="834" ht="15.75" customHeight="1">
      <c r="B834" s="138"/>
      <c r="N834" s="13"/>
      <c r="Q834" s="13"/>
      <c r="S834" s="13"/>
      <c r="U834" s="13"/>
      <c r="W834" s="13"/>
      <c r="Y834" s="13"/>
      <c r="AQ834" s="14"/>
      <c r="AR834" s="14"/>
      <c r="AS834" s="14"/>
    </row>
    <row r="835" ht="15.75" customHeight="1">
      <c r="B835" s="138"/>
      <c r="N835" s="13"/>
      <c r="Q835" s="13"/>
      <c r="S835" s="13"/>
      <c r="U835" s="13"/>
      <c r="W835" s="13"/>
      <c r="Y835" s="13"/>
      <c r="AQ835" s="14"/>
      <c r="AR835" s="14"/>
      <c r="AS835" s="14"/>
    </row>
    <row r="836" ht="15.75" customHeight="1">
      <c r="B836" s="138"/>
      <c r="N836" s="13"/>
      <c r="Q836" s="13"/>
      <c r="S836" s="13"/>
      <c r="U836" s="13"/>
      <c r="W836" s="13"/>
      <c r="Y836" s="13"/>
      <c r="AQ836" s="14"/>
      <c r="AR836" s="14"/>
      <c r="AS836" s="14"/>
    </row>
    <row r="837" ht="15.75" customHeight="1">
      <c r="B837" s="138"/>
      <c r="N837" s="13"/>
      <c r="Q837" s="13"/>
      <c r="S837" s="13"/>
      <c r="U837" s="13"/>
      <c r="W837" s="13"/>
      <c r="Y837" s="13"/>
      <c r="AQ837" s="14"/>
      <c r="AR837" s="14"/>
      <c r="AS837" s="14"/>
    </row>
    <row r="838" ht="15.75" customHeight="1">
      <c r="B838" s="138"/>
      <c r="N838" s="13"/>
      <c r="Q838" s="13"/>
      <c r="S838" s="13"/>
      <c r="U838" s="13"/>
      <c r="W838" s="13"/>
      <c r="Y838" s="13"/>
      <c r="AQ838" s="14"/>
      <c r="AR838" s="14"/>
      <c r="AS838" s="14"/>
    </row>
    <row r="839" ht="15.75" customHeight="1">
      <c r="B839" s="138"/>
      <c r="N839" s="13"/>
      <c r="Q839" s="13"/>
      <c r="S839" s="13"/>
      <c r="U839" s="13"/>
      <c r="W839" s="13"/>
      <c r="Y839" s="13"/>
      <c r="AQ839" s="14"/>
      <c r="AR839" s="14"/>
      <c r="AS839" s="14"/>
    </row>
    <row r="840" ht="15.75" customHeight="1">
      <c r="B840" s="138"/>
      <c r="N840" s="13"/>
      <c r="Q840" s="13"/>
      <c r="S840" s="13"/>
      <c r="U840" s="13"/>
      <c r="W840" s="13"/>
      <c r="Y840" s="13"/>
      <c r="AQ840" s="14"/>
      <c r="AR840" s="14"/>
      <c r="AS840" s="14"/>
    </row>
    <row r="841" ht="15.75" customHeight="1">
      <c r="B841" s="138"/>
      <c r="N841" s="13"/>
      <c r="Q841" s="13"/>
      <c r="S841" s="13"/>
      <c r="U841" s="13"/>
      <c r="W841" s="13"/>
      <c r="Y841" s="13"/>
      <c r="AQ841" s="14"/>
      <c r="AR841" s="14"/>
      <c r="AS841" s="14"/>
    </row>
    <row r="842" ht="15.75" customHeight="1">
      <c r="B842" s="138"/>
      <c r="N842" s="13"/>
      <c r="Q842" s="13"/>
      <c r="S842" s="13"/>
      <c r="U842" s="13"/>
      <c r="W842" s="13"/>
      <c r="Y842" s="13"/>
      <c r="AQ842" s="14"/>
      <c r="AR842" s="14"/>
      <c r="AS842" s="14"/>
    </row>
    <row r="843" ht="15.75" customHeight="1">
      <c r="B843" s="138"/>
      <c r="N843" s="13"/>
      <c r="Q843" s="13"/>
      <c r="S843" s="13"/>
      <c r="U843" s="13"/>
      <c r="W843" s="13"/>
      <c r="Y843" s="13"/>
      <c r="AQ843" s="14"/>
      <c r="AR843" s="14"/>
      <c r="AS843" s="14"/>
    </row>
    <row r="844" ht="15.75" customHeight="1">
      <c r="B844" s="138"/>
      <c r="N844" s="13"/>
      <c r="Q844" s="13"/>
      <c r="S844" s="13"/>
      <c r="U844" s="13"/>
      <c r="W844" s="13"/>
      <c r="Y844" s="13"/>
      <c r="AQ844" s="14"/>
      <c r="AR844" s="14"/>
      <c r="AS844" s="14"/>
    </row>
    <row r="845" ht="15.75" customHeight="1">
      <c r="B845" s="138"/>
      <c r="N845" s="13"/>
      <c r="Q845" s="13"/>
      <c r="S845" s="13"/>
      <c r="U845" s="13"/>
      <c r="W845" s="13"/>
      <c r="Y845" s="13"/>
      <c r="AQ845" s="14"/>
      <c r="AR845" s="14"/>
      <c r="AS845" s="14"/>
    </row>
    <row r="846" ht="15.75" customHeight="1">
      <c r="B846" s="138"/>
      <c r="N846" s="13"/>
      <c r="Q846" s="13"/>
      <c r="S846" s="13"/>
      <c r="U846" s="13"/>
      <c r="W846" s="13"/>
      <c r="Y846" s="13"/>
      <c r="AQ846" s="14"/>
      <c r="AR846" s="14"/>
      <c r="AS846" s="14"/>
    </row>
    <row r="847" ht="15.75" customHeight="1">
      <c r="B847" s="138"/>
      <c r="N847" s="13"/>
      <c r="Q847" s="13"/>
      <c r="S847" s="13"/>
      <c r="U847" s="13"/>
      <c r="W847" s="13"/>
      <c r="Y847" s="13"/>
      <c r="AQ847" s="14"/>
      <c r="AR847" s="14"/>
      <c r="AS847" s="14"/>
    </row>
    <row r="848" ht="15.75" customHeight="1">
      <c r="B848" s="138"/>
      <c r="N848" s="13"/>
      <c r="Q848" s="13"/>
      <c r="S848" s="13"/>
      <c r="U848" s="13"/>
      <c r="W848" s="13"/>
      <c r="Y848" s="13"/>
      <c r="AQ848" s="14"/>
      <c r="AR848" s="14"/>
      <c r="AS848" s="14"/>
    </row>
    <row r="849" ht="15.75" customHeight="1">
      <c r="B849" s="138"/>
      <c r="N849" s="13"/>
      <c r="Q849" s="13"/>
      <c r="S849" s="13"/>
      <c r="U849" s="13"/>
      <c r="W849" s="13"/>
      <c r="Y849" s="13"/>
      <c r="AQ849" s="14"/>
      <c r="AR849" s="14"/>
      <c r="AS849" s="14"/>
    </row>
    <row r="850" ht="15.75" customHeight="1">
      <c r="B850" s="138"/>
      <c r="N850" s="13"/>
      <c r="Q850" s="13"/>
      <c r="S850" s="13"/>
      <c r="U850" s="13"/>
      <c r="W850" s="13"/>
      <c r="Y850" s="13"/>
      <c r="AQ850" s="14"/>
      <c r="AR850" s="14"/>
      <c r="AS850" s="14"/>
    </row>
    <row r="851" ht="15.75" customHeight="1">
      <c r="B851" s="138"/>
      <c r="N851" s="13"/>
      <c r="Q851" s="13"/>
      <c r="S851" s="13"/>
      <c r="U851" s="13"/>
      <c r="W851" s="13"/>
      <c r="Y851" s="13"/>
      <c r="AQ851" s="14"/>
      <c r="AR851" s="14"/>
      <c r="AS851" s="14"/>
    </row>
    <row r="852" ht="15.75" customHeight="1">
      <c r="B852" s="138"/>
      <c r="N852" s="13"/>
      <c r="Q852" s="13"/>
      <c r="S852" s="13"/>
      <c r="U852" s="13"/>
      <c r="W852" s="13"/>
      <c r="Y852" s="13"/>
      <c r="AQ852" s="14"/>
      <c r="AR852" s="14"/>
      <c r="AS852" s="14"/>
    </row>
    <row r="853" ht="15.75" customHeight="1">
      <c r="B853" s="138"/>
      <c r="N853" s="13"/>
      <c r="Q853" s="13"/>
      <c r="S853" s="13"/>
      <c r="U853" s="13"/>
      <c r="W853" s="13"/>
      <c r="Y853" s="13"/>
      <c r="AQ853" s="14"/>
      <c r="AR853" s="14"/>
      <c r="AS853" s="14"/>
    </row>
    <row r="854" ht="15.75" customHeight="1">
      <c r="B854" s="138"/>
      <c r="N854" s="13"/>
      <c r="Q854" s="13"/>
      <c r="S854" s="13"/>
      <c r="U854" s="13"/>
      <c r="W854" s="13"/>
      <c r="Y854" s="13"/>
      <c r="AQ854" s="14"/>
      <c r="AR854" s="14"/>
      <c r="AS854" s="14"/>
    </row>
    <row r="855" ht="15.75" customHeight="1">
      <c r="B855" s="138"/>
      <c r="N855" s="13"/>
      <c r="Q855" s="13"/>
      <c r="S855" s="13"/>
      <c r="U855" s="13"/>
      <c r="W855" s="13"/>
      <c r="Y855" s="13"/>
      <c r="AQ855" s="14"/>
      <c r="AR855" s="14"/>
      <c r="AS855" s="14"/>
    </row>
    <row r="856" ht="15.75" customHeight="1">
      <c r="B856" s="138"/>
      <c r="N856" s="13"/>
      <c r="Q856" s="13"/>
      <c r="S856" s="13"/>
      <c r="U856" s="13"/>
      <c r="W856" s="13"/>
      <c r="Y856" s="13"/>
      <c r="AQ856" s="14"/>
      <c r="AR856" s="14"/>
      <c r="AS856" s="14"/>
    </row>
    <row r="857" ht="15.75" customHeight="1">
      <c r="B857" s="138"/>
      <c r="N857" s="13"/>
      <c r="Q857" s="13"/>
      <c r="S857" s="13"/>
      <c r="U857" s="13"/>
      <c r="W857" s="13"/>
      <c r="Y857" s="13"/>
      <c r="AQ857" s="14"/>
      <c r="AR857" s="14"/>
      <c r="AS857" s="14"/>
    </row>
    <row r="858" ht="15.75" customHeight="1">
      <c r="B858" s="138"/>
      <c r="N858" s="13"/>
      <c r="Q858" s="13"/>
      <c r="S858" s="13"/>
      <c r="U858" s="13"/>
      <c r="W858" s="13"/>
      <c r="Y858" s="13"/>
      <c r="AQ858" s="14"/>
      <c r="AR858" s="14"/>
      <c r="AS858" s="14"/>
    </row>
    <row r="859" ht="15.75" customHeight="1">
      <c r="B859" s="138"/>
      <c r="N859" s="13"/>
      <c r="Q859" s="13"/>
      <c r="S859" s="13"/>
      <c r="U859" s="13"/>
      <c r="W859" s="13"/>
      <c r="Y859" s="13"/>
      <c r="AQ859" s="14"/>
      <c r="AR859" s="14"/>
      <c r="AS859" s="14"/>
    </row>
    <row r="860" ht="15.75" customHeight="1">
      <c r="B860" s="138"/>
      <c r="N860" s="13"/>
      <c r="Q860" s="13"/>
      <c r="S860" s="13"/>
      <c r="U860" s="13"/>
      <c r="W860" s="13"/>
      <c r="Y860" s="13"/>
      <c r="AQ860" s="14"/>
      <c r="AR860" s="14"/>
      <c r="AS860" s="14"/>
    </row>
    <row r="861" ht="15.75" customHeight="1">
      <c r="B861" s="138"/>
      <c r="N861" s="13"/>
      <c r="Q861" s="13"/>
      <c r="S861" s="13"/>
      <c r="U861" s="13"/>
      <c r="W861" s="13"/>
      <c r="Y861" s="13"/>
      <c r="AQ861" s="14"/>
      <c r="AR861" s="14"/>
      <c r="AS861" s="14"/>
    </row>
    <row r="862" ht="15.75" customHeight="1">
      <c r="B862" s="138"/>
      <c r="N862" s="13"/>
      <c r="Q862" s="13"/>
      <c r="S862" s="13"/>
      <c r="U862" s="13"/>
      <c r="W862" s="13"/>
      <c r="Y862" s="13"/>
      <c r="AQ862" s="14"/>
      <c r="AR862" s="14"/>
      <c r="AS862" s="14"/>
    </row>
    <row r="863" ht="15.75" customHeight="1">
      <c r="B863" s="138"/>
      <c r="N863" s="13"/>
      <c r="Q863" s="13"/>
      <c r="S863" s="13"/>
      <c r="U863" s="13"/>
      <c r="W863" s="13"/>
      <c r="Y863" s="13"/>
      <c r="AQ863" s="14"/>
      <c r="AR863" s="14"/>
      <c r="AS863" s="14"/>
    </row>
    <row r="864" ht="15.75" customHeight="1">
      <c r="B864" s="138"/>
      <c r="N864" s="13"/>
      <c r="Q864" s="13"/>
      <c r="S864" s="13"/>
      <c r="U864" s="13"/>
      <c r="W864" s="13"/>
      <c r="Y864" s="13"/>
      <c r="AQ864" s="14"/>
      <c r="AR864" s="14"/>
      <c r="AS864" s="14"/>
    </row>
    <row r="865" ht="15.75" customHeight="1">
      <c r="B865" s="138"/>
      <c r="N865" s="13"/>
      <c r="Q865" s="13"/>
      <c r="S865" s="13"/>
      <c r="U865" s="13"/>
      <c r="W865" s="13"/>
      <c r="Y865" s="13"/>
      <c r="AQ865" s="14"/>
      <c r="AR865" s="14"/>
      <c r="AS865" s="14"/>
    </row>
    <row r="866" ht="15.75" customHeight="1">
      <c r="B866" s="138"/>
      <c r="N866" s="13"/>
      <c r="Q866" s="13"/>
      <c r="S866" s="13"/>
      <c r="U866" s="13"/>
      <c r="W866" s="13"/>
      <c r="Y866" s="13"/>
      <c r="AQ866" s="14"/>
      <c r="AR866" s="14"/>
      <c r="AS866" s="14"/>
    </row>
    <row r="867" ht="15.75" customHeight="1">
      <c r="B867" s="138"/>
      <c r="N867" s="13"/>
      <c r="Q867" s="13"/>
      <c r="S867" s="13"/>
      <c r="U867" s="13"/>
      <c r="W867" s="13"/>
      <c r="Y867" s="13"/>
      <c r="AQ867" s="14"/>
      <c r="AR867" s="14"/>
      <c r="AS867" s="14"/>
    </row>
    <row r="868" ht="15.75" customHeight="1">
      <c r="B868" s="138"/>
      <c r="N868" s="13"/>
      <c r="Q868" s="13"/>
      <c r="S868" s="13"/>
      <c r="U868" s="13"/>
      <c r="W868" s="13"/>
      <c r="Y868" s="13"/>
      <c r="AQ868" s="14"/>
      <c r="AR868" s="14"/>
      <c r="AS868" s="14"/>
    </row>
    <row r="869" ht="15.75" customHeight="1">
      <c r="B869" s="138"/>
      <c r="N869" s="13"/>
      <c r="Q869" s="13"/>
      <c r="S869" s="13"/>
      <c r="U869" s="13"/>
      <c r="W869" s="13"/>
      <c r="Y869" s="13"/>
      <c r="AQ869" s="14"/>
      <c r="AR869" s="14"/>
      <c r="AS869" s="14"/>
    </row>
    <row r="870" ht="15.75" customHeight="1">
      <c r="B870" s="138"/>
      <c r="N870" s="13"/>
      <c r="Q870" s="13"/>
      <c r="S870" s="13"/>
      <c r="U870" s="13"/>
      <c r="W870" s="13"/>
      <c r="Y870" s="13"/>
      <c r="AQ870" s="14"/>
      <c r="AR870" s="14"/>
      <c r="AS870" s="14"/>
    </row>
    <row r="871" ht="15.75" customHeight="1">
      <c r="B871" s="138"/>
      <c r="N871" s="13"/>
      <c r="Q871" s="13"/>
      <c r="S871" s="13"/>
      <c r="U871" s="13"/>
      <c r="W871" s="13"/>
      <c r="Y871" s="13"/>
      <c r="AQ871" s="14"/>
      <c r="AR871" s="14"/>
      <c r="AS871" s="14"/>
    </row>
    <row r="872" ht="15.75" customHeight="1">
      <c r="B872" s="138"/>
      <c r="N872" s="13"/>
      <c r="Q872" s="13"/>
      <c r="S872" s="13"/>
      <c r="U872" s="13"/>
      <c r="W872" s="13"/>
      <c r="Y872" s="13"/>
      <c r="AQ872" s="14"/>
      <c r="AR872" s="14"/>
      <c r="AS872" s="14"/>
    </row>
    <row r="873" ht="15.75" customHeight="1">
      <c r="B873" s="138"/>
      <c r="N873" s="13"/>
      <c r="Q873" s="13"/>
      <c r="S873" s="13"/>
      <c r="U873" s="13"/>
      <c r="W873" s="13"/>
      <c r="Y873" s="13"/>
      <c r="AQ873" s="14"/>
      <c r="AR873" s="14"/>
      <c r="AS873" s="14"/>
    </row>
    <row r="874" ht="15.75" customHeight="1">
      <c r="B874" s="138"/>
      <c r="N874" s="13"/>
      <c r="Q874" s="13"/>
      <c r="S874" s="13"/>
      <c r="U874" s="13"/>
      <c r="W874" s="13"/>
      <c r="Y874" s="13"/>
      <c r="AQ874" s="14"/>
      <c r="AR874" s="14"/>
      <c r="AS874" s="14"/>
    </row>
    <row r="875" ht="15.75" customHeight="1">
      <c r="B875" s="138"/>
      <c r="N875" s="13"/>
      <c r="Q875" s="13"/>
      <c r="S875" s="13"/>
      <c r="U875" s="13"/>
      <c r="W875" s="13"/>
      <c r="Y875" s="13"/>
      <c r="AQ875" s="14"/>
      <c r="AR875" s="14"/>
      <c r="AS875" s="14"/>
    </row>
    <row r="876" ht="15.75" customHeight="1">
      <c r="B876" s="138"/>
      <c r="N876" s="13"/>
      <c r="Q876" s="13"/>
      <c r="S876" s="13"/>
      <c r="U876" s="13"/>
      <c r="W876" s="13"/>
      <c r="Y876" s="13"/>
      <c r="AQ876" s="14"/>
      <c r="AR876" s="14"/>
      <c r="AS876" s="14"/>
    </row>
    <row r="877" ht="15.75" customHeight="1">
      <c r="B877" s="138"/>
      <c r="N877" s="13"/>
      <c r="Q877" s="13"/>
      <c r="S877" s="13"/>
      <c r="U877" s="13"/>
      <c r="W877" s="13"/>
      <c r="Y877" s="13"/>
      <c r="AQ877" s="14"/>
      <c r="AR877" s="14"/>
      <c r="AS877" s="14"/>
    </row>
    <row r="878" ht="15.75" customHeight="1">
      <c r="B878" s="138"/>
      <c r="N878" s="13"/>
      <c r="Q878" s="13"/>
      <c r="S878" s="13"/>
      <c r="U878" s="13"/>
      <c r="W878" s="13"/>
      <c r="Y878" s="13"/>
      <c r="AQ878" s="14"/>
      <c r="AR878" s="14"/>
      <c r="AS878" s="14"/>
    </row>
    <row r="879" ht="15.75" customHeight="1">
      <c r="B879" s="138"/>
      <c r="N879" s="13"/>
      <c r="Q879" s="13"/>
      <c r="S879" s="13"/>
      <c r="U879" s="13"/>
      <c r="W879" s="13"/>
      <c r="Y879" s="13"/>
      <c r="AQ879" s="14"/>
      <c r="AR879" s="14"/>
      <c r="AS879" s="14"/>
    </row>
    <row r="880" ht="15.75" customHeight="1">
      <c r="B880" s="138"/>
      <c r="N880" s="13"/>
      <c r="Q880" s="13"/>
      <c r="S880" s="13"/>
      <c r="U880" s="13"/>
      <c r="W880" s="13"/>
      <c r="Y880" s="13"/>
      <c r="AQ880" s="14"/>
      <c r="AR880" s="14"/>
      <c r="AS880" s="14"/>
    </row>
    <row r="881" ht="15.75" customHeight="1">
      <c r="B881" s="138"/>
      <c r="N881" s="13"/>
      <c r="Q881" s="13"/>
      <c r="S881" s="13"/>
      <c r="U881" s="13"/>
      <c r="W881" s="13"/>
      <c r="Y881" s="13"/>
      <c r="AQ881" s="14"/>
      <c r="AR881" s="14"/>
      <c r="AS881" s="14"/>
    </row>
    <row r="882" ht="15.75" customHeight="1">
      <c r="B882" s="138"/>
      <c r="N882" s="13"/>
      <c r="Q882" s="13"/>
      <c r="S882" s="13"/>
      <c r="U882" s="13"/>
      <c r="W882" s="13"/>
      <c r="Y882" s="13"/>
      <c r="AQ882" s="14"/>
      <c r="AR882" s="14"/>
      <c r="AS882" s="14"/>
    </row>
    <row r="883" ht="15.75" customHeight="1">
      <c r="B883" s="138"/>
      <c r="N883" s="13"/>
      <c r="Q883" s="13"/>
      <c r="S883" s="13"/>
      <c r="U883" s="13"/>
      <c r="W883" s="13"/>
      <c r="Y883" s="13"/>
      <c r="AQ883" s="14"/>
      <c r="AR883" s="14"/>
      <c r="AS883" s="14"/>
    </row>
    <row r="884" ht="15.75" customHeight="1">
      <c r="B884" s="138"/>
      <c r="N884" s="13"/>
      <c r="Q884" s="13"/>
      <c r="S884" s="13"/>
      <c r="U884" s="13"/>
      <c r="W884" s="13"/>
      <c r="Y884" s="13"/>
      <c r="AQ884" s="14"/>
      <c r="AR884" s="14"/>
      <c r="AS884" s="14"/>
    </row>
    <row r="885" ht="15.75" customHeight="1">
      <c r="B885" s="138"/>
      <c r="N885" s="13"/>
      <c r="Q885" s="13"/>
      <c r="S885" s="13"/>
      <c r="U885" s="13"/>
      <c r="W885" s="13"/>
      <c r="Y885" s="13"/>
      <c r="AQ885" s="14"/>
      <c r="AR885" s="14"/>
      <c r="AS885" s="14"/>
    </row>
    <row r="886" ht="15.75" customHeight="1">
      <c r="B886" s="138"/>
      <c r="N886" s="13"/>
      <c r="Q886" s="13"/>
      <c r="S886" s="13"/>
      <c r="U886" s="13"/>
      <c r="W886" s="13"/>
      <c r="Y886" s="13"/>
      <c r="AQ886" s="14"/>
      <c r="AR886" s="14"/>
      <c r="AS886" s="14"/>
    </row>
    <row r="887" ht="15.75" customHeight="1">
      <c r="B887" s="138"/>
      <c r="N887" s="13"/>
      <c r="Q887" s="13"/>
      <c r="S887" s="13"/>
      <c r="U887" s="13"/>
      <c r="W887" s="13"/>
      <c r="Y887" s="13"/>
      <c r="AQ887" s="14"/>
      <c r="AR887" s="14"/>
      <c r="AS887" s="14"/>
    </row>
    <row r="888" ht="15.75" customHeight="1">
      <c r="B888" s="138"/>
      <c r="N888" s="13"/>
      <c r="Q888" s="13"/>
      <c r="S888" s="13"/>
      <c r="U888" s="13"/>
      <c r="W888" s="13"/>
      <c r="Y888" s="13"/>
      <c r="AQ888" s="14"/>
      <c r="AR888" s="14"/>
      <c r="AS888" s="14"/>
    </row>
    <row r="889" ht="15.75" customHeight="1">
      <c r="B889" s="138"/>
      <c r="N889" s="13"/>
      <c r="Q889" s="13"/>
      <c r="S889" s="13"/>
      <c r="U889" s="13"/>
      <c r="W889" s="13"/>
      <c r="Y889" s="13"/>
      <c r="AQ889" s="14"/>
      <c r="AR889" s="14"/>
      <c r="AS889" s="14"/>
    </row>
    <row r="890" ht="15.75" customHeight="1">
      <c r="B890" s="138"/>
      <c r="N890" s="13"/>
      <c r="Q890" s="13"/>
      <c r="S890" s="13"/>
      <c r="U890" s="13"/>
      <c r="W890" s="13"/>
      <c r="Y890" s="13"/>
      <c r="AQ890" s="14"/>
      <c r="AR890" s="14"/>
      <c r="AS890" s="14"/>
    </row>
    <row r="891" ht="15.75" customHeight="1">
      <c r="B891" s="138"/>
      <c r="N891" s="13"/>
      <c r="Q891" s="13"/>
      <c r="S891" s="13"/>
      <c r="U891" s="13"/>
      <c r="W891" s="13"/>
      <c r="Y891" s="13"/>
      <c r="AQ891" s="14"/>
      <c r="AR891" s="14"/>
      <c r="AS891" s="14"/>
    </row>
    <row r="892" ht="15.75" customHeight="1">
      <c r="B892" s="138"/>
      <c r="N892" s="13"/>
      <c r="Q892" s="13"/>
      <c r="S892" s="13"/>
      <c r="U892" s="13"/>
      <c r="W892" s="13"/>
      <c r="Y892" s="13"/>
      <c r="AQ892" s="14"/>
      <c r="AR892" s="14"/>
      <c r="AS892" s="14"/>
    </row>
    <row r="893" ht="15.75" customHeight="1">
      <c r="B893" s="138"/>
      <c r="N893" s="13"/>
      <c r="Q893" s="13"/>
      <c r="S893" s="13"/>
      <c r="U893" s="13"/>
      <c r="W893" s="13"/>
      <c r="Y893" s="13"/>
      <c r="AQ893" s="14"/>
      <c r="AR893" s="14"/>
      <c r="AS893" s="14"/>
    </row>
    <row r="894" ht="15.75" customHeight="1">
      <c r="B894" s="138"/>
      <c r="N894" s="13"/>
      <c r="Q894" s="13"/>
      <c r="S894" s="13"/>
      <c r="U894" s="13"/>
      <c r="W894" s="13"/>
      <c r="Y894" s="13"/>
      <c r="AQ894" s="14"/>
      <c r="AR894" s="14"/>
      <c r="AS894" s="14"/>
    </row>
    <row r="895" ht="15.75" customHeight="1">
      <c r="B895" s="138"/>
      <c r="N895" s="13"/>
      <c r="Q895" s="13"/>
      <c r="S895" s="13"/>
      <c r="U895" s="13"/>
      <c r="W895" s="13"/>
      <c r="Y895" s="13"/>
      <c r="AQ895" s="14"/>
      <c r="AR895" s="14"/>
      <c r="AS895" s="14"/>
    </row>
    <row r="896" ht="15.75" customHeight="1">
      <c r="B896" s="138"/>
      <c r="N896" s="13"/>
      <c r="Q896" s="13"/>
      <c r="S896" s="13"/>
      <c r="U896" s="13"/>
      <c r="W896" s="13"/>
      <c r="Y896" s="13"/>
      <c r="AQ896" s="14"/>
      <c r="AR896" s="14"/>
      <c r="AS896" s="14"/>
    </row>
    <row r="897" ht="15.75" customHeight="1">
      <c r="B897" s="138"/>
      <c r="N897" s="13"/>
      <c r="Q897" s="13"/>
      <c r="S897" s="13"/>
      <c r="U897" s="13"/>
      <c r="W897" s="13"/>
      <c r="Y897" s="13"/>
      <c r="AQ897" s="14"/>
      <c r="AR897" s="14"/>
      <c r="AS897" s="14"/>
    </row>
    <row r="898" ht="15.75" customHeight="1">
      <c r="B898" s="138"/>
      <c r="N898" s="13"/>
      <c r="Q898" s="13"/>
      <c r="S898" s="13"/>
      <c r="U898" s="13"/>
      <c r="W898" s="13"/>
      <c r="Y898" s="13"/>
      <c r="AQ898" s="14"/>
      <c r="AR898" s="14"/>
      <c r="AS898" s="14"/>
    </row>
    <row r="899" ht="15.75" customHeight="1">
      <c r="B899" s="138"/>
      <c r="N899" s="13"/>
      <c r="Q899" s="13"/>
      <c r="S899" s="13"/>
      <c r="U899" s="13"/>
      <c r="W899" s="13"/>
      <c r="Y899" s="13"/>
      <c r="AQ899" s="14"/>
      <c r="AR899" s="14"/>
      <c r="AS899" s="14"/>
    </row>
    <row r="900" ht="15.75" customHeight="1">
      <c r="B900" s="138"/>
      <c r="N900" s="13"/>
      <c r="Q900" s="13"/>
      <c r="S900" s="13"/>
      <c r="U900" s="13"/>
      <c r="W900" s="13"/>
      <c r="Y900" s="13"/>
      <c r="AQ900" s="14"/>
      <c r="AR900" s="14"/>
      <c r="AS900" s="14"/>
    </row>
    <row r="901" ht="15.75" customHeight="1">
      <c r="B901" s="138"/>
      <c r="N901" s="13"/>
      <c r="Q901" s="13"/>
      <c r="S901" s="13"/>
      <c r="U901" s="13"/>
      <c r="W901" s="13"/>
      <c r="Y901" s="13"/>
      <c r="AQ901" s="14"/>
      <c r="AR901" s="14"/>
      <c r="AS901" s="14"/>
    </row>
    <row r="902" ht="15.75" customHeight="1">
      <c r="B902" s="138"/>
      <c r="N902" s="13"/>
      <c r="Q902" s="13"/>
      <c r="S902" s="13"/>
      <c r="U902" s="13"/>
      <c r="W902" s="13"/>
      <c r="Y902" s="13"/>
      <c r="AQ902" s="14"/>
      <c r="AR902" s="14"/>
      <c r="AS902" s="14"/>
    </row>
    <row r="903" ht="15.75" customHeight="1">
      <c r="B903" s="138"/>
      <c r="N903" s="13"/>
      <c r="Q903" s="13"/>
      <c r="S903" s="13"/>
      <c r="U903" s="13"/>
      <c r="W903" s="13"/>
      <c r="Y903" s="13"/>
      <c r="AQ903" s="14"/>
      <c r="AR903" s="14"/>
      <c r="AS903" s="14"/>
    </row>
    <row r="904" ht="15.75" customHeight="1">
      <c r="B904" s="138"/>
      <c r="N904" s="13"/>
      <c r="Q904" s="13"/>
      <c r="S904" s="13"/>
      <c r="U904" s="13"/>
      <c r="W904" s="13"/>
      <c r="Y904" s="13"/>
      <c r="AQ904" s="14"/>
      <c r="AR904" s="14"/>
      <c r="AS904" s="14"/>
    </row>
    <row r="905" ht="15.75" customHeight="1">
      <c r="B905" s="138"/>
      <c r="N905" s="13"/>
      <c r="Q905" s="13"/>
      <c r="S905" s="13"/>
      <c r="U905" s="13"/>
      <c r="W905" s="13"/>
      <c r="Y905" s="13"/>
      <c r="AQ905" s="14"/>
      <c r="AR905" s="14"/>
      <c r="AS905" s="14"/>
    </row>
    <row r="906" ht="15.75" customHeight="1">
      <c r="B906" s="138"/>
      <c r="N906" s="13"/>
      <c r="Q906" s="13"/>
      <c r="S906" s="13"/>
      <c r="U906" s="13"/>
      <c r="W906" s="13"/>
      <c r="Y906" s="13"/>
      <c r="AQ906" s="14"/>
      <c r="AR906" s="14"/>
      <c r="AS906" s="14"/>
    </row>
    <row r="907" ht="15.75" customHeight="1">
      <c r="B907" s="138"/>
      <c r="N907" s="13"/>
      <c r="Q907" s="13"/>
      <c r="S907" s="13"/>
      <c r="U907" s="13"/>
      <c r="W907" s="13"/>
      <c r="Y907" s="13"/>
      <c r="AQ907" s="14"/>
      <c r="AR907" s="14"/>
      <c r="AS907" s="14"/>
    </row>
    <row r="908" ht="15.75" customHeight="1">
      <c r="B908" s="138"/>
      <c r="N908" s="13"/>
      <c r="Q908" s="13"/>
      <c r="S908" s="13"/>
      <c r="U908" s="13"/>
      <c r="W908" s="13"/>
      <c r="Y908" s="13"/>
      <c r="AQ908" s="14"/>
      <c r="AR908" s="14"/>
      <c r="AS908" s="14"/>
    </row>
    <row r="909" ht="15.75" customHeight="1">
      <c r="B909" s="138"/>
      <c r="N909" s="13"/>
      <c r="Q909" s="13"/>
      <c r="S909" s="13"/>
      <c r="U909" s="13"/>
      <c r="W909" s="13"/>
      <c r="Y909" s="13"/>
      <c r="AQ909" s="14"/>
      <c r="AR909" s="14"/>
      <c r="AS909" s="14"/>
    </row>
    <row r="910" ht="15.75" customHeight="1">
      <c r="B910" s="138"/>
      <c r="N910" s="13"/>
      <c r="Q910" s="13"/>
      <c r="S910" s="13"/>
      <c r="U910" s="13"/>
      <c r="W910" s="13"/>
      <c r="Y910" s="13"/>
      <c r="AQ910" s="14"/>
      <c r="AR910" s="14"/>
      <c r="AS910" s="14"/>
    </row>
    <row r="911" ht="15.75" customHeight="1">
      <c r="B911" s="138"/>
      <c r="N911" s="13"/>
      <c r="Q911" s="13"/>
      <c r="S911" s="13"/>
      <c r="U911" s="13"/>
      <c r="W911" s="13"/>
      <c r="Y911" s="13"/>
      <c r="AQ911" s="14"/>
      <c r="AR911" s="14"/>
      <c r="AS911" s="14"/>
    </row>
    <row r="912" ht="15.75" customHeight="1">
      <c r="B912" s="138"/>
      <c r="N912" s="13"/>
      <c r="Q912" s="13"/>
      <c r="S912" s="13"/>
      <c r="U912" s="13"/>
      <c r="W912" s="13"/>
      <c r="Y912" s="13"/>
      <c r="AQ912" s="14"/>
      <c r="AR912" s="14"/>
      <c r="AS912" s="14"/>
    </row>
    <row r="913" ht="15.75" customHeight="1">
      <c r="B913" s="138"/>
      <c r="N913" s="13"/>
      <c r="Q913" s="13"/>
      <c r="S913" s="13"/>
      <c r="U913" s="13"/>
      <c r="W913" s="13"/>
      <c r="Y913" s="13"/>
      <c r="AQ913" s="14"/>
      <c r="AR913" s="14"/>
      <c r="AS913" s="14"/>
    </row>
    <row r="914" ht="15.75" customHeight="1">
      <c r="B914" s="138"/>
      <c r="N914" s="13"/>
      <c r="Q914" s="13"/>
      <c r="S914" s="13"/>
      <c r="U914" s="13"/>
      <c r="W914" s="13"/>
      <c r="Y914" s="13"/>
      <c r="AQ914" s="14"/>
      <c r="AR914" s="14"/>
      <c r="AS914" s="14"/>
    </row>
    <row r="915" ht="15.75" customHeight="1">
      <c r="B915" s="138"/>
      <c r="N915" s="13"/>
      <c r="Q915" s="13"/>
      <c r="S915" s="13"/>
      <c r="U915" s="13"/>
      <c r="W915" s="13"/>
      <c r="Y915" s="13"/>
      <c r="AQ915" s="14"/>
      <c r="AR915" s="14"/>
      <c r="AS915" s="14"/>
    </row>
    <row r="916" ht="15.75" customHeight="1">
      <c r="B916" s="138"/>
      <c r="N916" s="13"/>
      <c r="Q916" s="13"/>
      <c r="S916" s="13"/>
      <c r="U916" s="13"/>
      <c r="W916" s="13"/>
      <c r="Y916" s="13"/>
      <c r="AQ916" s="14"/>
      <c r="AR916" s="14"/>
      <c r="AS916" s="14"/>
    </row>
    <row r="917" ht="15.75" customHeight="1">
      <c r="B917" s="138"/>
      <c r="N917" s="13"/>
      <c r="Q917" s="13"/>
      <c r="S917" s="13"/>
      <c r="U917" s="13"/>
      <c r="W917" s="13"/>
      <c r="Y917" s="13"/>
      <c r="AQ917" s="14"/>
      <c r="AR917" s="14"/>
      <c r="AS917" s="14"/>
    </row>
    <row r="918" ht="15.75" customHeight="1">
      <c r="B918" s="138"/>
      <c r="N918" s="13"/>
      <c r="Q918" s="13"/>
      <c r="S918" s="13"/>
      <c r="U918" s="13"/>
      <c r="W918" s="13"/>
      <c r="Y918" s="13"/>
      <c r="AQ918" s="14"/>
      <c r="AR918" s="14"/>
      <c r="AS918" s="14"/>
    </row>
    <row r="919" ht="15.75" customHeight="1">
      <c r="B919" s="138"/>
      <c r="N919" s="13"/>
      <c r="Q919" s="13"/>
      <c r="S919" s="13"/>
      <c r="U919" s="13"/>
      <c r="W919" s="13"/>
      <c r="Y919" s="13"/>
      <c r="AQ919" s="14"/>
      <c r="AR919" s="14"/>
      <c r="AS919" s="14"/>
    </row>
    <row r="920" ht="15.75" customHeight="1">
      <c r="B920" s="138"/>
      <c r="N920" s="13"/>
      <c r="Q920" s="13"/>
      <c r="S920" s="13"/>
      <c r="U920" s="13"/>
      <c r="W920" s="13"/>
      <c r="Y920" s="13"/>
      <c r="AQ920" s="14"/>
      <c r="AR920" s="14"/>
      <c r="AS920" s="14"/>
    </row>
    <row r="921" ht="15.75" customHeight="1">
      <c r="B921" s="138"/>
      <c r="N921" s="13"/>
      <c r="Q921" s="13"/>
      <c r="S921" s="13"/>
      <c r="U921" s="13"/>
      <c r="W921" s="13"/>
      <c r="Y921" s="13"/>
      <c r="AQ921" s="14"/>
      <c r="AR921" s="14"/>
      <c r="AS921" s="14"/>
    </row>
    <row r="922" ht="15.75" customHeight="1">
      <c r="B922" s="138"/>
      <c r="N922" s="13"/>
      <c r="Q922" s="13"/>
      <c r="S922" s="13"/>
      <c r="U922" s="13"/>
      <c r="W922" s="13"/>
      <c r="Y922" s="13"/>
      <c r="AQ922" s="14"/>
      <c r="AR922" s="14"/>
      <c r="AS922" s="14"/>
    </row>
    <row r="923" ht="15.75" customHeight="1">
      <c r="B923" s="138"/>
      <c r="N923" s="13"/>
      <c r="Q923" s="13"/>
      <c r="S923" s="13"/>
      <c r="U923" s="13"/>
      <c r="W923" s="13"/>
      <c r="Y923" s="13"/>
      <c r="AQ923" s="14"/>
      <c r="AR923" s="14"/>
      <c r="AS923" s="14"/>
    </row>
    <row r="924" ht="15.75" customHeight="1">
      <c r="B924" s="138"/>
      <c r="N924" s="13"/>
      <c r="Q924" s="13"/>
      <c r="S924" s="13"/>
      <c r="U924" s="13"/>
      <c r="W924" s="13"/>
      <c r="Y924" s="13"/>
      <c r="AQ924" s="14"/>
      <c r="AR924" s="14"/>
      <c r="AS924" s="14"/>
    </row>
    <row r="925" ht="15.75" customHeight="1">
      <c r="B925" s="138"/>
      <c r="N925" s="13"/>
      <c r="Q925" s="13"/>
      <c r="S925" s="13"/>
      <c r="U925" s="13"/>
      <c r="W925" s="13"/>
      <c r="Y925" s="13"/>
      <c r="AQ925" s="14"/>
      <c r="AR925" s="14"/>
      <c r="AS925" s="14"/>
    </row>
    <row r="926" ht="15.75" customHeight="1">
      <c r="B926" s="138"/>
      <c r="N926" s="13"/>
      <c r="Q926" s="13"/>
      <c r="S926" s="13"/>
      <c r="U926" s="13"/>
      <c r="W926" s="13"/>
      <c r="Y926" s="13"/>
      <c r="AQ926" s="14"/>
      <c r="AR926" s="14"/>
      <c r="AS926" s="14"/>
    </row>
    <row r="927" ht="15.75" customHeight="1">
      <c r="B927" s="138"/>
      <c r="N927" s="13"/>
      <c r="Q927" s="13"/>
      <c r="S927" s="13"/>
      <c r="U927" s="13"/>
      <c r="W927" s="13"/>
      <c r="Y927" s="13"/>
      <c r="AQ927" s="14"/>
      <c r="AR927" s="14"/>
      <c r="AS927" s="14"/>
    </row>
    <row r="928" ht="15.75" customHeight="1">
      <c r="B928" s="138"/>
      <c r="N928" s="13"/>
      <c r="Q928" s="13"/>
      <c r="S928" s="13"/>
      <c r="U928" s="13"/>
      <c r="W928" s="13"/>
      <c r="Y928" s="13"/>
      <c r="AQ928" s="14"/>
      <c r="AR928" s="14"/>
      <c r="AS928" s="14"/>
    </row>
    <row r="929" ht="15.75" customHeight="1">
      <c r="B929" s="138"/>
      <c r="N929" s="13"/>
      <c r="Q929" s="13"/>
      <c r="S929" s="13"/>
      <c r="U929" s="13"/>
      <c r="W929" s="13"/>
      <c r="Y929" s="13"/>
      <c r="AQ929" s="14"/>
      <c r="AR929" s="14"/>
      <c r="AS929" s="14"/>
    </row>
    <row r="930" ht="15.75" customHeight="1">
      <c r="B930" s="138"/>
      <c r="N930" s="13"/>
      <c r="Q930" s="13"/>
      <c r="S930" s="13"/>
      <c r="U930" s="13"/>
      <c r="W930" s="13"/>
      <c r="Y930" s="13"/>
      <c r="AQ930" s="14"/>
      <c r="AR930" s="14"/>
      <c r="AS930" s="14"/>
    </row>
    <row r="931" ht="15.75" customHeight="1">
      <c r="B931" s="138"/>
      <c r="N931" s="13"/>
      <c r="Q931" s="13"/>
      <c r="S931" s="13"/>
      <c r="U931" s="13"/>
      <c r="W931" s="13"/>
      <c r="Y931" s="13"/>
      <c r="AQ931" s="14"/>
      <c r="AR931" s="14"/>
      <c r="AS931" s="14"/>
    </row>
    <row r="932" ht="15.75" customHeight="1">
      <c r="B932" s="138"/>
      <c r="N932" s="13"/>
      <c r="Q932" s="13"/>
      <c r="S932" s="13"/>
      <c r="U932" s="13"/>
      <c r="W932" s="13"/>
      <c r="Y932" s="13"/>
      <c r="AQ932" s="14"/>
      <c r="AR932" s="14"/>
      <c r="AS932" s="14"/>
    </row>
    <row r="933" ht="15.75" customHeight="1">
      <c r="B933" s="138"/>
      <c r="N933" s="13"/>
      <c r="Q933" s="13"/>
      <c r="S933" s="13"/>
      <c r="U933" s="13"/>
      <c r="W933" s="13"/>
      <c r="Y933" s="13"/>
      <c r="AQ933" s="14"/>
      <c r="AR933" s="14"/>
      <c r="AS933" s="14"/>
    </row>
    <row r="934" ht="15.75" customHeight="1">
      <c r="B934" s="138"/>
      <c r="N934" s="13"/>
      <c r="Q934" s="13"/>
      <c r="S934" s="13"/>
      <c r="U934" s="13"/>
      <c r="W934" s="13"/>
      <c r="Y934" s="13"/>
      <c r="AQ934" s="14"/>
      <c r="AR934" s="14"/>
      <c r="AS934" s="14"/>
    </row>
    <row r="935" ht="15.75" customHeight="1">
      <c r="B935" s="138"/>
      <c r="N935" s="13"/>
      <c r="Q935" s="13"/>
      <c r="S935" s="13"/>
      <c r="U935" s="13"/>
      <c r="W935" s="13"/>
      <c r="Y935" s="13"/>
      <c r="AQ935" s="14"/>
      <c r="AR935" s="14"/>
      <c r="AS935" s="14"/>
    </row>
    <row r="936" ht="15.75" customHeight="1">
      <c r="B936" s="138"/>
      <c r="N936" s="13"/>
      <c r="Q936" s="13"/>
      <c r="S936" s="13"/>
      <c r="U936" s="13"/>
      <c r="W936" s="13"/>
      <c r="Y936" s="13"/>
      <c r="AQ936" s="14"/>
      <c r="AR936" s="14"/>
      <c r="AS936" s="14"/>
    </row>
    <row r="937" ht="15.75" customHeight="1">
      <c r="B937" s="138"/>
      <c r="N937" s="13"/>
      <c r="Q937" s="13"/>
      <c r="S937" s="13"/>
      <c r="U937" s="13"/>
      <c r="W937" s="13"/>
      <c r="Y937" s="13"/>
      <c r="AQ937" s="14"/>
      <c r="AR937" s="14"/>
      <c r="AS937" s="14"/>
    </row>
    <row r="938" ht="15.75" customHeight="1">
      <c r="B938" s="138"/>
      <c r="N938" s="13"/>
      <c r="Q938" s="13"/>
      <c r="S938" s="13"/>
      <c r="U938" s="13"/>
      <c r="W938" s="13"/>
      <c r="Y938" s="13"/>
      <c r="AQ938" s="14"/>
      <c r="AR938" s="14"/>
      <c r="AS938" s="14"/>
    </row>
    <row r="939" ht="15.75" customHeight="1">
      <c r="B939" s="138"/>
      <c r="N939" s="13"/>
      <c r="Q939" s="13"/>
      <c r="S939" s="13"/>
      <c r="U939" s="13"/>
      <c r="W939" s="13"/>
      <c r="Y939" s="13"/>
      <c r="AQ939" s="14"/>
      <c r="AR939" s="14"/>
      <c r="AS939" s="14"/>
    </row>
    <row r="940" ht="15.75" customHeight="1">
      <c r="B940" s="138"/>
      <c r="N940" s="13"/>
      <c r="Q940" s="13"/>
      <c r="S940" s="13"/>
      <c r="U940" s="13"/>
      <c r="W940" s="13"/>
      <c r="Y940" s="13"/>
      <c r="AQ940" s="14"/>
      <c r="AR940" s="14"/>
      <c r="AS940" s="14"/>
    </row>
    <row r="941" ht="15.75" customHeight="1">
      <c r="B941" s="138"/>
      <c r="N941" s="13"/>
      <c r="Q941" s="13"/>
      <c r="S941" s="13"/>
      <c r="U941" s="13"/>
      <c r="W941" s="13"/>
      <c r="Y941" s="13"/>
      <c r="AQ941" s="14"/>
      <c r="AR941" s="14"/>
      <c r="AS941" s="14"/>
    </row>
    <row r="942" ht="15.75" customHeight="1">
      <c r="B942" s="138"/>
      <c r="N942" s="13"/>
      <c r="Q942" s="13"/>
      <c r="S942" s="13"/>
      <c r="U942" s="13"/>
      <c r="W942" s="13"/>
      <c r="Y942" s="13"/>
      <c r="AQ942" s="14"/>
      <c r="AR942" s="14"/>
      <c r="AS942" s="14"/>
    </row>
    <row r="943" ht="15.75" customHeight="1">
      <c r="B943" s="138"/>
      <c r="N943" s="13"/>
      <c r="Q943" s="13"/>
      <c r="S943" s="13"/>
      <c r="U943" s="13"/>
      <c r="W943" s="13"/>
      <c r="Y943" s="13"/>
      <c r="AQ943" s="14"/>
      <c r="AR943" s="14"/>
      <c r="AS943" s="14"/>
    </row>
    <row r="944" ht="15.75" customHeight="1">
      <c r="B944" s="138"/>
      <c r="N944" s="13"/>
      <c r="Q944" s="13"/>
      <c r="S944" s="13"/>
      <c r="U944" s="13"/>
      <c r="W944" s="13"/>
      <c r="Y944" s="13"/>
      <c r="AQ944" s="14"/>
      <c r="AR944" s="14"/>
      <c r="AS944" s="14"/>
    </row>
    <row r="945" ht="15.75" customHeight="1">
      <c r="B945" s="138"/>
      <c r="N945" s="13"/>
      <c r="Q945" s="13"/>
      <c r="S945" s="13"/>
      <c r="U945" s="13"/>
      <c r="W945" s="13"/>
      <c r="Y945" s="13"/>
      <c r="AQ945" s="14"/>
      <c r="AR945" s="14"/>
      <c r="AS945" s="14"/>
    </row>
    <row r="946" ht="15.75" customHeight="1">
      <c r="B946" s="138"/>
      <c r="N946" s="13"/>
      <c r="Q946" s="13"/>
      <c r="S946" s="13"/>
      <c r="U946" s="13"/>
      <c r="W946" s="13"/>
      <c r="Y946" s="13"/>
      <c r="AQ946" s="14"/>
      <c r="AR946" s="14"/>
      <c r="AS946" s="14"/>
    </row>
    <row r="947" ht="15.75" customHeight="1">
      <c r="B947" s="138"/>
      <c r="N947" s="13"/>
      <c r="Q947" s="13"/>
      <c r="S947" s="13"/>
      <c r="U947" s="13"/>
      <c r="W947" s="13"/>
      <c r="Y947" s="13"/>
      <c r="AQ947" s="14"/>
      <c r="AR947" s="14"/>
      <c r="AS947" s="14"/>
    </row>
    <row r="948" ht="15.75" customHeight="1">
      <c r="B948" s="138"/>
      <c r="N948" s="13"/>
      <c r="Q948" s="13"/>
      <c r="S948" s="13"/>
      <c r="U948" s="13"/>
      <c r="W948" s="13"/>
      <c r="Y948" s="13"/>
      <c r="AQ948" s="14"/>
      <c r="AR948" s="14"/>
      <c r="AS948" s="14"/>
    </row>
    <row r="949" ht="15.75" customHeight="1">
      <c r="B949" s="138"/>
      <c r="N949" s="13"/>
      <c r="Q949" s="13"/>
      <c r="S949" s="13"/>
      <c r="U949" s="13"/>
      <c r="W949" s="13"/>
      <c r="Y949" s="13"/>
      <c r="AQ949" s="14"/>
      <c r="AR949" s="14"/>
      <c r="AS949" s="14"/>
    </row>
    <row r="950" ht="15.75" customHeight="1">
      <c r="B950" s="138"/>
      <c r="N950" s="13"/>
      <c r="Q950" s="13"/>
      <c r="S950" s="13"/>
      <c r="U950" s="13"/>
      <c r="W950" s="13"/>
      <c r="Y950" s="13"/>
      <c r="AQ950" s="14"/>
      <c r="AR950" s="14"/>
      <c r="AS950" s="14"/>
    </row>
    <row r="951" ht="15.75" customHeight="1">
      <c r="B951" s="138"/>
      <c r="N951" s="13"/>
      <c r="Q951" s="13"/>
      <c r="S951" s="13"/>
      <c r="U951" s="13"/>
      <c r="W951" s="13"/>
      <c r="Y951" s="13"/>
      <c r="AQ951" s="14"/>
      <c r="AR951" s="14"/>
      <c r="AS951" s="14"/>
    </row>
    <row r="952" ht="15.75" customHeight="1">
      <c r="B952" s="138"/>
      <c r="N952" s="13"/>
      <c r="Q952" s="13"/>
      <c r="S952" s="13"/>
      <c r="U952" s="13"/>
      <c r="W952" s="13"/>
      <c r="Y952" s="13"/>
      <c r="AQ952" s="14"/>
      <c r="AR952" s="14"/>
      <c r="AS952" s="14"/>
    </row>
    <row r="953" ht="15.75" customHeight="1">
      <c r="B953" s="138"/>
      <c r="N953" s="13"/>
      <c r="Q953" s="13"/>
      <c r="S953" s="13"/>
      <c r="U953" s="13"/>
      <c r="W953" s="13"/>
      <c r="Y953" s="13"/>
      <c r="AQ953" s="14"/>
      <c r="AR953" s="14"/>
      <c r="AS953" s="14"/>
    </row>
    <row r="954" ht="15.75" customHeight="1">
      <c r="B954" s="138"/>
      <c r="N954" s="13"/>
      <c r="Q954" s="13"/>
      <c r="S954" s="13"/>
      <c r="U954" s="13"/>
      <c r="W954" s="13"/>
      <c r="Y954" s="13"/>
      <c r="AQ954" s="14"/>
      <c r="AR954" s="14"/>
      <c r="AS954" s="14"/>
    </row>
    <row r="955" ht="15.75" customHeight="1">
      <c r="B955" s="138"/>
      <c r="N955" s="13"/>
      <c r="Q955" s="13"/>
      <c r="S955" s="13"/>
      <c r="U955" s="13"/>
      <c r="W955" s="13"/>
      <c r="Y955" s="13"/>
      <c r="AQ955" s="14"/>
      <c r="AR955" s="14"/>
      <c r="AS955" s="14"/>
    </row>
    <row r="956" ht="15.75" customHeight="1">
      <c r="B956" s="138"/>
      <c r="N956" s="13"/>
      <c r="Q956" s="13"/>
      <c r="S956" s="13"/>
      <c r="U956" s="13"/>
      <c r="W956" s="13"/>
      <c r="Y956" s="13"/>
      <c r="AQ956" s="14"/>
      <c r="AR956" s="14"/>
      <c r="AS956" s="14"/>
    </row>
    <row r="957" ht="15.75" customHeight="1">
      <c r="B957" s="138"/>
      <c r="N957" s="13"/>
      <c r="Q957" s="13"/>
      <c r="S957" s="13"/>
      <c r="U957" s="13"/>
      <c r="W957" s="13"/>
      <c r="Y957" s="13"/>
      <c r="AQ957" s="14"/>
      <c r="AR957" s="14"/>
      <c r="AS957" s="14"/>
    </row>
    <row r="958" ht="15.75" customHeight="1">
      <c r="B958" s="138"/>
      <c r="N958" s="13"/>
      <c r="Q958" s="13"/>
      <c r="S958" s="13"/>
      <c r="U958" s="13"/>
      <c r="W958" s="13"/>
      <c r="Y958" s="13"/>
      <c r="AQ958" s="14"/>
      <c r="AR958" s="14"/>
      <c r="AS958" s="14"/>
    </row>
    <row r="959" ht="15.75" customHeight="1">
      <c r="B959" s="138"/>
      <c r="N959" s="13"/>
      <c r="Q959" s="13"/>
      <c r="S959" s="13"/>
      <c r="U959" s="13"/>
      <c r="W959" s="13"/>
      <c r="Y959" s="13"/>
      <c r="AQ959" s="14"/>
      <c r="AR959" s="14"/>
      <c r="AS959" s="14"/>
    </row>
    <row r="960" ht="15.75" customHeight="1">
      <c r="B960" s="138"/>
      <c r="N960" s="13"/>
      <c r="Q960" s="13"/>
      <c r="S960" s="13"/>
      <c r="U960" s="13"/>
      <c r="W960" s="13"/>
      <c r="Y960" s="13"/>
      <c r="AQ960" s="14"/>
      <c r="AR960" s="14"/>
      <c r="AS960" s="14"/>
    </row>
    <row r="961" ht="15.75" customHeight="1">
      <c r="B961" s="138"/>
      <c r="N961" s="13"/>
      <c r="Q961" s="13"/>
      <c r="S961" s="13"/>
      <c r="U961" s="13"/>
      <c r="W961" s="13"/>
      <c r="Y961" s="13"/>
      <c r="AQ961" s="14"/>
      <c r="AR961" s="14"/>
      <c r="AS961" s="14"/>
    </row>
    <row r="962" ht="15.75" customHeight="1">
      <c r="B962" s="138"/>
      <c r="N962" s="13"/>
      <c r="Q962" s="13"/>
      <c r="S962" s="13"/>
      <c r="U962" s="13"/>
      <c r="W962" s="13"/>
      <c r="Y962" s="13"/>
      <c r="AQ962" s="14"/>
      <c r="AR962" s="14"/>
      <c r="AS962" s="14"/>
    </row>
    <row r="963" ht="15.75" customHeight="1">
      <c r="B963" s="138"/>
      <c r="N963" s="13"/>
      <c r="Q963" s="13"/>
      <c r="S963" s="13"/>
      <c r="U963" s="13"/>
      <c r="W963" s="13"/>
      <c r="Y963" s="13"/>
      <c r="AQ963" s="14"/>
      <c r="AR963" s="14"/>
      <c r="AS963" s="14"/>
    </row>
    <row r="964" ht="15.75" customHeight="1">
      <c r="B964" s="138"/>
      <c r="N964" s="13"/>
      <c r="Q964" s="13"/>
      <c r="S964" s="13"/>
      <c r="U964" s="13"/>
      <c r="W964" s="13"/>
      <c r="Y964" s="13"/>
      <c r="AQ964" s="14"/>
      <c r="AR964" s="14"/>
      <c r="AS964" s="14"/>
    </row>
    <row r="965" ht="15.75" customHeight="1">
      <c r="B965" s="138"/>
      <c r="N965" s="13"/>
      <c r="Q965" s="13"/>
      <c r="S965" s="13"/>
      <c r="U965" s="13"/>
      <c r="W965" s="13"/>
      <c r="Y965" s="13"/>
      <c r="AQ965" s="14"/>
      <c r="AR965" s="14"/>
      <c r="AS965" s="14"/>
    </row>
    <row r="966" ht="15.75" customHeight="1">
      <c r="B966" s="138"/>
      <c r="N966" s="13"/>
      <c r="Q966" s="13"/>
      <c r="S966" s="13"/>
      <c r="U966" s="13"/>
      <c r="W966" s="13"/>
      <c r="Y966" s="13"/>
      <c r="AQ966" s="14"/>
      <c r="AR966" s="14"/>
      <c r="AS966" s="14"/>
    </row>
    <row r="967" ht="15.75" customHeight="1">
      <c r="B967" s="138"/>
      <c r="N967" s="13"/>
      <c r="Q967" s="13"/>
      <c r="S967" s="13"/>
      <c r="U967" s="13"/>
      <c r="W967" s="13"/>
      <c r="Y967" s="13"/>
      <c r="AQ967" s="14"/>
      <c r="AR967" s="14"/>
      <c r="AS967" s="14"/>
    </row>
    <row r="968" ht="15.75" customHeight="1">
      <c r="B968" s="138"/>
      <c r="N968" s="13"/>
      <c r="Q968" s="13"/>
      <c r="S968" s="13"/>
      <c r="U968" s="13"/>
      <c r="W968" s="13"/>
      <c r="Y968" s="13"/>
      <c r="AQ968" s="14"/>
      <c r="AR968" s="14"/>
      <c r="AS968" s="14"/>
    </row>
    <row r="969" ht="15.75" customHeight="1">
      <c r="B969" s="138"/>
      <c r="N969" s="13"/>
      <c r="Q969" s="13"/>
      <c r="S969" s="13"/>
      <c r="U969" s="13"/>
      <c r="W969" s="13"/>
      <c r="Y969" s="13"/>
      <c r="AQ969" s="14"/>
      <c r="AR969" s="14"/>
      <c r="AS969" s="14"/>
    </row>
    <row r="970" ht="15.75" customHeight="1">
      <c r="B970" s="138"/>
      <c r="N970" s="13"/>
      <c r="Q970" s="13"/>
      <c r="S970" s="13"/>
      <c r="U970" s="13"/>
      <c r="W970" s="13"/>
      <c r="Y970" s="13"/>
      <c r="AQ970" s="14"/>
      <c r="AR970" s="14"/>
      <c r="AS970" s="14"/>
    </row>
    <row r="971" ht="15.75" customHeight="1">
      <c r="B971" s="138"/>
      <c r="N971" s="13"/>
      <c r="Q971" s="13"/>
      <c r="S971" s="13"/>
      <c r="U971" s="13"/>
      <c r="W971" s="13"/>
      <c r="Y971" s="13"/>
      <c r="AQ971" s="14"/>
      <c r="AR971" s="14"/>
      <c r="AS971" s="14"/>
    </row>
    <row r="972" ht="15.75" customHeight="1">
      <c r="B972" s="138"/>
      <c r="N972" s="13"/>
      <c r="Q972" s="13"/>
      <c r="S972" s="13"/>
      <c r="U972" s="13"/>
      <c r="W972" s="13"/>
      <c r="Y972" s="13"/>
      <c r="AQ972" s="14"/>
      <c r="AR972" s="14"/>
      <c r="AS972" s="14"/>
    </row>
    <row r="973" ht="15.75" customHeight="1">
      <c r="B973" s="138"/>
      <c r="N973" s="13"/>
      <c r="Q973" s="13"/>
      <c r="S973" s="13"/>
      <c r="U973" s="13"/>
      <c r="W973" s="13"/>
      <c r="Y973" s="13"/>
      <c r="AQ973" s="14"/>
      <c r="AR973" s="14"/>
      <c r="AS973" s="14"/>
    </row>
    <row r="974" ht="15.75" customHeight="1">
      <c r="B974" s="138"/>
      <c r="N974" s="13"/>
      <c r="Q974" s="13"/>
      <c r="S974" s="13"/>
      <c r="U974" s="13"/>
      <c r="W974" s="13"/>
      <c r="Y974" s="13"/>
      <c r="AQ974" s="14"/>
      <c r="AR974" s="14"/>
      <c r="AS974" s="14"/>
    </row>
    <row r="975" ht="15.75" customHeight="1">
      <c r="B975" s="138"/>
      <c r="N975" s="13"/>
      <c r="Q975" s="13"/>
      <c r="S975" s="13"/>
      <c r="U975" s="13"/>
      <c r="W975" s="13"/>
      <c r="Y975" s="13"/>
      <c r="AQ975" s="14"/>
      <c r="AR975" s="14"/>
      <c r="AS975" s="14"/>
    </row>
    <row r="976" ht="15.75" customHeight="1">
      <c r="B976" s="138"/>
      <c r="N976" s="13"/>
      <c r="Q976" s="13"/>
      <c r="S976" s="13"/>
      <c r="U976" s="13"/>
      <c r="W976" s="13"/>
      <c r="Y976" s="13"/>
      <c r="AQ976" s="14"/>
      <c r="AR976" s="14"/>
      <c r="AS976" s="14"/>
    </row>
    <row r="977" ht="15.75" customHeight="1">
      <c r="B977" s="138"/>
      <c r="N977" s="13"/>
      <c r="Q977" s="13"/>
      <c r="S977" s="13"/>
      <c r="U977" s="13"/>
      <c r="W977" s="13"/>
      <c r="Y977" s="13"/>
      <c r="AQ977" s="14"/>
      <c r="AR977" s="14"/>
      <c r="AS977" s="14"/>
    </row>
    <row r="978" ht="15.75" customHeight="1">
      <c r="B978" s="138"/>
      <c r="N978" s="13"/>
      <c r="Q978" s="13"/>
      <c r="S978" s="13"/>
      <c r="U978" s="13"/>
      <c r="W978" s="13"/>
      <c r="Y978" s="13"/>
      <c r="AQ978" s="14"/>
      <c r="AR978" s="14"/>
      <c r="AS978" s="14"/>
    </row>
    <row r="979" ht="15.75" customHeight="1">
      <c r="B979" s="138"/>
      <c r="N979" s="13"/>
      <c r="Q979" s="13"/>
      <c r="S979" s="13"/>
      <c r="U979" s="13"/>
      <c r="W979" s="13"/>
      <c r="Y979" s="13"/>
      <c r="AQ979" s="14"/>
      <c r="AR979" s="14"/>
      <c r="AS979" s="14"/>
    </row>
    <row r="980" ht="15.75" customHeight="1">
      <c r="B980" s="138"/>
      <c r="N980" s="13"/>
      <c r="Q980" s="13"/>
      <c r="S980" s="13"/>
      <c r="U980" s="13"/>
      <c r="W980" s="13"/>
      <c r="Y980" s="13"/>
      <c r="AQ980" s="14"/>
      <c r="AR980" s="14"/>
      <c r="AS980" s="14"/>
    </row>
    <row r="981" ht="15.75" customHeight="1">
      <c r="B981" s="138"/>
      <c r="N981" s="13"/>
      <c r="Q981" s="13"/>
      <c r="S981" s="13"/>
      <c r="U981" s="13"/>
      <c r="W981" s="13"/>
      <c r="Y981" s="13"/>
      <c r="AQ981" s="14"/>
      <c r="AR981" s="14"/>
      <c r="AS981" s="14"/>
    </row>
    <row r="982" ht="15.75" customHeight="1">
      <c r="B982" s="138"/>
      <c r="N982" s="13"/>
      <c r="Q982" s="13"/>
      <c r="S982" s="13"/>
      <c r="U982" s="13"/>
      <c r="W982" s="13"/>
      <c r="Y982" s="13"/>
      <c r="AQ982" s="14"/>
      <c r="AR982" s="14"/>
      <c r="AS982" s="14"/>
    </row>
    <row r="983" ht="15.75" customHeight="1">
      <c r="B983" s="138"/>
      <c r="N983" s="13"/>
      <c r="Q983" s="13"/>
      <c r="S983" s="13"/>
      <c r="U983" s="13"/>
      <c r="W983" s="13"/>
      <c r="Y983" s="13"/>
      <c r="AQ983" s="14"/>
      <c r="AR983" s="14"/>
      <c r="AS983" s="14"/>
    </row>
    <row r="984" ht="15.75" customHeight="1">
      <c r="B984" s="138"/>
      <c r="N984" s="13"/>
      <c r="Q984" s="13"/>
      <c r="S984" s="13"/>
      <c r="U984" s="13"/>
      <c r="W984" s="13"/>
      <c r="Y984" s="13"/>
      <c r="AQ984" s="14"/>
      <c r="AR984" s="14"/>
      <c r="AS984" s="14"/>
    </row>
    <row r="985" ht="15.75" customHeight="1">
      <c r="B985" s="138"/>
      <c r="N985" s="13"/>
      <c r="Q985" s="13"/>
      <c r="S985" s="13"/>
      <c r="U985" s="13"/>
      <c r="W985" s="13"/>
      <c r="Y985" s="13"/>
      <c r="AQ985" s="14"/>
      <c r="AR985" s="14"/>
      <c r="AS985" s="14"/>
    </row>
    <row r="986" ht="15.75" customHeight="1">
      <c r="B986" s="138"/>
      <c r="N986" s="13"/>
      <c r="Q986" s="13"/>
      <c r="S986" s="13"/>
      <c r="U986" s="13"/>
      <c r="W986" s="13"/>
      <c r="Y986" s="13"/>
      <c r="AQ986" s="14"/>
      <c r="AR986" s="14"/>
      <c r="AS986" s="14"/>
    </row>
    <row r="987" ht="15.75" customHeight="1">
      <c r="B987" s="138"/>
      <c r="N987" s="13"/>
      <c r="Q987" s="13"/>
      <c r="S987" s="13"/>
      <c r="U987" s="13"/>
      <c r="W987" s="13"/>
      <c r="Y987" s="13"/>
      <c r="AQ987" s="14"/>
      <c r="AR987" s="14"/>
      <c r="AS987" s="14"/>
    </row>
    <row r="988" ht="15.75" customHeight="1">
      <c r="B988" s="138"/>
      <c r="N988" s="13"/>
      <c r="Q988" s="13"/>
      <c r="S988" s="13"/>
      <c r="U988" s="13"/>
      <c r="W988" s="13"/>
      <c r="Y988" s="13"/>
      <c r="AQ988" s="14"/>
      <c r="AR988" s="14"/>
      <c r="AS988" s="14"/>
    </row>
    <row r="989" ht="15.75" customHeight="1">
      <c r="B989" s="138"/>
      <c r="N989" s="13"/>
      <c r="Q989" s="13"/>
      <c r="S989" s="13"/>
      <c r="U989" s="13"/>
      <c r="W989" s="13"/>
      <c r="Y989" s="13"/>
      <c r="AQ989" s="14"/>
      <c r="AR989" s="14"/>
      <c r="AS989" s="14"/>
    </row>
    <row r="990" ht="15.75" customHeight="1">
      <c r="B990" s="138"/>
      <c r="N990" s="13"/>
      <c r="Q990" s="13"/>
      <c r="S990" s="13"/>
      <c r="U990" s="13"/>
      <c r="W990" s="13"/>
      <c r="Y990" s="13"/>
      <c r="AQ990" s="14"/>
      <c r="AR990" s="14"/>
      <c r="AS990" s="14"/>
    </row>
    <row r="991" ht="15.75" customHeight="1">
      <c r="B991" s="138"/>
      <c r="N991" s="13"/>
      <c r="Q991" s="13"/>
      <c r="S991" s="13"/>
      <c r="U991" s="13"/>
      <c r="W991" s="13"/>
      <c r="Y991" s="13"/>
      <c r="AQ991" s="14"/>
      <c r="AR991" s="14"/>
      <c r="AS991" s="14"/>
    </row>
    <row r="992" ht="15.75" customHeight="1">
      <c r="B992" s="138"/>
      <c r="N992" s="13"/>
      <c r="Q992" s="13"/>
      <c r="S992" s="13"/>
      <c r="U992" s="13"/>
      <c r="W992" s="13"/>
      <c r="Y992" s="13"/>
      <c r="AQ992" s="14"/>
      <c r="AR992" s="14"/>
      <c r="AS992" s="14"/>
    </row>
    <row r="993" ht="15.75" customHeight="1">
      <c r="B993" s="138"/>
      <c r="N993" s="13"/>
      <c r="Q993" s="13"/>
      <c r="S993" s="13"/>
      <c r="U993" s="13"/>
      <c r="W993" s="13"/>
      <c r="Y993" s="13"/>
      <c r="AQ993" s="14"/>
      <c r="AR993" s="14"/>
      <c r="AS993" s="14"/>
    </row>
    <row r="994" ht="15.75" customHeight="1">
      <c r="B994" s="138"/>
      <c r="N994" s="13"/>
      <c r="Q994" s="13"/>
      <c r="S994" s="13"/>
      <c r="U994" s="13"/>
      <c r="W994" s="13"/>
      <c r="Y994" s="13"/>
      <c r="AQ994" s="14"/>
      <c r="AR994" s="14"/>
      <c r="AS994" s="14"/>
    </row>
    <row r="995" ht="15.75" customHeight="1">
      <c r="B995" s="138"/>
      <c r="N995" s="13"/>
      <c r="Q995" s="13"/>
      <c r="S995" s="13"/>
      <c r="U995" s="13"/>
      <c r="W995" s="13"/>
      <c r="Y995" s="13"/>
      <c r="AQ995" s="14"/>
      <c r="AR995" s="14"/>
      <c r="AS995" s="14"/>
    </row>
    <row r="996" ht="15.75" customHeight="1">
      <c r="B996" s="138"/>
      <c r="N996" s="13"/>
      <c r="Q996" s="13"/>
      <c r="S996" s="13"/>
      <c r="U996" s="13"/>
      <c r="W996" s="13"/>
      <c r="Y996" s="13"/>
      <c r="AQ996" s="14"/>
      <c r="AR996" s="14"/>
      <c r="AS996" s="14"/>
    </row>
    <row r="997" ht="15.75" customHeight="1">
      <c r="B997" s="138"/>
      <c r="N997" s="13"/>
      <c r="Q997" s="13"/>
      <c r="S997" s="13"/>
      <c r="U997" s="13"/>
      <c r="W997" s="13"/>
      <c r="Y997" s="13"/>
      <c r="AQ997" s="14"/>
      <c r="AR997" s="14"/>
      <c r="AS997" s="14"/>
    </row>
    <row r="998" ht="15.75" customHeight="1">
      <c r="B998" s="138"/>
      <c r="N998" s="13"/>
      <c r="Q998" s="13"/>
      <c r="S998" s="13"/>
      <c r="U998" s="13"/>
      <c r="W998" s="13"/>
      <c r="Y998" s="13"/>
      <c r="AQ998" s="14"/>
      <c r="AR998" s="14"/>
      <c r="AS998" s="14"/>
    </row>
    <row r="999" ht="15.75" customHeight="1">
      <c r="B999" s="138"/>
      <c r="N999" s="13"/>
      <c r="Q999" s="13"/>
      <c r="S999" s="13"/>
      <c r="U999" s="13"/>
      <c r="W999" s="13"/>
      <c r="Y999" s="13"/>
      <c r="AQ999" s="14"/>
      <c r="AR999" s="14"/>
      <c r="AS999" s="14"/>
    </row>
    <row r="1000" ht="15.75" customHeight="1">
      <c r="B1000" s="138"/>
      <c r="N1000" s="13"/>
      <c r="Q1000" s="13"/>
      <c r="S1000" s="13"/>
      <c r="U1000" s="13"/>
      <c r="W1000" s="13"/>
      <c r="Y1000" s="13"/>
      <c r="AQ1000" s="14"/>
      <c r="AR1000" s="14"/>
      <c r="AS1000" s="14"/>
    </row>
    <row r="1001" ht="15.75" customHeight="1">
      <c r="B1001" s="138"/>
      <c r="N1001" s="13"/>
      <c r="Q1001" s="13"/>
      <c r="S1001" s="13"/>
      <c r="U1001" s="13"/>
      <c r="W1001" s="13"/>
      <c r="Y1001" s="13"/>
      <c r="AQ1001" s="14"/>
      <c r="AR1001" s="14"/>
      <c r="AS1001" s="14"/>
    </row>
    <row r="1002" ht="15.75" customHeight="1">
      <c r="B1002" s="138"/>
      <c r="N1002" s="13"/>
      <c r="Q1002" s="13"/>
      <c r="S1002" s="13"/>
      <c r="U1002" s="13"/>
      <c r="W1002" s="13"/>
      <c r="Y1002" s="13"/>
      <c r="AQ1002" s="14"/>
      <c r="AR1002" s="14"/>
      <c r="AS1002" s="14"/>
    </row>
    <row r="1003" ht="15.75" customHeight="1">
      <c r="B1003" s="138"/>
      <c r="N1003" s="13"/>
      <c r="Q1003" s="13"/>
      <c r="S1003" s="13"/>
      <c r="U1003" s="13"/>
      <c r="W1003" s="13"/>
      <c r="Y1003" s="13"/>
      <c r="AQ1003" s="14"/>
      <c r="AR1003" s="14"/>
      <c r="AS1003" s="14"/>
    </row>
    <row r="1004" ht="15.75" customHeight="1">
      <c r="B1004" s="138"/>
      <c r="N1004" s="13"/>
      <c r="Q1004" s="13"/>
      <c r="S1004" s="13"/>
      <c r="U1004" s="13"/>
      <c r="W1004" s="13"/>
      <c r="Y1004" s="13"/>
      <c r="AQ1004" s="14"/>
      <c r="AR1004" s="14"/>
      <c r="AS1004" s="14"/>
    </row>
    <row r="1005" ht="15.75" customHeight="1">
      <c r="B1005" s="138"/>
      <c r="N1005" s="13"/>
      <c r="Q1005" s="13"/>
      <c r="S1005" s="13"/>
      <c r="U1005" s="13"/>
      <c r="W1005" s="13"/>
      <c r="Y1005" s="13"/>
      <c r="AQ1005" s="14"/>
      <c r="AR1005" s="14"/>
      <c r="AS1005" s="14"/>
    </row>
    <row r="1006" ht="15.75" customHeight="1">
      <c r="B1006" s="138"/>
      <c r="N1006" s="13"/>
      <c r="Q1006" s="13"/>
      <c r="S1006" s="13"/>
      <c r="U1006" s="13"/>
      <c r="W1006" s="13"/>
      <c r="Y1006" s="13"/>
      <c r="AQ1006" s="14"/>
      <c r="AR1006" s="14"/>
      <c r="AS1006" s="14"/>
    </row>
    <row r="1007" ht="15.75" customHeight="1">
      <c r="B1007" s="138"/>
      <c r="N1007" s="13"/>
      <c r="Q1007" s="13"/>
      <c r="S1007" s="13"/>
      <c r="U1007" s="13"/>
      <c r="W1007" s="13"/>
      <c r="Y1007" s="13"/>
      <c r="AQ1007" s="14"/>
      <c r="AR1007" s="14"/>
      <c r="AS1007" s="14"/>
    </row>
    <row r="1008" ht="15.75" customHeight="1">
      <c r="B1008" s="138"/>
      <c r="N1008" s="13"/>
      <c r="Q1008" s="13"/>
      <c r="S1008" s="13"/>
      <c r="U1008" s="13"/>
      <c r="W1008" s="13"/>
      <c r="Y1008" s="13"/>
      <c r="AQ1008" s="14"/>
      <c r="AR1008" s="14"/>
      <c r="AS1008" s="14"/>
    </row>
    <row r="1009" ht="15.75" customHeight="1">
      <c r="B1009" s="138"/>
      <c r="N1009" s="13"/>
      <c r="Q1009" s="13"/>
      <c r="S1009" s="13"/>
      <c r="U1009" s="13"/>
      <c r="W1009" s="13"/>
      <c r="Y1009" s="13"/>
      <c r="AQ1009" s="14"/>
      <c r="AR1009" s="14"/>
      <c r="AS1009" s="14"/>
    </row>
    <row r="1010" ht="15.75" customHeight="1">
      <c r="B1010" s="138"/>
      <c r="N1010" s="13"/>
      <c r="Q1010" s="13"/>
      <c r="S1010" s="13"/>
      <c r="U1010" s="13"/>
      <c r="W1010" s="13"/>
      <c r="Y1010" s="13"/>
      <c r="AQ1010" s="14"/>
      <c r="AR1010" s="14"/>
      <c r="AS1010" s="14"/>
    </row>
    <row r="1011" ht="15.75" customHeight="1">
      <c r="B1011" s="138"/>
      <c r="N1011" s="13"/>
      <c r="Q1011" s="13"/>
      <c r="S1011" s="13"/>
      <c r="U1011" s="13"/>
      <c r="W1011" s="13"/>
      <c r="Y1011" s="13"/>
      <c r="AQ1011" s="14"/>
      <c r="AR1011" s="14"/>
      <c r="AS1011" s="14"/>
    </row>
    <row r="1012" ht="15.75" customHeight="1">
      <c r="B1012" s="138"/>
      <c r="N1012" s="13"/>
      <c r="Q1012" s="13"/>
      <c r="S1012" s="13"/>
      <c r="U1012" s="13"/>
      <c r="W1012" s="13"/>
      <c r="Y1012" s="13"/>
      <c r="AQ1012" s="14"/>
      <c r="AR1012" s="14"/>
      <c r="AS1012" s="14"/>
    </row>
    <row r="1013" ht="15.75" customHeight="1">
      <c r="B1013" s="138"/>
      <c r="N1013" s="13"/>
      <c r="Q1013" s="13"/>
      <c r="S1013" s="13"/>
      <c r="U1013" s="13"/>
      <c r="W1013" s="13"/>
      <c r="Y1013" s="13"/>
      <c r="AQ1013" s="14"/>
      <c r="AR1013" s="14"/>
      <c r="AS1013" s="14"/>
    </row>
    <row r="1014" ht="15.75" customHeight="1">
      <c r="B1014" s="138"/>
      <c r="N1014" s="13"/>
      <c r="Q1014" s="13"/>
      <c r="S1014" s="13"/>
      <c r="U1014" s="13"/>
      <c r="W1014" s="13"/>
      <c r="Y1014" s="13"/>
      <c r="AQ1014" s="14"/>
      <c r="AR1014" s="14"/>
      <c r="AS1014" s="14"/>
    </row>
    <row r="1015" ht="15.75" customHeight="1">
      <c r="B1015" s="138"/>
      <c r="N1015" s="13"/>
      <c r="Q1015" s="13"/>
      <c r="S1015" s="13"/>
      <c r="U1015" s="13"/>
      <c r="W1015" s="13"/>
      <c r="Y1015" s="13"/>
      <c r="AQ1015" s="14"/>
      <c r="AR1015" s="14"/>
      <c r="AS1015" s="14"/>
    </row>
    <row r="1016" ht="15.75" customHeight="1">
      <c r="B1016" s="138"/>
      <c r="N1016" s="13"/>
      <c r="Q1016" s="13"/>
      <c r="S1016" s="13"/>
      <c r="U1016" s="13"/>
      <c r="W1016" s="13"/>
      <c r="Y1016" s="13"/>
      <c r="AQ1016" s="14"/>
      <c r="AR1016" s="14"/>
      <c r="AS1016" s="14"/>
    </row>
    <row r="1017" ht="15.75" customHeight="1">
      <c r="B1017" s="138"/>
      <c r="N1017" s="13"/>
      <c r="Q1017" s="13"/>
      <c r="S1017" s="13"/>
      <c r="U1017" s="13"/>
      <c r="W1017" s="13"/>
      <c r="Y1017" s="13"/>
      <c r="AQ1017" s="14"/>
      <c r="AR1017" s="14"/>
      <c r="AS1017" s="14"/>
    </row>
    <row r="1018" ht="15.75" customHeight="1">
      <c r="B1018" s="138"/>
      <c r="N1018" s="13"/>
      <c r="Q1018" s="13"/>
      <c r="S1018" s="13"/>
      <c r="U1018" s="13"/>
      <c r="W1018" s="13"/>
      <c r="Y1018" s="13"/>
      <c r="AQ1018" s="14"/>
      <c r="AR1018" s="14"/>
      <c r="AS1018" s="14"/>
    </row>
    <row r="1019" ht="15.75" customHeight="1">
      <c r="B1019" s="138"/>
      <c r="N1019" s="13"/>
      <c r="Q1019" s="13"/>
      <c r="S1019" s="13"/>
      <c r="U1019" s="13"/>
      <c r="W1019" s="13"/>
      <c r="Y1019" s="13"/>
      <c r="AQ1019" s="14"/>
      <c r="AR1019" s="14"/>
      <c r="AS1019" s="14"/>
    </row>
    <row r="1020" ht="15.75" customHeight="1">
      <c r="B1020" s="138"/>
      <c r="N1020" s="13"/>
      <c r="Q1020" s="13"/>
      <c r="S1020" s="13"/>
      <c r="U1020" s="13"/>
      <c r="W1020" s="13"/>
      <c r="Y1020" s="13"/>
      <c r="AQ1020" s="14"/>
      <c r="AR1020" s="14"/>
      <c r="AS1020" s="14"/>
    </row>
    <row r="1021" ht="15.75" customHeight="1">
      <c r="B1021" s="138"/>
      <c r="N1021" s="13"/>
      <c r="Q1021" s="13"/>
      <c r="S1021" s="13"/>
      <c r="U1021" s="13"/>
      <c r="W1021" s="13"/>
      <c r="Y1021" s="13"/>
      <c r="AQ1021" s="14"/>
      <c r="AR1021" s="14"/>
      <c r="AS1021" s="14"/>
    </row>
    <row r="1022" ht="15.75" customHeight="1">
      <c r="B1022" s="138"/>
      <c r="N1022" s="13"/>
      <c r="Q1022" s="13"/>
      <c r="S1022" s="13"/>
      <c r="U1022" s="13"/>
      <c r="W1022" s="13"/>
      <c r="Y1022" s="13"/>
      <c r="AQ1022" s="14"/>
      <c r="AR1022" s="14"/>
      <c r="AS1022" s="14"/>
    </row>
    <row r="1023" ht="15.75" customHeight="1">
      <c r="B1023" s="138"/>
      <c r="N1023" s="13"/>
      <c r="Q1023" s="13"/>
      <c r="S1023" s="13"/>
      <c r="U1023" s="13"/>
      <c r="W1023" s="13"/>
      <c r="Y1023" s="13"/>
      <c r="AQ1023" s="14"/>
      <c r="AR1023" s="14"/>
      <c r="AS1023" s="14"/>
    </row>
    <row r="1024" ht="15.75" customHeight="1">
      <c r="B1024" s="138"/>
      <c r="N1024" s="13"/>
      <c r="Q1024" s="13"/>
      <c r="S1024" s="13"/>
      <c r="U1024" s="13"/>
      <c r="W1024" s="13"/>
      <c r="Y1024" s="13"/>
      <c r="AQ1024" s="14"/>
      <c r="AR1024" s="14"/>
      <c r="AS1024" s="14"/>
    </row>
    <row r="1025" ht="15.75" customHeight="1">
      <c r="B1025" s="138"/>
      <c r="N1025" s="13"/>
      <c r="Q1025" s="13"/>
      <c r="S1025" s="13"/>
      <c r="U1025" s="13"/>
      <c r="W1025" s="13"/>
      <c r="Y1025" s="13"/>
      <c r="AQ1025" s="14"/>
      <c r="AR1025" s="14"/>
      <c r="AS1025" s="14"/>
    </row>
    <row r="1026" ht="15.75" customHeight="1">
      <c r="B1026" s="138"/>
      <c r="N1026" s="13"/>
      <c r="Q1026" s="13"/>
      <c r="S1026" s="13"/>
      <c r="U1026" s="13"/>
      <c r="W1026" s="13"/>
      <c r="Y1026" s="13"/>
      <c r="AQ1026" s="14"/>
      <c r="AR1026" s="14"/>
      <c r="AS1026" s="14"/>
    </row>
    <row r="1027" ht="15.75" customHeight="1">
      <c r="B1027" s="138"/>
      <c r="N1027" s="13"/>
      <c r="Q1027" s="13"/>
      <c r="S1027" s="13"/>
      <c r="U1027" s="13"/>
      <c r="W1027" s="13"/>
      <c r="Y1027" s="13"/>
      <c r="AQ1027" s="14"/>
      <c r="AR1027" s="14"/>
      <c r="AS1027" s="14"/>
    </row>
    <row r="1028" ht="15.75" customHeight="1">
      <c r="B1028" s="138"/>
      <c r="N1028" s="13"/>
      <c r="Q1028" s="13"/>
      <c r="S1028" s="13"/>
      <c r="U1028" s="13"/>
      <c r="W1028" s="13"/>
      <c r="Y1028" s="13"/>
      <c r="AQ1028" s="14"/>
      <c r="AR1028" s="14"/>
      <c r="AS1028" s="14"/>
    </row>
    <row r="1029" ht="15.75" customHeight="1">
      <c r="B1029" s="138"/>
      <c r="N1029" s="13"/>
      <c r="Q1029" s="13"/>
      <c r="S1029" s="13"/>
      <c r="U1029" s="13"/>
      <c r="W1029" s="13"/>
      <c r="Y1029" s="13"/>
      <c r="AQ1029" s="14"/>
      <c r="AR1029" s="14"/>
      <c r="AS1029" s="14"/>
    </row>
    <row r="1030" ht="15.75" customHeight="1">
      <c r="B1030" s="138"/>
      <c r="N1030" s="13"/>
      <c r="Q1030" s="13"/>
      <c r="S1030" s="13"/>
      <c r="U1030" s="13"/>
      <c r="W1030" s="13"/>
      <c r="Y1030" s="13"/>
      <c r="AQ1030" s="14"/>
      <c r="AR1030" s="14"/>
      <c r="AS1030" s="14"/>
    </row>
    <row r="1031" ht="15.75" customHeight="1">
      <c r="B1031" s="138"/>
      <c r="N1031" s="13"/>
      <c r="Q1031" s="13"/>
      <c r="S1031" s="13"/>
      <c r="U1031" s="13"/>
      <c r="W1031" s="13"/>
      <c r="Y1031" s="13"/>
      <c r="AQ1031" s="14"/>
      <c r="AR1031" s="14"/>
      <c r="AS1031" s="14"/>
    </row>
    <row r="1032" ht="15.75" customHeight="1">
      <c r="B1032" s="138"/>
      <c r="N1032" s="13"/>
      <c r="Q1032" s="13"/>
      <c r="S1032" s="13"/>
      <c r="U1032" s="13"/>
      <c r="W1032" s="13"/>
      <c r="Y1032" s="13"/>
      <c r="AQ1032" s="14"/>
      <c r="AR1032" s="14"/>
      <c r="AS1032" s="14"/>
    </row>
    <row r="1033" ht="15.75" customHeight="1">
      <c r="B1033" s="138"/>
      <c r="N1033" s="13"/>
      <c r="Q1033" s="13"/>
      <c r="S1033" s="13"/>
      <c r="U1033" s="13"/>
      <c r="W1033" s="13"/>
      <c r="Y1033" s="13"/>
      <c r="AQ1033" s="14"/>
      <c r="AR1033" s="14"/>
      <c r="AS1033" s="14"/>
    </row>
    <row r="1034" ht="15.75" customHeight="1">
      <c r="B1034" s="138"/>
      <c r="N1034" s="13"/>
      <c r="Q1034" s="13"/>
      <c r="S1034" s="13"/>
      <c r="U1034" s="13"/>
      <c r="W1034" s="13"/>
      <c r="Y1034" s="13"/>
      <c r="AQ1034" s="14"/>
      <c r="AR1034" s="14"/>
      <c r="AS1034" s="14"/>
    </row>
    <row r="1035" ht="15.75" customHeight="1">
      <c r="B1035" s="138"/>
      <c r="N1035" s="13"/>
      <c r="Q1035" s="13"/>
      <c r="S1035" s="13"/>
      <c r="U1035" s="13"/>
      <c r="W1035" s="13"/>
      <c r="Y1035" s="13"/>
      <c r="AQ1035" s="14"/>
      <c r="AR1035" s="14"/>
      <c r="AS1035" s="14"/>
    </row>
    <row r="1036" ht="15.75" customHeight="1">
      <c r="B1036" s="138"/>
      <c r="N1036" s="13"/>
      <c r="Q1036" s="13"/>
      <c r="S1036" s="13"/>
      <c r="U1036" s="13"/>
      <c r="W1036" s="13"/>
      <c r="Y1036" s="13"/>
      <c r="AQ1036" s="14"/>
      <c r="AR1036" s="14"/>
      <c r="AS1036" s="14"/>
    </row>
    <row r="1037" ht="15.75" customHeight="1">
      <c r="B1037" s="138"/>
      <c r="N1037" s="13"/>
      <c r="Q1037" s="13"/>
      <c r="S1037" s="13"/>
      <c r="U1037" s="13"/>
      <c r="W1037" s="13"/>
      <c r="Y1037" s="13"/>
      <c r="AQ1037" s="14"/>
      <c r="AR1037" s="14"/>
      <c r="AS1037" s="14"/>
    </row>
    <row r="1038" ht="15.75" customHeight="1">
      <c r="B1038" s="138"/>
      <c r="N1038" s="13"/>
      <c r="Q1038" s="13"/>
      <c r="S1038" s="13"/>
      <c r="U1038" s="13"/>
      <c r="W1038" s="13"/>
      <c r="Y1038" s="13"/>
      <c r="AQ1038" s="14"/>
      <c r="AR1038" s="14"/>
      <c r="AS1038" s="14"/>
    </row>
    <row r="1039" ht="15.75" customHeight="1">
      <c r="B1039" s="138"/>
      <c r="N1039" s="13"/>
      <c r="Q1039" s="13"/>
      <c r="S1039" s="13"/>
      <c r="U1039" s="13"/>
      <c r="W1039" s="13"/>
      <c r="Y1039" s="13"/>
      <c r="AQ1039" s="14"/>
      <c r="AR1039" s="14"/>
      <c r="AS1039" s="14"/>
    </row>
    <row r="1040" ht="15.75" customHeight="1">
      <c r="B1040" s="138"/>
      <c r="N1040" s="13"/>
      <c r="Q1040" s="13"/>
      <c r="S1040" s="13"/>
      <c r="U1040" s="13"/>
      <c r="W1040" s="13"/>
      <c r="Y1040" s="13"/>
      <c r="AQ1040" s="14"/>
      <c r="AR1040" s="14"/>
      <c r="AS1040" s="14"/>
    </row>
    <row r="1041" ht="15.75" customHeight="1">
      <c r="B1041" s="138"/>
      <c r="N1041" s="13"/>
      <c r="Q1041" s="13"/>
      <c r="S1041" s="13"/>
      <c r="U1041" s="13"/>
      <c r="W1041" s="13"/>
      <c r="Y1041" s="13"/>
      <c r="AQ1041" s="14"/>
      <c r="AR1041" s="14"/>
      <c r="AS1041" s="14"/>
    </row>
    <row r="1042" ht="15.75" customHeight="1">
      <c r="B1042" s="138"/>
      <c r="N1042" s="13"/>
      <c r="Q1042" s="13"/>
      <c r="S1042" s="13"/>
      <c r="U1042" s="13"/>
      <c r="W1042" s="13"/>
      <c r="Y1042" s="13"/>
      <c r="AQ1042" s="14"/>
      <c r="AR1042" s="14"/>
      <c r="AS1042" s="14"/>
    </row>
    <row r="1043" ht="15.75" customHeight="1">
      <c r="B1043" s="138"/>
      <c r="N1043" s="13"/>
      <c r="Q1043" s="13"/>
      <c r="S1043" s="13"/>
      <c r="U1043" s="13"/>
      <c r="W1043" s="13"/>
      <c r="Y1043" s="13"/>
      <c r="AQ1043" s="14"/>
      <c r="AR1043" s="14"/>
      <c r="AS1043" s="14"/>
    </row>
    <row r="1044" ht="15.75" customHeight="1">
      <c r="B1044" s="138"/>
      <c r="N1044" s="13"/>
      <c r="Q1044" s="13"/>
      <c r="S1044" s="13"/>
      <c r="U1044" s="13"/>
      <c r="W1044" s="13"/>
      <c r="Y1044" s="13"/>
      <c r="AQ1044" s="14"/>
      <c r="AR1044" s="14"/>
      <c r="AS1044" s="14"/>
    </row>
    <row r="1045" ht="15.75" customHeight="1">
      <c r="B1045" s="138"/>
      <c r="N1045" s="13"/>
      <c r="Q1045" s="13"/>
      <c r="S1045" s="13"/>
      <c r="U1045" s="13"/>
      <c r="W1045" s="13"/>
      <c r="Y1045" s="13"/>
      <c r="AQ1045" s="14"/>
      <c r="AR1045" s="14"/>
      <c r="AS1045" s="14"/>
    </row>
    <row r="1046" ht="15.75" customHeight="1">
      <c r="B1046" s="138"/>
      <c r="N1046" s="13"/>
      <c r="Q1046" s="13"/>
      <c r="S1046" s="13"/>
      <c r="U1046" s="13"/>
      <c r="W1046" s="13"/>
      <c r="Y1046" s="13"/>
      <c r="AQ1046" s="14"/>
      <c r="AR1046" s="14"/>
      <c r="AS1046" s="14"/>
    </row>
    <row r="1047" ht="15.75" customHeight="1">
      <c r="B1047" s="138"/>
      <c r="N1047" s="13"/>
      <c r="Q1047" s="13"/>
      <c r="S1047" s="13"/>
      <c r="U1047" s="13"/>
      <c r="W1047" s="13"/>
      <c r="Y1047" s="13"/>
      <c r="AQ1047" s="14"/>
      <c r="AR1047" s="14"/>
      <c r="AS1047" s="14"/>
    </row>
    <row r="1048" ht="15.75" customHeight="1">
      <c r="B1048" s="138"/>
      <c r="N1048" s="13"/>
      <c r="Q1048" s="13"/>
      <c r="S1048" s="13"/>
      <c r="U1048" s="13"/>
      <c r="W1048" s="13"/>
      <c r="Y1048" s="13"/>
      <c r="AQ1048" s="14"/>
      <c r="AR1048" s="14"/>
      <c r="AS1048" s="14"/>
    </row>
    <row r="1049" ht="15.75" customHeight="1">
      <c r="B1049" s="138"/>
      <c r="N1049" s="13"/>
      <c r="Q1049" s="13"/>
      <c r="S1049" s="13"/>
      <c r="U1049" s="13"/>
      <c r="W1049" s="13"/>
      <c r="Y1049" s="13"/>
      <c r="AQ1049" s="14"/>
      <c r="AR1049" s="14"/>
      <c r="AS1049" s="14"/>
    </row>
    <row r="1050" ht="15.75" customHeight="1">
      <c r="B1050" s="138"/>
      <c r="N1050" s="13"/>
      <c r="Q1050" s="13"/>
      <c r="S1050" s="13"/>
      <c r="U1050" s="13"/>
      <c r="W1050" s="13"/>
      <c r="Y1050" s="13"/>
      <c r="AQ1050" s="14"/>
      <c r="AR1050" s="14"/>
      <c r="AS1050" s="14"/>
    </row>
    <row r="1051" ht="15.75" customHeight="1">
      <c r="B1051" s="138"/>
      <c r="N1051" s="13"/>
      <c r="Q1051" s="13"/>
      <c r="S1051" s="13"/>
      <c r="U1051" s="13"/>
      <c r="W1051" s="13"/>
      <c r="Y1051" s="13"/>
      <c r="AQ1051" s="14"/>
      <c r="AR1051" s="14"/>
      <c r="AS1051" s="14"/>
    </row>
    <row r="1052" ht="15.75" customHeight="1">
      <c r="B1052" s="138"/>
      <c r="N1052" s="13"/>
      <c r="Q1052" s="13"/>
      <c r="S1052" s="13"/>
      <c r="U1052" s="13"/>
      <c r="W1052" s="13"/>
      <c r="Y1052" s="13"/>
      <c r="AQ1052" s="14"/>
      <c r="AR1052" s="14"/>
      <c r="AS1052" s="14"/>
    </row>
    <row r="1053" ht="15.75" customHeight="1">
      <c r="B1053" s="138"/>
      <c r="N1053" s="13"/>
      <c r="Q1053" s="13"/>
      <c r="S1053" s="13"/>
      <c r="U1053" s="13"/>
      <c r="W1053" s="13"/>
      <c r="Y1053" s="13"/>
      <c r="AQ1053" s="14"/>
      <c r="AR1053" s="14"/>
      <c r="AS1053" s="14"/>
    </row>
    <row r="1054" ht="15.75" customHeight="1">
      <c r="B1054" s="138"/>
      <c r="N1054" s="13"/>
      <c r="Q1054" s="13"/>
      <c r="S1054" s="13"/>
      <c r="U1054" s="13"/>
      <c r="W1054" s="13"/>
      <c r="Y1054" s="13"/>
      <c r="AQ1054" s="14"/>
      <c r="AR1054" s="14"/>
      <c r="AS1054" s="14"/>
    </row>
    <row r="1055" ht="15.75" customHeight="1">
      <c r="B1055" s="138"/>
      <c r="N1055" s="13"/>
      <c r="Q1055" s="13"/>
      <c r="S1055" s="13"/>
      <c r="U1055" s="13"/>
      <c r="W1055" s="13"/>
      <c r="Y1055" s="13"/>
      <c r="AQ1055" s="14"/>
      <c r="AR1055" s="14"/>
      <c r="AS1055" s="14"/>
    </row>
    <row r="1056" ht="15.75" customHeight="1">
      <c r="B1056" s="138"/>
      <c r="N1056" s="13"/>
      <c r="Q1056" s="13"/>
      <c r="S1056" s="13"/>
      <c r="U1056" s="13"/>
      <c r="W1056" s="13"/>
      <c r="Y1056" s="13"/>
      <c r="AQ1056" s="14"/>
      <c r="AR1056" s="14"/>
      <c r="AS1056" s="14"/>
    </row>
    <row r="1057" ht="15.75" customHeight="1">
      <c r="B1057" s="138"/>
      <c r="N1057" s="13"/>
      <c r="Q1057" s="13"/>
      <c r="S1057" s="13"/>
      <c r="U1057" s="13"/>
      <c r="W1057" s="13"/>
      <c r="Y1057" s="13"/>
      <c r="AQ1057" s="14"/>
      <c r="AR1057" s="14"/>
      <c r="AS1057" s="14"/>
    </row>
    <row r="1058" ht="15.75" customHeight="1">
      <c r="B1058" s="138"/>
      <c r="N1058" s="13"/>
      <c r="Q1058" s="13"/>
      <c r="S1058" s="13"/>
      <c r="U1058" s="13"/>
      <c r="W1058" s="13"/>
      <c r="Y1058" s="13"/>
      <c r="AQ1058" s="14"/>
      <c r="AR1058" s="14"/>
      <c r="AS1058" s="14"/>
    </row>
    <row r="1059" ht="15.75" customHeight="1">
      <c r="B1059" s="138"/>
      <c r="N1059" s="13"/>
      <c r="Q1059" s="13"/>
      <c r="S1059" s="13"/>
      <c r="U1059" s="13"/>
      <c r="W1059" s="13"/>
      <c r="Y1059" s="13"/>
      <c r="AQ1059" s="14"/>
      <c r="AR1059" s="14"/>
      <c r="AS1059" s="14"/>
    </row>
    <row r="1060" ht="15.75" customHeight="1">
      <c r="B1060" s="138"/>
      <c r="N1060" s="13"/>
      <c r="Q1060" s="13"/>
      <c r="S1060" s="13"/>
      <c r="U1060" s="13"/>
      <c r="W1060" s="13"/>
      <c r="Y1060" s="13"/>
      <c r="AQ1060" s="14"/>
      <c r="AR1060" s="14"/>
      <c r="AS1060" s="14"/>
    </row>
    <row r="1061" ht="15.75" customHeight="1">
      <c r="B1061" s="138"/>
      <c r="N1061" s="13"/>
      <c r="Q1061" s="13"/>
      <c r="S1061" s="13"/>
      <c r="U1061" s="13"/>
      <c r="W1061" s="13"/>
      <c r="Y1061" s="13"/>
      <c r="AQ1061" s="14"/>
      <c r="AR1061" s="14"/>
      <c r="AS1061" s="14"/>
    </row>
    <row r="1062" ht="15.75" customHeight="1">
      <c r="B1062" s="138"/>
      <c r="N1062" s="13"/>
      <c r="Q1062" s="13"/>
      <c r="S1062" s="13"/>
      <c r="U1062" s="13"/>
      <c r="W1062" s="13"/>
      <c r="Y1062" s="13"/>
      <c r="AQ1062" s="14"/>
      <c r="AR1062" s="14"/>
      <c r="AS1062" s="14"/>
    </row>
    <row r="1063" ht="15.75" customHeight="1">
      <c r="B1063" s="138"/>
      <c r="N1063" s="13"/>
      <c r="Q1063" s="13"/>
      <c r="S1063" s="13"/>
      <c r="U1063" s="13"/>
      <c r="W1063" s="13"/>
      <c r="Y1063" s="13"/>
      <c r="AQ1063" s="14"/>
      <c r="AR1063" s="14"/>
      <c r="AS1063" s="14"/>
    </row>
    <row r="1064" ht="15.75" customHeight="1">
      <c r="B1064" s="138"/>
      <c r="N1064" s="13"/>
      <c r="Q1064" s="13"/>
      <c r="S1064" s="13"/>
      <c r="U1064" s="13"/>
      <c r="W1064" s="13"/>
      <c r="Y1064" s="13"/>
      <c r="AQ1064" s="14"/>
      <c r="AR1064" s="14"/>
      <c r="AS1064" s="14"/>
    </row>
    <row r="1065" ht="15.75" customHeight="1">
      <c r="B1065" s="138"/>
      <c r="N1065" s="13"/>
      <c r="Q1065" s="13"/>
      <c r="S1065" s="13"/>
      <c r="U1065" s="13"/>
      <c r="W1065" s="13"/>
      <c r="Y1065" s="13"/>
      <c r="AQ1065" s="14"/>
      <c r="AR1065" s="14"/>
      <c r="AS1065" s="14"/>
    </row>
    <row r="1066" ht="15.75" customHeight="1">
      <c r="B1066" s="138"/>
      <c r="N1066" s="13"/>
      <c r="Q1066" s="13"/>
      <c r="S1066" s="13"/>
      <c r="U1066" s="13"/>
      <c r="W1066" s="13"/>
      <c r="Y1066" s="13"/>
      <c r="AQ1066" s="14"/>
      <c r="AR1066" s="14"/>
      <c r="AS1066" s="14"/>
    </row>
    <row r="1067" ht="15.75" customHeight="1">
      <c r="B1067" s="138"/>
      <c r="N1067" s="13"/>
      <c r="Q1067" s="13"/>
      <c r="S1067" s="13"/>
      <c r="U1067" s="13"/>
      <c r="W1067" s="13"/>
      <c r="Y1067" s="13"/>
      <c r="AQ1067" s="14"/>
      <c r="AR1067" s="14"/>
      <c r="AS1067" s="14"/>
    </row>
    <row r="1068" ht="15.75" customHeight="1">
      <c r="B1068" s="138"/>
      <c r="N1068" s="13"/>
      <c r="Q1068" s="13"/>
      <c r="S1068" s="13"/>
      <c r="U1068" s="13"/>
      <c r="W1068" s="13"/>
      <c r="Y1068" s="13"/>
      <c r="AQ1068" s="14"/>
      <c r="AR1068" s="14"/>
      <c r="AS1068" s="14"/>
    </row>
    <row r="1069" ht="15.75" customHeight="1">
      <c r="B1069" s="138"/>
      <c r="N1069" s="13"/>
      <c r="Q1069" s="13"/>
      <c r="S1069" s="13"/>
      <c r="U1069" s="13"/>
      <c r="W1069" s="13"/>
      <c r="Y1069" s="13"/>
      <c r="AQ1069" s="14"/>
      <c r="AR1069" s="14"/>
      <c r="AS1069" s="14"/>
    </row>
    <row r="1070" ht="15.75" customHeight="1">
      <c r="B1070" s="138"/>
      <c r="N1070" s="13"/>
      <c r="Q1070" s="13"/>
      <c r="S1070" s="13"/>
      <c r="U1070" s="13"/>
      <c r="W1070" s="13"/>
      <c r="Y1070" s="13"/>
      <c r="AQ1070" s="14"/>
      <c r="AR1070" s="14"/>
      <c r="AS1070" s="14"/>
    </row>
    <row r="1071" ht="15.75" customHeight="1">
      <c r="B1071" s="138"/>
      <c r="N1071" s="13"/>
      <c r="Q1071" s="13"/>
      <c r="S1071" s="13"/>
      <c r="U1071" s="13"/>
      <c r="W1071" s="13"/>
      <c r="Y1071" s="13"/>
      <c r="AQ1071" s="14"/>
      <c r="AR1071" s="14"/>
      <c r="AS1071" s="14"/>
    </row>
    <row r="1072" ht="15.75" customHeight="1">
      <c r="B1072" s="138"/>
      <c r="N1072" s="13"/>
      <c r="Q1072" s="13"/>
      <c r="S1072" s="13"/>
      <c r="U1072" s="13"/>
      <c r="W1072" s="13"/>
      <c r="Y1072" s="13"/>
      <c r="AQ1072" s="14"/>
      <c r="AR1072" s="14"/>
      <c r="AS1072" s="14"/>
    </row>
    <row r="1073" ht="15.75" customHeight="1">
      <c r="B1073" s="138"/>
      <c r="N1073" s="13"/>
      <c r="Q1073" s="13"/>
      <c r="S1073" s="13"/>
      <c r="U1073" s="13"/>
      <c r="W1073" s="13"/>
      <c r="Y1073" s="13"/>
      <c r="AQ1073" s="14"/>
      <c r="AR1073" s="14"/>
      <c r="AS1073" s="14"/>
    </row>
    <row r="1074" ht="15.75" customHeight="1">
      <c r="B1074" s="138"/>
      <c r="N1074" s="13"/>
      <c r="Q1074" s="13"/>
      <c r="S1074" s="13"/>
      <c r="U1074" s="13"/>
      <c r="W1074" s="13"/>
      <c r="Y1074" s="13"/>
      <c r="AQ1074" s="14"/>
      <c r="AR1074" s="14"/>
      <c r="AS1074" s="14"/>
    </row>
    <row r="1075" ht="15.75" customHeight="1">
      <c r="B1075" s="138"/>
      <c r="N1075" s="13"/>
      <c r="Q1075" s="13"/>
      <c r="S1075" s="13"/>
      <c r="U1075" s="13"/>
      <c r="W1075" s="13"/>
      <c r="Y1075" s="13"/>
      <c r="AQ1075" s="14"/>
      <c r="AR1075" s="14"/>
      <c r="AS1075" s="14"/>
    </row>
    <row r="1076" ht="15.75" customHeight="1">
      <c r="B1076" s="138"/>
      <c r="N1076" s="13"/>
      <c r="Q1076" s="13"/>
      <c r="S1076" s="13"/>
      <c r="U1076" s="13"/>
      <c r="W1076" s="13"/>
      <c r="Y1076" s="13"/>
      <c r="AQ1076" s="14"/>
      <c r="AR1076" s="14"/>
      <c r="AS1076" s="14"/>
    </row>
    <row r="1077" ht="15.75" customHeight="1">
      <c r="B1077" s="138"/>
      <c r="N1077" s="13"/>
      <c r="Q1077" s="13"/>
      <c r="S1077" s="13"/>
      <c r="U1077" s="13"/>
      <c r="W1077" s="13"/>
      <c r="Y1077" s="13"/>
      <c r="AQ1077" s="14"/>
      <c r="AR1077" s="14"/>
      <c r="AS1077" s="14"/>
    </row>
    <row r="1078" ht="15.75" customHeight="1">
      <c r="B1078" s="138"/>
      <c r="N1078" s="13"/>
      <c r="Q1078" s="13"/>
      <c r="S1078" s="13"/>
      <c r="U1078" s="13"/>
      <c r="W1078" s="13"/>
      <c r="Y1078" s="13"/>
      <c r="AQ1078" s="14"/>
      <c r="AR1078" s="14"/>
      <c r="AS1078" s="14"/>
    </row>
    <row r="1079" ht="15.75" customHeight="1">
      <c r="B1079" s="138"/>
      <c r="N1079" s="13"/>
      <c r="Q1079" s="13"/>
      <c r="S1079" s="13"/>
      <c r="U1079" s="13"/>
      <c r="W1079" s="13"/>
      <c r="Y1079" s="13"/>
      <c r="AQ1079" s="14"/>
      <c r="AR1079" s="14"/>
      <c r="AS1079" s="14"/>
    </row>
    <row r="1080" ht="15.75" customHeight="1">
      <c r="B1080" s="138"/>
      <c r="N1080" s="13"/>
      <c r="Q1080" s="13"/>
      <c r="S1080" s="13"/>
      <c r="U1080" s="13"/>
      <c r="W1080" s="13"/>
      <c r="Y1080" s="13"/>
      <c r="AQ1080" s="14"/>
      <c r="AR1080" s="14"/>
      <c r="AS1080" s="14"/>
    </row>
    <row r="1081" ht="15.75" customHeight="1">
      <c r="B1081" s="138"/>
      <c r="N1081" s="13"/>
      <c r="Q1081" s="13"/>
      <c r="S1081" s="13"/>
      <c r="U1081" s="13"/>
      <c r="W1081" s="13"/>
      <c r="Y1081" s="13"/>
      <c r="AQ1081" s="14"/>
      <c r="AR1081" s="14"/>
      <c r="AS1081" s="14"/>
    </row>
    <row r="1082" ht="15.75" customHeight="1">
      <c r="B1082" s="138"/>
      <c r="N1082" s="13"/>
      <c r="Q1082" s="13"/>
      <c r="S1082" s="13"/>
      <c r="U1082" s="13"/>
      <c r="W1082" s="13"/>
      <c r="Y1082" s="13"/>
      <c r="AQ1082" s="14"/>
      <c r="AR1082" s="14"/>
      <c r="AS1082" s="14"/>
    </row>
    <row r="1083" ht="15.75" customHeight="1">
      <c r="B1083" s="138"/>
      <c r="N1083" s="13"/>
      <c r="Q1083" s="13"/>
      <c r="S1083" s="13"/>
      <c r="U1083" s="13"/>
      <c r="W1083" s="13"/>
      <c r="Y1083" s="13"/>
      <c r="AQ1083" s="14"/>
      <c r="AR1083" s="14"/>
      <c r="AS1083" s="14"/>
    </row>
  </sheetData>
  <mergeCells count="46">
    <mergeCell ref="A5:C5"/>
    <mergeCell ref="B142:C142"/>
    <mergeCell ref="U142:W145"/>
    <mergeCell ref="B143:C143"/>
    <mergeCell ref="B144:C144"/>
    <mergeCell ref="B145:C145"/>
    <mergeCell ref="B164:G164"/>
    <mergeCell ref="A2:C3"/>
    <mergeCell ref="D2:Z2"/>
    <mergeCell ref="AA2:AA145"/>
    <mergeCell ref="D3:X3"/>
    <mergeCell ref="Y3:Y145"/>
    <mergeCell ref="A4:C4"/>
    <mergeCell ref="D4:G4"/>
    <mergeCell ref="H4:K4"/>
    <mergeCell ref="L4:P4"/>
    <mergeCell ref="Q4:T4"/>
    <mergeCell ref="U4:X4"/>
    <mergeCell ref="AC4:AO4"/>
    <mergeCell ref="AC6:AR6"/>
    <mergeCell ref="AC15:AD17"/>
    <mergeCell ref="AG15:AP15"/>
    <mergeCell ref="AG16:AP16"/>
    <mergeCell ref="AG17:AP17"/>
    <mergeCell ref="AC18:AJ18"/>
    <mergeCell ref="AK18:AP18"/>
    <mergeCell ref="AC19:AI19"/>
    <mergeCell ref="AK19:AP20"/>
    <mergeCell ref="AC20:AI20"/>
    <mergeCell ref="AK21:AP21"/>
    <mergeCell ref="AD39:AH39"/>
    <mergeCell ref="AD40:AH40"/>
    <mergeCell ref="AD41:AH41"/>
    <mergeCell ref="AD42:AH42"/>
    <mergeCell ref="AD43:AM48"/>
    <mergeCell ref="AC21:AJ21"/>
    <mergeCell ref="AC23:AC24"/>
    <mergeCell ref="AD23:AD24"/>
    <mergeCell ref="AD36:AM36"/>
    <mergeCell ref="AD37:AH37"/>
    <mergeCell ref="AI37:AM37"/>
    <mergeCell ref="AD38:AH38"/>
    <mergeCell ref="D142:F145"/>
    <mergeCell ref="H142:J145"/>
    <mergeCell ref="L142:O145"/>
    <mergeCell ref="Q142:S145"/>
  </mergeCells>
  <printOptions/>
  <pageMargins bottom="0.75" footer="0.0" header="0.0" left="0.7" right="0.7" top="0.75"/>
  <pageSetup paperSize="8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2015-09-02T15:06:25Z</dcterms:created>
  <dc:creator>User</dc:creator>
</cp:coreProperties>
</file>