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8hz1mbln5/cbZky09atcoO0x72td9s8js3R5VlqV/4A="/>
    </ext>
  </extLst>
</workbook>
</file>

<file path=xl/sharedStrings.xml><?xml version="1.0" encoding="utf-8"?>
<sst xmlns="http://schemas.openxmlformats.org/spreadsheetml/2006/main" count="109" uniqueCount="65">
  <si>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</si>
  <si>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</si>
  <si>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</si>
  <si>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</si>
  <si>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</si>
  <si>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</si>
  <si>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</si>
  <si>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</si>
  <si>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</si>
  <si>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</si>
  <si>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>INTERNAL</t>
  </si>
  <si>
    <t xml:space="preserve">ALL CO'S </t>
  </si>
  <si>
    <t>SPLIT UP MARKS</t>
  </si>
  <si>
    <t>S.NO</t>
  </si>
  <si>
    <t>REG. NO</t>
  </si>
  <si>
    <t>NAME</t>
  </si>
  <si>
    <t>IA1</t>
  </si>
  <si>
    <t>ASSIGNMENT 1</t>
  </si>
  <si>
    <t>Assessment of Experiments</t>
  </si>
  <si>
    <t>MODEL</t>
  </si>
  <si>
    <t>TOTAL (Normalized Score 50%)</t>
  </si>
  <si>
    <t>IA2</t>
  </si>
  <si>
    <t>ASSIGNMENT 2</t>
  </si>
  <si>
    <t>WEEKLY ASSESSMENT (75)</t>
  </si>
  <si>
    <t>MODEL (25)</t>
  </si>
  <si>
    <t>TOTAL
(75% As + 25% M)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</si>
  <si>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</si>
  <si>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</si>
  <si>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</si>
  <si>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</si>
  <si>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</si>
  <si>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</si>
  <si>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</si>
  <si>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</si>
  <si>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</si>
  <si>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</si>
  <si>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</si>
  <si>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</si>
  <si>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</si>
  <si>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</si>
  <si>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</si>
  <si>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</si>
  <si>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</si>
  <si>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</si>
  <si>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</si>
  <si>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</si>
  <si>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</si>
  <si>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</si>
  <si>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</si>
  <si>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</si>
  <si>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</si>
  <si>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</si>
  <si>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</si>
  <si>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</si>
  <si>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</si>
  <si>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</si>
  <si>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</si>
  <si>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B+</t>
  </si>
  <si>
    <t>B</t>
  </si>
  <si>
    <t>RA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</si>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</sst>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b/>
      <sz val="14.0"/>
      <color rgb="FF000000"/>
      <name val="Calibri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5" fontId="4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4" fontId="5" numFmtId="0" xfId="0" applyAlignment="1" applyBorder="1" applyFont="1">
      <alignment horizontal="center"/>
    </xf>
    <xf borderId="15" fillId="5" fontId="4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4" fillId="6" fontId="4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/>
    </xf>
    <xf borderId="18" fillId="0" fontId="3" numFmtId="0" xfId="0" applyBorder="1" applyFont="1"/>
    <xf borderId="15" fillId="6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9" fillId="8" fontId="1" numFmtId="0" xfId="0" applyAlignment="1" applyBorder="1" applyFill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9" fontId="4" numFmtId="0" xfId="0" applyAlignment="1" applyBorder="1" applyFill="1" applyFont="1">
      <alignment horizontal="center" vertical="center"/>
    </xf>
    <xf borderId="22" fillId="10" fontId="4" numFmtId="0" xfId="0" applyAlignment="1" applyBorder="1" applyFill="1" applyFont="1">
      <alignment horizontal="center" vertical="center"/>
    </xf>
    <xf borderId="22" fillId="11" fontId="4" numFmtId="0" xfId="0" applyAlignment="1" applyBorder="1" applyFill="1" applyFont="1">
      <alignment horizontal="center" vertical="center"/>
    </xf>
    <xf borderId="15" fillId="9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23" fillId="0" fontId="1" numFmtId="0" xfId="0" applyAlignment="1" applyBorder="1" applyFont="1">
      <alignment horizontal="center" vertical="center"/>
    </xf>
    <xf borderId="23" fillId="12" fontId="1" numFmtId="0" xfId="0" applyAlignment="1" applyBorder="1" applyFill="1" applyFont="1">
      <alignment horizontal="center" shrinkToFit="0" textRotation="90" vertical="center" wrapText="1"/>
    </xf>
    <xf borderId="23" fillId="8" fontId="8" numFmtId="0" xfId="0" applyAlignment="1" applyBorder="1" applyFont="1">
      <alignment horizontal="center" shrinkToFit="0" textRotation="90" vertical="center" wrapText="1"/>
    </xf>
    <xf borderId="22" fillId="13" fontId="1" numFmtId="0" xfId="0" applyAlignment="1" applyBorder="1" applyFill="1" applyFont="1">
      <alignment horizontal="center" shrinkToFit="0" textRotation="90" vertical="center" wrapText="1"/>
    </xf>
    <xf borderId="23" fillId="14" fontId="1" numFmtId="0" xfId="0" applyAlignment="1" applyBorder="1" applyFill="1" applyFont="1">
      <alignment horizontal="center" shrinkToFit="0" textRotation="90" vertical="center" wrapText="1"/>
    </xf>
    <xf borderId="15" fillId="12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11" numFmtId="1" xfId="0" applyAlignment="1" applyBorder="1" applyFont="1" applyNumberFormat="1">
      <alignment horizontal="left" shrinkToFit="0" wrapText="1"/>
    </xf>
    <xf borderId="23" fillId="0" fontId="11" numFmtId="0" xfId="0" applyAlignment="1" applyBorder="1" applyFont="1">
      <alignment horizontal="left" shrinkToFit="0" wrapText="1"/>
    </xf>
    <xf borderId="23" fillId="9" fontId="12" numFmtId="0" xfId="0" applyAlignment="1" applyBorder="1" applyFont="1">
      <alignment horizontal="right"/>
    </xf>
    <xf borderId="23" fillId="15" fontId="13" numFmtId="0" xfId="0" applyAlignment="1" applyBorder="1" applyFill="1" applyFont="1">
      <alignment horizontal="center" vertical="center"/>
    </xf>
    <xf borderId="23" fillId="0" fontId="4" numFmtId="1" xfId="0" applyAlignment="1" applyBorder="1" applyFont="1" applyNumberFormat="1">
      <alignment horizontal="center" vertical="center"/>
    </xf>
    <xf borderId="23" fillId="9" fontId="4" numFmtId="0" xfId="0" applyAlignment="1" applyBorder="1" applyFont="1">
      <alignment horizontal="center" vertical="center"/>
    </xf>
    <xf borderId="23" fillId="15" fontId="4" numFmtId="1" xfId="0" applyAlignment="1" applyBorder="1" applyFont="1" applyNumberFormat="1">
      <alignment horizontal="center" vertical="center"/>
    </xf>
    <xf borderId="23" fillId="4" fontId="4" numFmtId="1" xfId="0" applyAlignment="1" applyBorder="1" applyFont="1" applyNumberFormat="1">
      <alignment horizontal="center" vertical="center"/>
    </xf>
    <xf borderId="23" fillId="9" fontId="12" numFmtId="0" xfId="0" applyAlignment="1" applyBorder="1" applyFont="1">
      <alignment horizontal="center"/>
    </xf>
    <xf borderId="0" fillId="0" fontId="7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4" fillId="4" fontId="15" numFmtId="0" xfId="0" applyAlignment="1" applyBorder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2" fillId="9" fontId="16" numFmtId="0" xfId="0" applyAlignment="1" applyBorder="1" applyFont="1">
      <alignment horizontal="center"/>
    </xf>
    <xf borderId="24" fillId="4" fontId="15" numFmtId="0" xfId="0" applyAlignment="1" applyBorder="1" applyFont="1">
      <alignment horizontal="left"/>
    </xf>
    <xf borderId="24" fillId="16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5" fillId="17" fontId="21" numFmtId="1" xfId="0" applyAlignment="1" applyBorder="1" applyFill="1" applyFont="1" applyNumberFormat="1">
      <alignment readingOrder="0" vertical="center"/>
    </xf>
    <xf borderId="25" fillId="17" fontId="21" numFmtId="0" xfId="0" applyAlignment="1" applyBorder="1" applyFont="1">
      <alignment horizontal="left" vertical="center"/>
    </xf>
    <xf borderId="26" fillId="0" fontId="3" numFmtId="0" xfId="0" applyBorder="1" applyFont="1"/>
    <xf borderId="27" fillId="0" fontId="3" numFmtId="0" xfId="0" applyBorder="1" applyFont="1"/>
    <xf borderId="15" fillId="17" fontId="21" numFmtId="1" xfId="0" applyAlignment="1" applyBorder="1" applyFont="1" applyNumberFormat="1">
      <alignment vertical="center"/>
    </xf>
    <xf borderId="28" fillId="0" fontId="3" numFmtId="0" xfId="0" applyBorder="1" applyFont="1"/>
    <xf borderId="29" fillId="0" fontId="3" numFmtId="0" xfId="0" applyBorder="1" applyFont="1"/>
    <xf borderId="15" fillId="17" fontId="21" numFmtId="1" xfId="0" applyAlignment="1" applyBorder="1" applyFont="1" applyNumberFormat="1">
      <alignment readingOrder="0"/>
    </xf>
    <xf borderId="25" fillId="17" fontId="21" numFmtId="0" xfId="0" applyAlignment="1" applyBorder="1" applyFont="1">
      <alignment horizontal="left"/>
    </xf>
    <xf borderId="4" fillId="18" fontId="22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ont="1">
      <alignment horizontal="center" vertical="center"/>
    </xf>
    <xf borderId="4" fillId="4" fontId="22" numFmtId="0" xfId="0" applyAlignment="1" applyBorder="1" applyFont="1">
      <alignment horizontal="center" shrinkToFit="0" wrapText="1"/>
    </xf>
    <xf borderId="15" fillId="9" fontId="20" numFmtId="9" xfId="0" applyAlignment="1" applyBorder="1" applyFont="1" applyNumberFormat="1">
      <alignment horizontal="center" vertical="center"/>
    </xf>
    <xf borderId="1" fillId="9" fontId="20" numFmtId="9" xfId="0" applyAlignment="1" applyBorder="1" applyFont="1" applyNumberFormat="1">
      <alignment horizontal="center" vertical="center"/>
    </xf>
    <xf borderId="30" fillId="0" fontId="3" numFmtId="0" xfId="0" applyBorder="1" applyFont="1"/>
    <xf borderId="4" fillId="4" fontId="23" numFmtId="0" xfId="0" applyAlignment="1" applyBorder="1" applyFont="1">
      <alignment horizontal="center"/>
    </xf>
    <xf borderId="4" fillId="9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7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31" fillId="0" fontId="3" numFmtId="0" xfId="0" applyBorder="1" applyFont="1"/>
    <xf borderId="31" fillId="0" fontId="7" numFmtId="0" xfId="0" applyAlignment="1" applyBorder="1" applyFont="1">
      <alignment horizontal="center" vertical="center"/>
    </xf>
    <xf borderId="22" fillId="19" fontId="2" numFmtId="2" xfId="0" applyAlignment="1" applyBorder="1" applyFill="1" applyFont="1" applyNumberFormat="1">
      <alignment horizontal="center" vertical="center"/>
    </xf>
    <xf borderId="23" fillId="19" fontId="2" numFmtId="2" xfId="0" applyAlignment="1" applyBorder="1" applyFont="1" applyNumberFormat="1">
      <alignment horizontal="center" vertical="center"/>
    </xf>
    <xf borderId="23" fillId="19" fontId="5" numFmtId="2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/>
    </xf>
    <xf borderId="4" fillId="3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23" fillId="12" fontId="1" numFmtId="0" xfId="0" applyAlignment="1" applyBorder="1" applyFont="1">
      <alignment horizontal="center" shrinkToFit="0" vertical="center" wrapText="1"/>
    </xf>
    <xf borderId="4" fillId="12" fontId="25" numFmtId="0" xfId="0" applyAlignment="1" applyBorder="1" applyFont="1">
      <alignment horizontal="center" shrinkToFit="0" wrapText="1"/>
    </xf>
    <xf borderId="23" fillId="0" fontId="5" numFmtId="0" xfId="0" applyAlignment="1" applyBorder="1" applyFont="1">
      <alignment horizontal="center" vertical="center"/>
    </xf>
    <xf borderId="4" fillId="12" fontId="25" numFmtId="0" xfId="0" applyAlignment="1" applyBorder="1" applyFont="1">
      <alignment horizontal="center" readingOrder="0" shrinkToFit="0" wrapText="1"/>
    </xf>
    <xf borderId="4" fillId="12" fontId="1" numFmtId="0" xfId="0" applyAlignment="1" applyBorder="1" applyFont="1">
      <alignment horizontal="center" shrinkToFit="0" vertical="center" wrapText="1"/>
    </xf>
    <xf borderId="17" fillId="0" fontId="5" numFmtId="1" xfId="0" applyAlignment="1" applyBorder="1" applyFont="1" applyNumberFormat="1">
      <alignment horizontal="center"/>
    </xf>
    <xf borderId="23" fillId="0" fontId="5" numFmtId="1" xfId="0" applyAlignment="1" applyBorder="1" applyFont="1" applyNumberFormat="1">
      <alignment horizontal="center"/>
    </xf>
    <xf borderId="11" fillId="12" fontId="1" numFmtId="0" xfId="0" applyAlignment="1" applyBorder="1" applyFont="1">
      <alignment horizontal="center" shrinkToFit="0" vertical="center" wrapText="1"/>
    </xf>
    <xf borderId="32" fillId="19" fontId="7" numFmtId="1" xfId="0" applyAlignment="1" applyBorder="1" applyFont="1" applyNumberFormat="1">
      <alignment horizontal="center" vertical="center"/>
    </xf>
    <xf borderId="33" fillId="19" fontId="7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4" fillId="20" fontId="6" numFmtId="0" xfId="0" applyAlignment="1" applyBorder="1" applyFill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8" fontId="4" numFmtId="1" xfId="0" applyAlignment="1" applyBorder="1" applyFont="1" applyNumberFormat="1">
      <alignment horizontal="center" readingOrder="0" vertical="center"/>
    </xf>
    <xf borderId="34" fillId="4" fontId="6" numFmtId="0" xfId="0" applyAlignment="1" applyBorder="1" applyFont="1">
      <alignment horizontal="center" vertical="center"/>
    </xf>
    <xf borderId="15" fillId="8" fontId="27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vertical="center"/>
    </xf>
    <xf borderId="4" fillId="12" fontId="28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5" fontId="7" numFmtId="1" xfId="0" applyAlignment="1" applyBorder="1" applyFont="1" applyNumberFormat="1">
      <alignment horizontal="center" vertical="center"/>
    </xf>
    <xf borderId="15" fillId="5" fontId="7" numFmtId="1" xfId="0" applyAlignment="1" applyBorder="1" applyFont="1" applyNumberFormat="1">
      <alignment horizontal="center" vertical="center"/>
    </xf>
    <xf borderId="24" fillId="16" fontId="29" numFmtId="0" xfId="0" applyAlignment="1" applyBorder="1" applyFont="1">
      <alignment horizontal="center" vertical="center"/>
    </xf>
    <xf borderId="39" fillId="21" fontId="7" numFmtId="1" xfId="0" applyAlignment="1" applyBorder="1" applyFill="1" applyFont="1" applyNumberFormat="1">
      <alignment horizontal="center" vertical="center"/>
    </xf>
    <xf borderId="15" fillId="21" fontId="7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19" fontId="7" numFmtId="1" xfId="0" applyAlignment="1" applyBorder="1" applyFont="1" applyNumberFormat="1">
      <alignment horizontal="center" vertical="center"/>
    </xf>
    <xf borderId="44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'!$AL$25:$AL$29</c:f>
            </c:strRef>
          </c:cat>
          <c:val>
            <c:numRef>
              <c:f>'Theory Assessment '!$AM$25:$AM$29</c:f>
              <c:numCache/>
            </c:numRef>
          </c:val>
        </c:ser>
        <c:ser>
          <c:idx val="1"/>
          <c:order val="1"/>
          <c:cat>
            <c:strRef>
              <c:f>'Theory Assessment '!$AL$25:$AL$29</c:f>
            </c:strRef>
          </c:cat>
          <c:val>
            <c:numRef>
              <c:f>'Theory Assessment '!$AN$22:$AN$23</c:f>
              <c:numCache/>
            </c:numRef>
          </c:val>
        </c:ser>
        <c:ser>
          <c:idx val="2"/>
          <c:order val="2"/>
          <c:cat>
            <c:strRef>
              <c:f>'Theory Assessment '!$AL$25:$AL$29</c:f>
            </c:strRef>
          </c:cat>
          <c:val>
            <c:numRef>
              <c:f>'Theory Assessment '!$AO$22:$AO$23</c:f>
              <c:numCache/>
            </c:numRef>
          </c:val>
        </c:ser>
        <c:overlap val="100"/>
        <c:axId val="1808340366"/>
        <c:axId val="1739303039"/>
      </c:barChart>
      <c:catAx>
        <c:axId val="1808340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9303039"/>
      </c:catAx>
      <c:valAx>
        <c:axId val="1739303039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834036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34" width="4.71"/>
    <col customWidth="1" min="35" max="35" width="15.71"/>
    <col customWidth="1" min="36" max="37" width="4.71"/>
    <col customWidth="1" min="38" max="38" width="7.71"/>
    <col customWidth="1" min="39" max="39" width="7.57"/>
    <col customWidth="1" min="40" max="40" width="4.71"/>
    <col customWidth="1" min="41" max="41" width="5.14"/>
    <col customWidth="1" min="42" max="43" width="5.43"/>
    <col customWidth="1" min="44" max="44" width="5.71"/>
    <col customWidth="1" min="45" max="45" width="7.43"/>
    <col customWidth="1" min="46" max="46" width="6.71"/>
    <col customWidth="1" min="47" max="47" width="4.71"/>
    <col customWidth="1" min="48" max="49" width="6.14"/>
    <col customWidth="1" min="50" max="50" width="6.43"/>
    <col customWidth="1" min="51" max="51" width="5.29"/>
    <col customWidth="1" min="52" max="53" width="3.71"/>
    <col customWidth="1" min="54" max="54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3"/>
      <c r="BB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10"/>
      <c r="AJ2" s="11"/>
      <c r="AK2" s="12"/>
      <c r="AL2" s="12"/>
      <c r="AN2" s="13"/>
      <c r="AZ2" s="14"/>
      <c r="BA2" s="14"/>
      <c r="BB2" s="14"/>
    </row>
    <row r="3" ht="30.0" customHeight="1">
      <c r="A3" s="15"/>
      <c r="B3" s="16"/>
      <c r="C3" s="17"/>
      <c r="D3" s="18" t="s">
        <v>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/>
      <c r="AH3" s="21"/>
      <c r="AI3" s="22" t="s">
        <v>3</v>
      </c>
      <c r="AJ3" s="23"/>
      <c r="AK3" s="12"/>
      <c r="AL3" s="13"/>
      <c r="BB3" s="14"/>
    </row>
    <row r="4" ht="15.0" customHeight="1">
      <c r="A4" s="24" t="s">
        <v>4</v>
      </c>
      <c r="B4" s="9"/>
      <c r="C4" s="25"/>
      <c r="D4" s="26" t="s">
        <v>5</v>
      </c>
      <c r="E4" s="9"/>
      <c r="F4" s="9"/>
      <c r="G4" s="9"/>
      <c r="H4" s="25"/>
      <c r="I4" s="27" t="s">
        <v>6</v>
      </c>
      <c r="J4" s="9"/>
      <c r="K4" s="9"/>
      <c r="L4" s="9"/>
      <c r="M4" s="25"/>
      <c r="N4" s="27" t="s">
        <v>7</v>
      </c>
      <c r="O4" s="9"/>
      <c r="P4" s="9"/>
      <c r="Q4" s="9"/>
      <c r="R4" s="9"/>
      <c r="S4" s="9"/>
      <c r="T4" s="25"/>
      <c r="U4" s="27" t="s">
        <v>8</v>
      </c>
      <c r="V4" s="9"/>
      <c r="W4" s="9"/>
      <c r="X4" s="9"/>
      <c r="Y4" s="25"/>
      <c r="Z4" s="27" t="s">
        <v>9</v>
      </c>
      <c r="AA4" s="9"/>
      <c r="AB4" s="9"/>
      <c r="AC4" s="9"/>
      <c r="AD4" s="25"/>
      <c r="AE4" s="28" t="s">
        <v>10</v>
      </c>
      <c r="AF4" s="9"/>
      <c r="AG4" s="25"/>
      <c r="AH4" s="29"/>
      <c r="AI4" s="30" t="s">
        <v>11</v>
      </c>
      <c r="AJ4" s="23"/>
      <c r="AK4" s="12"/>
      <c r="AL4" s="31"/>
    </row>
    <row r="5" ht="17.25" customHeight="1">
      <c r="A5" s="32" t="s">
        <v>12</v>
      </c>
      <c r="B5" s="33"/>
      <c r="C5" s="34"/>
      <c r="D5" s="35">
        <v>24.0</v>
      </c>
      <c r="E5" s="35">
        <v>16.0</v>
      </c>
      <c r="F5" s="35">
        <v>15.0</v>
      </c>
      <c r="G5" s="35">
        <v>5.0</v>
      </c>
      <c r="H5" s="36">
        <v>50.0</v>
      </c>
      <c r="I5" s="35">
        <v>24.0</v>
      </c>
      <c r="J5" s="35">
        <v>16.0</v>
      </c>
      <c r="K5" s="35">
        <v>15.0</v>
      </c>
      <c r="L5" s="35">
        <v>5.0</v>
      </c>
      <c r="M5" s="36">
        <v>50.0</v>
      </c>
      <c r="N5" s="35">
        <v>12.0</v>
      </c>
      <c r="O5" s="35">
        <v>8.0</v>
      </c>
      <c r="P5" s="35">
        <v>12.0</v>
      </c>
      <c r="Q5" s="35">
        <v>8.0</v>
      </c>
      <c r="R5" s="35">
        <v>15.0</v>
      </c>
      <c r="S5" s="35">
        <v>5.0</v>
      </c>
      <c r="T5" s="36">
        <v>50.0</v>
      </c>
      <c r="U5" s="35">
        <v>24.0</v>
      </c>
      <c r="V5" s="35">
        <v>16.0</v>
      </c>
      <c r="W5" s="35">
        <v>15.0</v>
      </c>
      <c r="X5" s="35">
        <v>5.0</v>
      </c>
      <c r="Y5" s="36">
        <v>50.0</v>
      </c>
      <c r="Z5" s="35">
        <v>24.0</v>
      </c>
      <c r="AA5" s="35">
        <v>16.0</v>
      </c>
      <c r="AB5" s="35">
        <v>15.0</v>
      </c>
      <c r="AC5" s="35">
        <v>5.0</v>
      </c>
      <c r="AD5" s="36">
        <v>50.0</v>
      </c>
      <c r="AE5" s="37">
        <v>75.0</v>
      </c>
      <c r="AF5" s="37">
        <v>25.0</v>
      </c>
      <c r="AG5" s="37">
        <v>100.0</v>
      </c>
      <c r="AH5" s="29"/>
      <c r="AI5" s="38">
        <v>100.0</v>
      </c>
      <c r="AJ5" s="23"/>
      <c r="AK5" s="12"/>
      <c r="AQ5" s="39"/>
      <c r="AR5" s="39"/>
      <c r="AS5" s="39"/>
      <c r="AT5" s="40"/>
    </row>
    <row r="6" ht="91.5" customHeight="1">
      <c r="A6" s="41" t="s">
        <v>13</v>
      </c>
      <c r="B6" s="41" t="s">
        <v>14</v>
      </c>
      <c r="C6" s="41" t="s">
        <v>15</v>
      </c>
      <c r="D6" s="42" t="s">
        <v>16</v>
      </c>
      <c r="E6" s="42" t="s">
        <v>17</v>
      </c>
      <c r="F6" s="42" t="s">
        <v>18</v>
      </c>
      <c r="G6" s="42" t="s">
        <v>19</v>
      </c>
      <c r="H6" s="43" t="s">
        <v>20</v>
      </c>
      <c r="I6" s="42" t="s">
        <v>16</v>
      </c>
      <c r="J6" s="42" t="s">
        <v>17</v>
      </c>
      <c r="K6" s="42" t="s">
        <v>18</v>
      </c>
      <c r="L6" s="42" t="s">
        <v>19</v>
      </c>
      <c r="M6" s="43" t="s">
        <v>20</v>
      </c>
      <c r="N6" s="42" t="s">
        <v>16</v>
      </c>
      <c r="O6" s="42" t="s">
        <v>17</v>
      </c>
      <c r="P6" s="42" t="s">
        <v>21</v>
      </c>
      <c r="Q6" s="42" t="s">
        <v>22</v>
      </c>
      <c r="R6" s="42" t="s">
        <v>18</v>
      </c>
      <c r="S6" s="42" t="s">
        <v>19</v>
      </c>
      <c r="T6" s="43" t="s">
        <v>20</v>
      </c>
      <c r="U6" s="42" t="s">
        <v>21</v>
      </c>
      <c r="V6" s="42" t="s">
        <v>22</v>
      </c>
      <c r="W6" s="42" t="s">
        <v>18</v>
      </c>
      <c r="X6" s="42" t="s">
        <v>19</v>
      </c>
      <c r="Y6" s="43" t="s">
        <v>20</v>
      </c>
      <c r="Z6" s="42" t="s">
        <v>21</v>
      </c>
      <c r="AA6" s="42" t="s">
        <v>22</v>
      </c>
      <c r="AB6" s="42" t="s">
        <v>18</v>
      </c>
      <c r="AC6" s="42" t="s">
        <v>19</v>
      </c>
      <c r="AD6" s="43" t="s">
        <v>20</v>
      </c>
      <c r="AE6" s="44" t="s">
        <v>23</v>
      </c>
      <c r="AF6" s="44" t="s">
        <v>24</v>
      </c>
      <c r="AG6" s="45" t="s">
        <v>25</v>
      </c>
      <c r="AH6" s="29"/>
      <c r="AI6" s="46" t="s">
        <v>26</v>
      </c>
      <c r="AJ6" s="23"/>
      <c r="AK6" s="39"/>
      <c r="AL6" s="47" t="s">
        <v>27</v>
      </c>
    </row>
    <row r="7" ht="16.5" customHeight="1">
      <c r="A7" s="48">
        <v>1.0</v>
      </c>
      <c r="B7" s="49"/>
      <c r="C7" s="50"/>
      <c r="D7" s="51">
        <v>24.0</v>
      </c>
      <c r="E7" s="51">
        <v>16.0</v>
      </c>
      <c r="F7" s="51">
        <v>15.0</v>
      </c>
      <c r="G7" s="52">
        <f t="shared" ref="G7:G141" si="1">IFERROR(ROUND($AF7/$AF$5*G$5,0),0)</f>
        <v>5</v>
      </c>
      <c r="H7" s="53">
        <f t="shared" ref="H7:H141" si="2">IFERROR(ROUND((((D7+E7)/(D$5+E$5))*(H$5*0.5))+(((F7+G7)/(F$5+G$5))*(H$5*0.5)),0),0)</f>
        <v>50</v>
      </c>
      <c r="I7" s="51">
        <v>23.0</v>
      </c>
      <c r="J7" s="51">
        <v>16.0</v>
      </c>
      <c r="K7" s="51">
        <v>15.0</v>
      </c>
      <c r="L7" s="52">
        <f t="shared" ref="L7:L141" si="3">IFERROR(ROUND($AF7/$AF$5*L$5,0),0)</f>
        <v>5</v>
      </c>
      <c r="M7" s="53">
        <f t="shared" ref="M7:M141" si="4">IFERROR(ROUND((((I7+J7)/(I$5+J$5))*(M$5*0.5))+(((K7+L7)/(K$5+L$5))*(M$5*0.5)),0),0)</f>
        <v>49</v>
      </c>
      <c r="N7" s="51">
        <v>12.0</v>
      </c>
      <c r="O7" s="51">
        <v>8.0</v>
      </c>
      <c r="P7" s="51">
        <v>12.0</v>
      </c>
      <c r="Q7" s="51">
        <v>8.0</v>
      </c>
      <c r="R7" s="51">
        <v>15.0</v>
      </c>
      <c r="S7" s="52">
        <f t="shared" ref="S7:S141" si="5">IFERROR(ROUND($AF7/$AF$5*S$5,0),0)</f>
        <v>5</v>
      </c>
      <c r="T7" s="53">
        <f t="shared" ref="T7:T141" si="6">IFERROR(ROUND(((SUM(N7:Q7)/SUM(N$5:Q$5))*(T$5*0.5))+(((R7+S7)/(R$5+S$5))*(T$5*0.5)),0),0)</f>
        <v>50</v>
      </c>
      <c r="U7" s="54">
        <v>24.0</v>
      </c>
      <c r="V7" s="54">
        <v>16.0</v>
      </c>
      <c r="W7" s="54">
        <v>15.0</v>
      </c>
      <c r="X7" s="52">
        <f t="shared" ref="X7:X141" si="7">IFERROR(ROUND($AF7/$AF$5*X$5,0),0)</f>
        <v>5</v>
      </c>
      <c r="Y7" s="53">
        <f t="shared" ref="Y7:Y141" si="8">IFERROR(ROUND((((U7+V7)/(U$5+V$5))*(Y$5*0.5))+(((W7+X7)/(W$5+X$5))*(Y$5*0.5)),0),0)</f>
        <v>50</v>
      </c>
      <c r="Z7" s="54">
        <v>24.0</v>
      </c>
      <c r="AA7" s="54">
        <v>16.0</v>
      </c>
      <c r="AB7" s="54">
        <v>15.0</v>
      </c>
      <c r="AC7" s="52">
        <f t="shared" ref="AC7:AC141" si="9">IFERROR(ROUND($AF7/$AF$5*AC$5,0),0)</f>
        <v>5</v>
      </c>
      <c r="AD7" s="53">
        <f t="shared" ref="AD7:AD141" si="10">IFERROR(ROUND((((Z7+AA7)/(Z$5+AA$5))*(AD$5*0.5))+(((AB7+AC7)/(AB$5+AC$5))*(AD$5*0.5)),0),0)</f>
        <v>50</v>
      </c>
      <c r="AE7" s="55">
        <f t="shared" ref="AE7:AE141" si="11">SUM(F7,K7,R7,W7,AB7)</f>
        <v>75</v>
      </c>
      <c r="AF7" s="54">
        <v>25.0</v>
      </c>
      <c r="AG7" s="56">
        <f t="shared" ref="AG7:AG141" si="12">AE7+AF7</f>
        <v>100</v>
      </c>
      <c r="AH7" s="29"/>
      <c r="AI7" s="57"/>
      <c r="AJ7" s="23"/>
      <c r="AK7" s="58"/>
      <c r="AM7" s="59" t="s">
        <v>28</v>
      </c>
      <c r="AO7" s="60"/>
      <c r="AP7" s="39"/>
      <c r="AY7" s="61"/>
      <c r="AZ7" s="62"/>
      <c r="BA7" s="40"/>
      <c r="BB7" s="40"/>
      <c r="BC7" s="40"/>
      <c r="BD7" s="40"/>
      <c r="BE7" s="40"/>
      <c r="BF7" s="40"/>
      <c r="BG7" s="40"/>
      <c r="BH7" s="40"/>
      <c r="BI7" s="40"/>
      <c r="BJ7" s="40"/>
    </row>
    <row r="8" ht="16.5" customHeight="1">
      <c r="A8" s="48">
        <v>2.0</v>
      </c>
      <c r="B8" s="49"/>
      <c r="C8" s="50"/>
      <c r="D8" s="51"/>
      <c r="E8" s="51"/>
      <c r="F8" s="51"/>
      <c r="G8" s="52">
        <f t="shared" si="1"/>
        <v>0</v>
      </c>
      <c r="H8" s="53">
        <f t="shared" si="2"/>
        <v>0</v>
      </c>
      <c r="I8" s="51"/>
      <c r="J8" s="51"/>
      <c r="K8" s="51"/>
      <c r="L8" s="52">
        <f t="shared" si="3"/>
        <v>0</v>
      </c>
      <c r="M8" s="53">
        <f t="shared" si="4"/>
        <v>0</v>
      </c>
      <c r="N8" s="51"/>
      <c r="O8" s="51"/>
      <c r="P8" s="51"/>
      <c r="Q8" s="51"/>
      <c r="R8" s="51"/>
      <c r="S8" s="52">
        <f t="shared" si="5"/>
        <v>0</v>
      </c>
      <c r="T8" s="53">
        <f t="shared" si="6"/>
        <v>0</v>
      </c>
      <c r="U8" s="54"/>
      <c r="V8" s="54"/>
      <c r="W8" s="54"/>
      <c r="X8" s="52">
        <f t="shared" si="7"/>
        <v>0</v>
      </c>
      <c r="Y8" s="53">
        <f t="shared" si="8"/>
        <v>0</v>
      </c>
      <c r="Z8" s="54"/>
      <c r="AA8" s="54"/>
      <c r="AB8" s="54"/>
      <c r="AC8" s="52">
        <f t="shared" si="9"/>
        <v>0</v>
      </c>
      <c r="AD8" s="53">
        <f t="shared" si="10"/>
        <v>0</v>
      </c>
      <c r="AE8" s="55">
        <f t="shared" si="11"/>
        <v>0</v>
      </c>
      <c r="AF8" s="54"/>
      <c r="AG8" s="56">
        <f t="shared" si="12"/>
        <v>0</v>
      </c>
      <c r="AH8" s="29"/>
      <c r="AI8" s="63"/>
      <c r="AJ8" s="23"/>
      <c r="AK8" s="58"/>
      <c r="AM8" s="59" t="s">
        <v>29</v>
      </c>
      <c r="AO8" s="60"/>
    </row>
    <row r="9" ht="16.5" customHeight="1">
      <c r="A9" s="48">
        <v>3.0</v>
      </c>
      <c r="B9" s="49"/>
      <c r="C9" s="50"/>
      <c r="D9" s="51"/>
      <c r="E9" s="51"/>
      <c r="F9" s="51"/>
      <c r="G9" s="52">
        <f t="shared" si="1"/>
        <v>0</v>
      </c>
      <c r="H9" s="53">
        <f t="shared" si="2"/>
        <v>0</v>
      </c>
      <c r="I9" s="51"/>
      <c r="J9" s="51"/>
      <c r="K9" s="51"/>
      <c r="L9" s="52">
        <f t="shared" si="3"/>
        <v>0</v>
      </c>
      <c r="M9" s="53">
        <f t="shared" si="4"/>
        <v>0</v>
      </c>
      <c r="N9" s="51"/>
      <c r="O9" s="51"/>
      <c r="P9" s="51"/>
      <c r="Q9" s="51"/>
      <c r="R9" s="51"/>
      <c r="S9" s="52">
        <f t="shared" si="5"/>
        <v>0</v>
      </c>
      <c r="T9" s="53">
        <f t="shared" si="6"/>
        <v>0</v>
      </c>
      <c r="U9" s="54"/>
      <c r="V9" s="54"/>
      <c r="W9" s="54"/>
      <c r="X9" s="52">
        <f t="shared" si="7"/>
        <v>0</v>
      </c>
      <c r="Y9" s="53">
        <f t="shared" si="8"/>
        <v>0</v>
      </c>
      <c r="Z9" s="54"/>
      <c r="AA9" s="54"/>
      <c r="AB9" s="54"/>
      <c r="AC9" s="52">
        <f t="shared" si="9"/>
        <v>0</v>
      </c>
      <c r="AD9" s="53">
        <f t="shared" si="10"/>
        <v>0</v>
      </c>
      <c r="AE9" s="55">
        <f t="shared" si="11"/>
        <v>0</v>
      </c>
      <c r="AF9" s="54"/>
      <c r="AG9" s="56">
        <f t="shared" si="12"/>
        <v>0</v>
      </c>
      <c r="AH9" s="29"/>
      <c r="AI9" s="63"/>
      <c r="AJ9" s="23"/>
      <c r="AK9" s="58"/>
      <c r="AM9" s="59" t="s">
        <v>30</v>
      </c>
      <c r="AO9" s="60"/>
    </row>
    <row r="10" ht="16.5" customHeight="1">
      <c r="A10" s="48">
        <v>4.0</v>
      </c>
      <c r="B10" s="49"/>
      <c r="C10" s="50"/>
      <c r="D10" s="51"/>
      <c r="E10" s="51"/>
      <c r="F10" s="51"/>
      <c r="G10" s="52">
        <f t="shared" si="1"/>
        <v>0</v>
      </c>
      <c r="H10" s="53">
        <f t="shared" si="2"/>
        <v>0</v>
      </c>
      <c r="I10" s="51"/>
      <c r="J10" s="51"/>
      <c r="K10" s="51"/>
      <c r="L10" s="52">
        <f t="shared" si="3"/>
        <v>0</v>
      </c>
      <c r="M10" s="53">
        <f t="shared" si="4"/>
        <v>0</v>
      </c>
      <c r="N10" s="51"/>
      <c r="O10" s="51"/>
      <c r="P10" s="51"/>
      <c r="Q10" s="51"/>
      <c r="R10" s="51"/>
      <c r="S10" s="52">
        <f t="shared" si="5"/>
        <v>0</v>
      </c>
      <c r="T10" s="53">
        <f t="shared" si="6"/>
        <v>0</v>
      </c>
      <c r="U10" s="54"/>
      <c r="V10" s="54"/>
      <c r="W10" s="54"/>
      <c r="X10" s="52">
        <f t="shared" si="7"/>
        <v>0</v>
      </c>
      <c r="Y10" s="53">
        <f t="shared" si="8"/>
        <v>0</v>
      </c>
      <c r="Z10" s="54"/>
      <c r="AA10" s="54"/>
      <c r="AB10" s="54"/>
      <c r="AC10" s="52">
        <f t="shared" si="9"/>
        <v>0</v>
      </c>
      <c r="AD10" s="53">
        <f t="shared" si="10"/>
        <v>0</v>
      </c>
      <c r="AE10" s="55">
        <f t="shared" si="11"/>
        <v>0</v>
      </c>
      <c r="AF10" s="54"/>
      <c r="AG10" s="56">
        <f t="shared" si="12"/>
        <v>0</v>
      </c>
      <c r="AH10" s="29"/>
      <c r="AI10" s="63"/>
      <c r="AJ10" s="23"/>
      <c r="AK10" s="58"/>
      <c r="AM10" s="59" t="s">
        <v>31</v>
      </c>
      <c r="AO10" s="64" t="s">
        <v>32</v>
      </c>
    </row>
    <row r="11" ht="16.5" customHeight="1">
      <c r="A11" s="48">
        <v>5.0</v>
      </c>
      <c r="B11" s="49"/>
      <c r="C11" s="50"/>
      <c r="D11" s="51"/>
      <c r="E11" s="51"/>
      <c r="F11" s="51"/>
      <c r="G11" s="52">
        <f t="shared" si="1"/>
        <v>0</v>
      </c>
      <c r="H11" s="53">
        <f t="shared" si="2"/>
        <v>0</v>
      </c>
      <c r="I11" s="51"/>
      <c r="J11" s="51"/>
      <c r="K11" s="51"/>
      <c r="L11" s="52">
        <f t="shared" si="3"/>
        <v>0</v>
      </c>
      <c r="M11" s="53">
        <f t="shared" si="4"/>
        <v>0</v>
      </c>
      <c r="N11" s="51"/>
      <c r="O11" s="51"/>
      <c r="P11" s="51"/>
      <c r="Q11" s="51"/>
      <c r="R11" s="51"/>
      <c r="S11" s="52">
        <f t="shared" si="5"/>
        <v>0</v>
      </c>
      <c r="T11" s="53">
        <f t="shared" si="6"/>
        <v>0</v>
      </c>
      <c r="U11" s="54"/>
      <c r="V11" s="54"/>
      <c r="W11" s="54"/>
      <c r="X11" s="52">
        <f t="shared" si="7"/>
        <v>0</v>
      </c>
      <c r="Y11" s="53">
        <f t="shared" si="8"/>
        <v>0</v>
      </c>
      <c r="Z11" s="54"/>
      <c r="AA11" s="54"/>
      <c r="AB11" s="54"/>
      <c r="AC11" s="52">
        <f t="shared" si="9"/>
        <v>0</v>
      </c>
      <c r="AD11" s="53">
        <f t="shared" si="10"/>
        <v>0</v>
      </c>
      <c r="AE11" s="55">
        <f t="shared" si="11"/>
        <v>0</v>
      </c>
      <c r="AF11" s="54"/>
      <c r="AG11" s="56">
        <f t="shared" si="12"/>
        <v>0</v>
      </c>
      <c r="AH11" s="29"/>
      <c r="AI11" s="63"/>
      <c r="AJ11" s="23"/>
      <c r="AK11" s="58"/>
      <c r="AM11" s="59" t="s">
        <v>33</v>
      </c>
      <c r="AO11" s="64"/>
    </row>
    <row r="12" ht="16.5" customHeight="1">
      <c r="A12" s="48">
        <v>6.0</v>
      </c>
      <c r="B12" s="49"/>
      <c r="C12" s="50"/>
      <c r="D12" s="51"/>
      <c r="E12" s="51"/>
      <c r="F12" s="51"/>
      <c r="G12" s="52">
        <f t="shared" si="1"/>
        <v>0</v>
      </c>
      <c r="H12" s="53">
        <f t="shared" si="2"/>
        <v>0</v>
      </c>
      <c r="I12" s="51"/>
      <c r="J12" s="51"/>
      <c r="K12" s="51"/>
      <c r="L12" s="52">
        <f t="shared" si="3"/>
        <v>0</v>
      </c>
      <c r="M12" s="53">
        <f t="shared" si="4"/>
        <v>0</v>
      </c>
      <c r="N12" s="51"/>
      <c r="O12" s="51"/>
      <c r="P12" s="51"/>
      <c r="Q12" s="51"/>
      <c r="R12" s="51"/>
      <c r="S12" s="52">
        <f t="shared" si="5"/>
        <v>0</v>
      </c>
      <c r="T12" s="53">
        <f t="shared" si="6"/>
        <v>0</v>
      </c>
      <c r="U12" s="54"/>
      <c r="V12" s="54"/>
      <c r="W12" s="54"/>
      <c r="X12" s="52">
        <f t="shared" si="7"/>
        <v>0</v>
      </c>
      <c r="Y12" s="53">
        <f t="shared" si="8"/>
        <v>0</v>
      </c>
      <c r="Z12" s="54"/>
      <c r="AA12" s="54"/>
      <c r="AB12" s="54"/>
      <c r="AC12" s="52">
        <f t="shared" si="9"/>
        <v>0</v>
      </c>
      <c r="AD12" s="53">
        <f t="shared" si="10"/>
        <v>0</v>
      </c>
      <c r="AE12" s="55">
        <f t="shared" si="11"/>
        <v>0</v>
      </c>
      <c r="AF12" s="54"/>
      <c r="AG12" s="56">
        <f t="shared" si="12"/>
        <v>0</v>
      </c>
      <c r="AH12" s="29"/>
      <c r="AI12" s="63"/>
      <c r="AJ12" s="23"/>
      <c r="AK12" s="58"/>
      <c r="AM12" s="59" t="s">
        <v>34</v>
      </c>
      <c r="AO12" s="64" t="s">
        <v>35</v>
      </c>
      <c r="AY12" s="65"/>
      <c r="AZ12" s="3"/>
      <c r="BA12" s="3"/>
      <c r="BB12" s="14"/>
    </row>
    <row r="13" ht="16.5" customHeight="1">
      <c r="A13" s="48">
        <v>7.0</v>
      </c>
      <c r="B13" s="49"/>
      <c r="C13" s="50"/>
      <c r="D13" s="51"/>
      <c r="E13" s="51"/>
      <c r="F13" s="51"/>
      <c r="G13" s="52">
        <f t="shared" si="1"/>
        <v>0</v>
      </c>
      <c r="H13" s="53">
        <f t="shared" si="2"/>
        <v>0</v>
      </c>
      <c r="I13" s="51"/>
      <c r="J13" s="51"/>
      <c r="K13" s="51"/>
      <c r="L13" s="52">
        <f t="shared" si="3"/>
        <v>0</v>
      </c>
      <c r="M13" s="53">
        <f t="shared" si="4"/>
        <v>0</v>
      </c>
      <c r="N13" s="51"/>
      <c r="O13" s="51"/>
      <c r="P13" s="51"/>
      <c r="Q13" s="51"/>
      <c r="R13" s="51"/>
      <c r="S13" s="52">
        <f t="shared" si="5"/>
        <v>0</v>
      </c>
      <c r="T13" s="53">
        <f t="shared" si="6"/>
        <v>0</v>
      </c>
      <c r="U13" s="54"/>
      <c r="V13" s="54"/>
      <c r="W13" s="54"/>
      <c r="X13" s="52">
        <f t="shared" si="7"/>
        <v>0</v>
      </c>
      <c r="Y13" s="53">
        <f t="shared" si="8"/>
        <v>0</v>
      </c>
      <c r="Z13" s="54"/>
      <c r="AA13" s="54"/>
      <c r="AB13" s="54"/>
      <c r="AC13" s="52">
        <f t="shared" si="9"/>
        <v>0</v>
      </c>
      <c r="AD13" s="53">
        <f t="shared" si="10"/>
        <v>0</v>
      </c>
      <c r="AE13" s="55">
        <f t="shared" si="11"/>
        <v>0</v>
      </c>
      <c r="AF13" s="54"/>
      <c r="AG13" s="56">
        <f t="shared" si="12"/>
        <v>0</v>
      </c>
      <c r="AH13" s="29"/>
      <c r="AI13" s="63"/>
      <c r="AJ13" s="23"/>
      <c r="AK13" s="58"/>
      <c r="AL13" s="13"/>
      <c r="AM13" s="59" t="s">
        <v>36</v>
      </c>
      <c r="AN13" s="13"/>
      <c r="AO13" s="64" t="s">
        <v>37</v>
      </c>
      <c r="AP13" s="13"/>
      <c r="AY13" s="65"/>
      <c r="AZ13" s="3"/>
      <c r="BA13" s="3"/>
      <c r="BB13" s="14"/>
    </row>
    <row r="14" ht="16.5" customHeight="1">
      <c r="A14" s="48">
        <v>8.0</v>
      </c>
      <c r="B14" s="49"/>
      <c r="C14" s="50"/>
      <c r="D14" s="51"/>
      <c r="E14" s="51"/>
      <c r="F14" s="51"/>
      <c r="G14" s="52">
        <f t="shared" si="1"/>
        <v>0</v>
      </c>
      <c r="H14" s="53">
        <f t="shared" si="2"/>
        <v>0</v>
      </c>
      <c r="I14" s="51"/>
      <c r="J14" s="51"/>
      <c r="K14" s="51"/>
      <c r="L14" s="52">
        <f t="shared" si="3"/>
        <v>0</v>
      </c>
      <c r="M14" s="53">
        <f t="shared" si="4"/>
        <v>0</v>
      </c>
      <c r="N14" s="51"/>
      <c r="O14" s="51"/>
      <c r="P14" s="51"/>
      <c r="Q14" s="51"/>
      <c r="R14" s="51"/>
      <c r="S14" s="52">
        <f t="shared" si="5"/>
        <v>0</v>
      </c>
      <c r="T14" s="53">
        <f t="shared" si="6"/>
        <v>0</v>
      </c>
      <c r="U14" s="54"/>
      <c r="V14" s="54"/>
      <c r="W14" s="54"/>
      <c r="X14" s="52">
        <f t="shared" si="7"/>
        <v>0</v>
      </c>
      <c r="Y14" s="53">
        <f t="shared" si="8"/>
        <v>0</v>
      </c>
      <c r="Z14" s="54"/>
      <c r="AA14" s="54"/>
      <c r="AB14" s="54"/>
      <c r="AC14" s="52">
        <f t="shared" si="9"/>
        <v>0</v>
      </c>
      <c r="AD14" s="53">
        <f t="shared" si="10"/>
        <v>0</v>
      </c>
      <c r="AE14" s="55">
        <f t="shared" si="11"/>
        <v>0</v>
      </c>
      <c r="AF14" s="54"/>
      <c r="AG14" s="56">
        <f t="shared" si="12"/>
        <v>0</v>
      </c>
      <c r="AH14" s="29"/>
      <c r="AI14" s="63"/>
      <c r="AJ14" s="23"/>
      <c r="AK14" s="58"/>
      <c r="AL14" s="58"/>
      <c r="AM14" s="58"/>
      <c r="AN14" s="58"/>
      <c r="AO14" s="58"/>
      <c r="AR14" s="66"/>
      <c r="AS14" s="66"/>
      <c r="AT14" s="67"/>
      <c r="AU14" s="68"/>
      <c r="AV14" s="68"/>
      <c r="AW14" s="68"/>
      <c r="AX14" s="68"/>
      <c r="AY14" s="65"/>
      <c r="AZ14" s="3"/>
      <c r="BA14" s="3"/>
      <c r="BB14" s="14"/>
    </row>
    <row r="15" ht="16.5" customHeight="1">
      <c r="A15" s="48">
        <v>9.0</v>
      </c>
      <c r="B15" s="49"/>
      <c r="C15" s="50"/>
      <c r="D15" s="51"/>
      <c r="E15" s="51"/>
      <c r="F15" s="51"/>
      <c r="G15" s="52">
        <f t="shared" si="1"/>
        <v>0</v>
      </c>
      <c r="H15" s="53">
        <f t="shared" si="2"/>
        <v>0</v>
      </c>
      <c r="I15" s="51"/>
      <c r="J15" s="51"/>
      <c r="K15" s="51"/>
      <c r="L15" s="52">
        <f t="shared" si="3"/>
        <v>0</v>
      </c>
      <c r="M15" s="53">
        <f t="shared" si="4"/>
        <v>0</v>
      </c>
      <c r="N15" s="51"/>
      <c r="O15" s="51"/>
      <c r="P15" s="51"/>
      <c r="Q15" s="51"/>
      <c r="R15" s="51"/>
      <c r="S15" s="52">
        <f t="shared" si="5"/>
        <v>0</v>
      </c>
      <c r="T15" s="53">
        <f t="shared" si="6"/>
        <v>0</v>
      </c>
      <c r="U15" s="54"/>
      <c r="V15" s="54"/>
      <c r="W15" s="54"/>
      <c r="X15" s="52">
        <f t="shared" si="7"/>
        <v>0</v>
      </c>
      <c r="Y15" s="53">
        <f t="shared" si="8"/>
        <v>0</v>
      </c>
      <c r="Z15" s="54"/>
      <c r="AA15" s="54"/>
      <c r="AB15" s="54"/>
      <c r="AC15" s="52">
        <f t="shared" si="9"/>
        <v>0</v>
      </c>
      <c r="AD15" s="53">
        <f t="shared" si="10"/>
        <v>0</v>
      </c>
      <c r="AE15" s="55">
        <f t="shared" si="11"/>
        <v>0</v>
      </c>
      <c r="AF15" s="54"/>
      <c r="AG15" s="56">
        <f t="shared" si="12"/>
        <v>0</v>
      </c>
      <c r="AH15" s="29"/>
      <c r="AI15" s="63"/>
      <c r="AJ15" s="23"/>
      <c r="AK15" s="58"/>
      <c r="AL15" s="69" t="s">
        <v>38</v>
      </c>
      <c r="AM15" s="7"/>
      <c r="AN15" s="70">
        <v>1.0</v>
      </c>
      <c r="AO15" s="71">
        <v>60.0</v>
      </c>
      <c r="AP15" s="72" t="s">
        <v>39</v>
      </c>
      <c r="AQ15" s="9"/>
      <c r="AR15" s="9"/>
      <c r="AS15" s="9"/>
      <c r="AT15" s="9"/>
      <c r="AU15" s="9"/>
      <c r="AV15" s="9"/>
      <c r="AW15" s="9"/>
      <c r="AX15" s="9"/>
      <c r="AY15" s="25"/>
      <c r="AZ15" s="3"/>
      <c r="BA15" s="3"/>
      <c r="BB15" s="14"/>
    </row>
    <row r="16" ht="16.5" customHeight="1">
      <c r="A16" s="48">
        <v>10.0</v>
      </c>
      <c r="B16" s="49"/>
      <c r="C16" s="50"/>
      <c r="D16" s="51"/>
      <c r="E16" s="51"/>
      <c r="F16" s="51"/>
      <c r="G16" s="52">
        <f t="shared" si="1"/>
        <v>0</v>
      </c>
      <c r="H16" s="53">
        <f t="shared" si="2"/>
        <v>0</v>
      </c>
      <c r="I16" s="51"/>
      <c r="J16" s="51"/>
      <c r="K16" s="51"/>
      <c r="L16" s="52">
        <f t="shared" si="3"/>
        <v>0</v>
      </c>
      <c r="M16" s="53">
        <f t="shared" si="4"/>
        <v>0</v>
      </c>
      <c r="N16" s="51"/>
      <c r="O16" s="51"/>
      <c r="P16" s="51"/>
      <c r="Q16" s="51"/>
      <c r="R16" s="51"/>
      <c r="S16" s="52">
        <f t="shared" si="5"/>
        <v>0</v>
      </c>
      <c r="T16" s="53">
        <f t="shared" si="6"/>
        <v>0</v>
      </c>
      <c r="U16" s="54"/>
      <c r="V16" s="54"/>
      <c r="W16" s="54"/>
      <c r="X16" s="52">
        <f t="shared" si="7"/>
        <v>0</v>
      </c>
      <c r="Y16" s="53">
        <f t="shared" si="8"/>
        <v>0</v>
      </c>
      <c r="Z16" s="54"/>
      <c r="AA16" s="54"/>
      <c r="AB16" s="54"/>
      <c r="AC16" s="52">
        <f t="shared" si="9"/>
        <v>0</v>
      </c>
      <c r="AD16" s="53">
        <f t="shared" si="10"/>
        <v>0</v>
      </c>
      <c r="AE16" s="55">
        <f t="shared" si="11"/>
        <v>0</v>
      </c>
      <c r="AF16" s="54"/>
      <c r="AG16" s="56">
        <f t="shared" si="12"/>
        <v>0</v>
      </c>
      <c r="AH16" s="29"/>
      <c r="AI16" s="63"/>
      <c r="AJ16" s="23"/>
      <c r="AK16" s="58"/>
      <c r="AL16" s="73"/>
      <c r="AM16" s="74"/>
      <c r="AN16" s="70">
        <v>2.0</v>
      </c>
      <c r="AO16" s="75">
        <v>70.0</v>
      </c>
      <c r="AP16" s="72" t="s">
        <v>39</v>
      </c>
      <c r="AQ16" s="9"/>
      <c r="AR16" s="9"/>
      <c r="AS16" s="9"/>
      <c r="AT16" s="9"/>
      <c r="AU16" s="9"/>
      <c r="AV16" s="9"/>
      <c r="AW16" s="9"/>
      <c r="AX16" s="9"/>
      <c r="AY16" s="25"/>
      <c r="AZ16" s="3"/>
      <c r="BA16" s="3"/>
      <c r="BB16" s="14"/>
    </row>
    <row r="17" ht="16.5" customHeight="1">
      <c r="A17" s="48">
        <v>11.0</v>
      </c>
      <c r="B17" s="49"/>
      <c r="C17" s="50"/>
      <c r="D17" s="51"/>
      <c r="E17" s="51"/>
      <c r="F17" s="51"/>
      <c r="G17" s="52">
        <f t="shared" si="1"/>
        <v>0</v>
      </c>
      <c r="H17" s="53">
        <f t="shared" si="2"/>
        <v>0</v>
      </c>
      <c r="I17" s="51"/>
      <c r="J17" s="51"/>
      <c r="K17" s="51"/>
      <c r="L17" s="52">
        <f t="shared" si="3"/>
        <v>0</v>
      </c>
      <c r="M17" s="53">
        <f t="shared" si="4"/>
        <v>0</v>
      </c>
      <c r="N17" s="51"/>
      <c r="O17" s="51"/>
      <c r="P17" s="51"/>
      <c r="Q17" s="51"/>
      <c r="R17" s="51"/>
      <c r="S17" s="52">
        <f t="shared" si="5"/>
        <v>0</v>
      </c>
      <c r="T17" s="53">
        <f t="shared" si="6"/>
        <v>0</v>
      </c>
      <c r="U17" s="54"/>
      <c r="V17" s="54"/>
      <c r="W17" s="54"/>
      <c r="X17" s="52">
        <f t="shared" si="7"/>
        <v>0</v>
      </c>
      <c r="Y17" s="53">
        <f t="shared" si="8"/>
        <v>0</v>
      </c>
      <c r="Z17" s="54"/>
      <c r="AA17" s="54"/>
      <c r="AB17" s="54"/>
      <c r="AC17" s="52">
        <f t="shared" si="9"/>
        <v>0</v>
      </c>
      <c r="AD17" s="53">
        <f t="shared" si="10"/>
        <v>0</v>
      </c>
      <c r="AE17" s="55">
        <f t="shared" si="11"/>
        <v>0</v>
      </c>
      <c r="AF17" s="54"/>
      <c r="AG17" s="56">
        <f t="shared" si="12"/>
        <v>0</v>
      </c>
      <c r="AH17" s="29"/>
      <c r="AI17" s="63"/>
      <c r="AJ17" s="23"/>
      <c r="AK17" s="58"/>
      <c r="AL17" s="76"/>
      <c r="AM17" s="77"/>
      <c r="AN17" s="70">
        <v>3.0</v>
      </c>
      <c r="AO17" s="78">
        <v>80.0</v>
      </c>
      <c r="AP17" s="79" t="s">
        <v>39</v>
      </c>
      <c r="AQ17" s="9"/>
      <c r="AR17" s="9"/>
      <c r="AS17" s="9"/>
      <c r="AT17" s="9"/>
      <c r="AU17" s="9"/>
      <c r="AV17" s="9"/>
      <c r="AW17" s="9"/>
      <c r="AX17" s="9"/>
      <c r="AY17" s="25"/>
      <c r="AZ17" s="3"/>
      <c r="BA17" s="3"/>
      <c r="BB17" s="14"/>
    </row>
    <row r="18" ht="16.5" customHeight="1">
      <c r="A18" s="48">
        <v>12.0</v>
      </c>
      <c r="B18" s="49"/>
      <c r="C18" s="50"/>
      <c r="D18" s="51"/>
      <c r="E18" s="51"/>
      <c r="F18" s="51"/>
      <c r="G18" s="52">
        <f t="shared" si="1"/>
        <v>0</v>
      </c>
      <c r="H18" s="53">
        <f t="shared" si="2"/>
        <v>0</v>
      </c>
      <c r="I18" s="51"/>
      <c r="J18" s="51"/>
      <c r="K18" s="51"/>
      <c r="L18" s="52">
        <f t="shared" si="3"/>
        <v>0</v>
      </c>
      <c r="M18" s="53">
        <f t="shared" si="4"/>
        <v>0</v>
      </c>
      <c r="N18" s="51"/>
      <c r="O18" s="51"/>
      <c r="P18" s="51"/>
      <c r="Q18" s="51"/>
      <c r="R18" s="51"/>
      <c r="S18" s="52">
        <f t="shared" si="5"/>
        <v>0</v>
      </c>
      <c r="T18" s="53">
        <f t="shared" si="6"/>
        <v>0</v>
      </c>
      <c r="U18" s="54"/>
      <c r="V18" s="54"/>
      <c r="W18" s="54"/>
      <c r="X18" s="52">
        <f t="shared" si="7"/>
        <v>0</v>
      </c>
      <c r="Y18" s="53">
        <f t="shared" si="8"/>
        <v>0</v>
      </c>
      <c r="Z18" s="54"/>
      <c r="AA18" s="54"/>
      <c r="AB18" s="54"/>
      <c r="AC18" s="52">
        <f t="shared" si="9"/>
        <v>0</v>
      </c>
      <c r="AD18" s="53">
        <f t="shared" si="10"/>
        <v>0</v>
      </c>
      <c r="AE18" s="55">
        <f t="shared" si="11"/>
        <v>0</v>
      </c>
      <c r="AF18" s="54"/>
      <c r="AG18" s="56">
        <f t="shared" si="12"/>
        <v>0</v>
      </c>
      <c r="AH18" s="29"/>
      <c r="AI18" s="63"/>
      <c r="AJ18" s="23"/>
      <c r="AK18" s="58"/>
      <c r="AL18" s="80" t="s">
        <v>40</v>
      </c>
      <c r="AM18" s="9"/>
      <c r="AN18" s="9"/>
      <c r="AO18" s="9"/>
      <c r="AP18" s="9"/>
      <c r="AQ18" s="9"/>
      <c r="AR18" s="9"/>
      <c r="AS18" s="10"/>
      <c r="AT18" s="81" t="s">
        <v>41</v>
      </c>
      <c r="AU18" s="9"/>
      <c r="AV18" s="9"/>
      <c r="AW18" s="9"/>
      <c r="AX18" s="9"/>
      <c r="AY18" s="25"/>
      <c r="AZ18" s="3"/>
      <c r="BA18" s="3"/>
      <c r="BB18" s="14"/>
    </row>
    <row r="19" ht="16.5" customHeight="1">
      <c r="A19" s="48">
        <v>13.0</v>
      </c>
      <c r="B19" s="49"/>
      <c r="C19" s="50"/>
      <c r="D19" s="51"/>
      <c r="E19" s="51"/>
      <c r="F19" s="51"/>
      <c r="G19" s="52">
        <f t="shared" si="1"/>
        <v>0</v>
      </c>
      <c r="H19" s="53">
        <f t="shared" si="2"/>
        <v>0</v>
      </c>
      <c r="I19" s="51"/>
      <c r="J19" s="51"/>
      <c r="K19" s="51"/>
      <c r="L19" s="52">
        <f t="shared" si="3"/>
        <v>0</v>
      </c>
      <c r="M19" s="53">
        <f t="shared" si="4"/>
        <v>0</v>
      </c>
      <c r="N19" s="51"/>
      <c r="O19" s="51"/>
      <c r="P19" s="51"/>
      <c r="Q19" s="51"/>
      <c r="R19" s="51"/>
      <c r="S19" s="52">
        <f t="shared" si="5"/>
        <v>0</v>
      </c>
      <c r="T19" s="53">
        <f t="shared" si="6"/>
        <v>0</v>
      </c>
      <c r="U19" s="54"/>
      <c r="V19" s="54"/>
      <c r="W19" s="54"/>
      <c r="X19" s="52">
        <f t="shared" si="7"/>
        <v>0</v>
      </c>
      <c r="Y19" s="53">
        <f t="shared" si="8"/>
        <v>0</v>
      </c>
      <c r="Z19" s="54"/>
      <c r="AA19" s="54"/>
      <c r="AB19" s="54"/>
      <c r="AC19" s="52">
        <f t="shared" si="9"/>
        <v>0</v>
      </c>
      <c r="AD19" s="53">
        <f t="shared" si="10"/>
        <v>0</v>
      </c>
      <c r="AE19" s="55">
        <f t="shared" si="11"/>
        <v>0</v>
      </c>
      <c r="AF19" s="54"/>
      <c r="AG19" s="56">
        <f t="shared" si="12"/>
        <v>0</v>
      </c>
      <c r="AH19" s="29"/>
      <c r="AI19" s="63"/>
      <c r="AJ19" s="23"/>
      <c r="AK19" s="58"/>
      <c r="AL19" s="82" t="s">
        <v>2</v>
      </c>
      <c r="AM19" s="9"/>
      <c r="AN19" s="9"/>
      <c r="AO19" s="9"/>
      <c r="AP19" s="9"/>
      <c r="AQ19" s="9"/>
      <c r="AR19" s="25"/>
      <c r="AS19" s="83">
        <v>0.5</v>
      </c>
      <c r="AT19" s="84">
        <v>0.9</v>
      </c>
      <c r="AU19" s="6"/>
      <c r="AV19" s="6"/>
      <c r="AW19" s="6"/>
      <c r="AX19" s="6"/>
      <c r="AY19" s="7"/>
      <c r="AZ19" s="3"/>
      <c r="BA19" s="3"/>
      <c r="BB19" s="14"/>
    </row>
    <row r="20" ht="16.5" customHeight="1">
      <c r="A20" s="48">
        <v>14.0</v>
      </c>
      <c r="B20" s="49"/>
      <c r="C20" s="50"/>
      <c r="D20" s="51"/>
      <c r="E20" s="51"/>
      <c r="F20" s="51"/>
      <c r="G20" s="52">
        <f t="shared" si="1"/>
        <v>0</v>
      </c>
      <c r="H20" s="53">
        <f t="shared" si="2"/>
        <v>0</v>
      </c>
      <c r="I20" s="51"/>
      <c r="J20" s="51"/>
      <c r="K20" s="51"/>
      <c r="L20" s="52">
        <f t="shared" si="3"/>
        <v>0</v>
      </c>
      <c r="M20" s="53">
        <f t="shared" si="4"/>
        <v>0</v>
      </c>
      <c r="N20" s="51"/>
      <c r="O20" s="51"/>
      <c r="P20" s="51"/>
      <c r="Q20" s="51"/>
      <c r="R20" s="51"/>
      <c r="S20" s="52">
        <f t="shared" si="5"/>
        <v>0</v>
      </c>
      <c r="T20" s="53">
        <f t="shared" si="6"/>
        <v>0</v>
      </c>
      <c r="U20" s="54"/>
      <c r="V20" s="54"/>
      <c r="W20" s="54"/>
      <c r="X20" s="52">
        <f t="shared" si="7"/>
        <v>0</v>
      </c>
      <c r="Y20" s="53">
        <f t="shared" si="8"/>
        <v>0</v>
      </c>
      <c r="Z20" s="54"/>
      <c r="AA20" s="54"/>
      <c r="AB20" s="54"/>
      <c r="AC20" s="52">
        <f t="shared" si="9"/>
        <v>0</v>
      </c>
      <c r="AD20" s="53">
        <f t="shared" si="10"/>
        <v>0</v>
      </c>
      <c r="AE20" s="55">
        <f t="shared" si="11"/>
        <v>0</v>
      </c>
      <c r="AF20" s="54"/>
      <c r="AG20" s="56">
        <f t="shared" si="12"/>
        <v>0</v>
      </c>
      <c r="AH20" s="29"/>
      <c r="AI20" s="63"/>
      <c r="AJ20" s="23"/>
      <c r="AK20" s="58"/>
      <c r="AL20" s="82" t="s">
        <v>3</v>
      </c>
      <c r="AM20" s="9"/>
      <c r="AN20" s="9"/>
      <c r="AO20" s="9"/>
      <c r="AP20" s="9"/>
      <c r="AQ20" s="9"/>
      <c r="AR20" s="25"/>
      <c r="AS20" s="83">
        <v>0.5</v>
      </c>
      <c r="AT20" s="76"/>
      <c r="AU20" s="85"/>
      <c r="AV20" s="85"/>
      <c r="AW20" s="85"/>
      <c r="AX20" s="85"/>
      <c r="AY20" s="77"/>
      <c r="AZ20" s="3"/>
      <c r="BA20" s="3"/>
      <c r="BB20" s="14"/>
    </row>
    <row r="21" ht="16.5" customHeight="1">
      <c r="A21" s="48">
        <v>15.0</v>
      </c>
      <c r="B21" s="49"/>
      <c r="C21" s="50"/>
      <c r="D21" s="51"/>
      <c r="E21" s="51"/>
      <c r="F21" s="51"/>
      <c r="G21" s="52">
        <f t="shared" si="1"/>
        <v>0</v>
      </c>
      <c r="H21" s="53">
        <f t="shared" si="2"/>
        <v>0</v>
      </c>
      <c r="I21" s="51"/>
      <c r="J21" s="51"/>
      <c r="K21" s="51"/>
      <c r="L21" s="52">
        <f t="shared" si="3"/>
        <v>0</v>
      </c>
      <c r="M21" s="53">
        <f t="shared" si="4"/>
        <v>0</v>
      </c>
      <c r="N21" s="51"/>
      <c r="O21" s="51"/>
      <c r="P21" s="51"/>
      <c r="Q21" s="51"/>
      <c r="R21" s="51"/>
      <c r="S21" s="52">
        <f t="shared" si="5"/>
        <v>0</v>
      </c>
      <c r="T21" s="53">
        <f t="shared" si="6"/>
        <v>0</v>
      </c>
      <c r="U21" s="54"/>
      <c r="V21" s="54"/>
      <c r="W21" s="54"/>
      <c r="X21" s="52">
        <f t="shared" si="7"/>
        <v>0</v>
      </c>
      <c r="Y21" s="53">
        <f t="shared" si="8"/>
        <v>0</v>
      </c>
      <c r="Z21" s="54"/>
      <c r="AA21" s="54"/>
      <c r="AB21" s="54"/>
      <c r="AC21" s="52">
        <f t="shared" si="9"/>
        <v>0</v>
      </c>
      <c r="AD21" s="53">
        <f t="shared" si="10"/>
        <v>0</v>
      </c>
      <c r="AE21" s="55">
        <f t="shared" si="11"/>
        <v>0</v>
      </c>
      <c r="AF21" s="54"/>
      <c r="AG21" s="56">
        <f t="shared" si="12"/>
        <v>0</v>
      </c>
      <c r="AH21" s="29"/>
      <c r="AI21" s="63"/>
      <c r="AJ21" s="23"/>
      <c r="AK21" s="58"/>
      <c r="AL21" s="86" t="s">
        <v>42</v>
      </c>
      <c r="AM21" s="9"/>
      <c r="AN21" s="9"/>
      <c r="AO21" s="9"/>
      <c r="AP21" s="9"/>
      <c r="AQ21" s="9"/>
      <c r="AR21" s="9"/>
      <c r="AS21" s="10"/>
      <c r="AT21" s="87">
        <v>0.1</v>
      </c>
      <c r="AU21" s="9"/>
      <c r="AV21" s="9"/>
      <c r="AW21" s="9"/>
      <c r="AX21" s="9"/>
      <c r="AY21" s="25"/>
      <c r="AZ21" s="3"/>
      <c r="BA21" s="3"/>
      <c r="BB21" s="14"/>
    </row>
    <row r="22" ht="16.5" customHeight="1">
      <c r="A22" s="48">
        <v>16.0</v>
      </c>
      <c r="B22" s="49"/>
      <c r="C22" s="50"/>
      <c r="D22" s="51"/>
      <c r="E22" s="51"/>
      <c r="F22" s="51"/>
      <c r="G22" s="52">
        <f t="shared" si="1"/>
        <v>0</v>
      </c>
      <c r="H22" s="53">
        <f t="shared" si="2"/>
        <v>0</v>
      </c>
      <c r="I22" s="51"/>
      <c r="J22" s="51"/>
      <c r="K22" s="51"/>
      <c r="L22" s="52">
        <f t="shared" si="3"/>
        <v>0</v>
      </c>
      <c r="M22" s="53">
        <f t="shared" si="4"/>
        <v>0</v>
      </c>
      <c r="N22" s="51"/>
      <c r="O22" s="51"/>
      <c r="P22" s="51"/>
      <c r="Q22" s="51"/>
      <c r="R22" s="51"/>
      <c r="S22" s="52">
        <f t="shared" si="5"/>
        <v>0</v>
      </c>
      <c r="T22" s="53">
        <f t="shared" si="6"/>
        <v>0</v>
      </c>
      <c r="U22" s="54"/>
      <c r="V22" s="54"/>
      <c r="W22" s="54"/>
      <c r="X22" s="52">
        <f t="shared" si="7"/>
        <v>0</v>
      </c>
      <c r="Y22" s="53">
        <f t="shared" si="8"/>
        <v>0</v>
      </c>
      <c r="Z22" s="54"/>
      <c r="AA22" s="54"/>
      <c r="AB22" s="54"/>
      <c r="AC22" s="52">
        <f t="shared" si="9"/>
        <v>0</v>
      </c>
      <c r="AD22" s="53">
        <f t="shared" si="10"/>
        <v>0</v>
      </c>
      <c r="AE22" s="55">
        <f t="shared" si="11"/>
        <v>0</v>
      </c>
      <c r="AF22" s="54"/>
      <c r="AG22" s="56">
        <f t="shared" si="12"/>
        <v>0</v>
      </c>
      <c r="AH22" s="29"/>
      <c r="AI22" s="63"/>
      <c r="AJ22" s="23"/>
      <c r="AK22" s="58"/>
      <c r="AN22" s="88"/>
      <c r="AO22" s="88"/>
      <c r="AQ22" s="88"/>
      <c r="AR22" s="88"/>
      <c r="AS22" s="88"/>
      <c r="AT22" s="61"/>
      <c r="AU22" s="40"/>
      <c r="AV22" s="40"/>
      <c r="AW22" s="40"/>
      <c r="AY22" s="65"/>
      <c r="AZ22" s="3"/>
      <c r="BA22" s="3"/>
      <c r="BB22" s="14"/>
    </row>
    <row r="23" ht="16.5" customHeight="1">
      <c r="A23" s="48">
        <v>17.0</v>
      </c>
      <c r="B23" s="49"/>
      <c r="C23" s="50"/>
      <c r="D23" s="51"/>
      <c r="E23" s="51"/>
      <c r="F23" s="51"/>
      <c r="G23" s="52">
        <f t="shared" si="1"/>
        <v>0</v>
      </c>
      <c r="H23" s="53">
        <f t="shared" si="2"/>
        <v>0</v>
      </c>
      <c r="I23" s="51"/>
      <c r="J23" s="51"/>
      <c r="K23" s="51"/>
      <c r="L23" s="52">
        <f t="shared" si="3"/>
        <v>0</v>
      </c>
      <c r="M23" s="53">
        <f t="shared" si="4"/>
        <v>0</v>
      </c>
      <c r="N23" s="51"/>
      <c r="O23" s="51"/>
      <c r="P23" s="51"/>
      <c r="Q23" s="51"/>
      <c r="R23" s="51"/>
      <c r="S23" s="52">
        <f t="shared" si="5"/>
        <v>0</v>
      </c>
      <c r="T23" s="53">
        <f t="shared" si="6"/>
        <v>0</v>
      </c>
      <c r="U23" s="54"/>
      <c r="V23" s="54"/>
      <c r="W23" s="54"/>
      <c r="X23" s="52">
        <f t="shared" si="7"/>
        <v>0</v>
      </c>
      <c r="Y23" s="53">
        <f t="shared" si="8"/>
        <v>0</v>
      </c>
      <c r="Z23" s="54"/>
      <c r="AA23" s="54"/>
      <c r="AB23" s="54"/>
      <c r="AC23" s="52">
        <f t="shared" si="9"/>
        <v>0</v>
      </c>
      <c r="AD23" s="53">
        <f t="shared" si="10"/>
        <v>0</v>
      </c>
      <c r="AE23" s="55">
        <f t="shared" si="11"/>
        <v>0</v>
      </c>
      <c r="AF23" s="54"/>
      <c r="AG23" s="56">
        <f t="shared" si="12"/>
        <v>0</v>
      </c>
      <c r="AH23" s="29"/>
      <c r="AI23" s="63"/>
      <c r="AJ23" s="23"/>
      <c r="AK23" s="58"/>
      <c r="AL23" s="89" t="s">
        <v>43</v>
      </c>
      <c r="AM23" s="89" t="s">
        <v>44</v>
      </c>
      <c r="AN23" s="90"/>
      <c r="AO23" s="90"/>
      <c r="AQ23" s="90"/>
      <c r="AR23" s="90"/>
      <c r="AS23" s="90"/>
      <c r="AT23" s="61"/>
      <c r="AU23" s="40"/>
      <c r="AV23" s="40"/>
      <c r="AW23" s="40"/>
      <c r="AY23" s="65"/>
      <c r="AZ23" s="3"/>
      <c r="BA23" s="3"/>
      <c r="BB23" s="14"/>
    </row>
    <row r="24" ht="16.5" customHeight="1">
      <c r="A24" s="48">
        <v>18.0</v>
      </c>
      <c r="B24" s="49"/>
      <c r="C24" s="50"/>
      <c r="D24" s="51"/>
      <c r="E24" s="51"/>
      <c r="F24" s="51"/>
      <c r="G24" s="52">
        <f t="shared" si="1"/>
        <v>0</v>
      </c>
      <c r="H24" s="53">
        <f t="shared" si="2"/>
        <v>0</v>
      </c>
      <c r="I24" s="51"/>
      <c r="J24" s="51"/>
      <c r="K24" s="51"/>
      <c r="L24" s="52">
        <f t="shared" si="3"/>
        <v>0</v>
      </c>
      <c r="M24" s="53">
        <f t="shared" si="4"/>
        <v>0</v>
      </c>
      <c r="N24" s="51"/>
      <c r="O24" s="51"/>
      <c r="P24" s="51"/>
      <c r="Q24" s="51"/>
      <c r="R24" s="51"/>
      <c r="S24" s="52">
        <f t="shared" si="5"/>
        <v>0</v>
      </c>
      <c r="T24" s="53">
        <f t="shared" si="6"/>
        <v>0</v>
      </c>
      <c r="U24" s="54"/>
      <c r="V24" s="54"/>
      <c r="W24" s="54"/>
      <c r="X24" s="52">
        <f t="shared" si="7"/>
        <v>0</v>
      </c>
      <c r="Y24" s="53">
        <f t="shared" si="8"/>
        <v>0</v>
      </c>
      <c r="Z24" s="54"/>
      <c r="AA24" s="54"/>
      <c r="AB24" s="54"/>
      <c r="AC24" s="52">
        <f t="shared" si="9"/>
        <v>0</v>
      </c>
      <c r="AD24" s="53">
        <f t="shared" si="10"/>
        <v>0</v>
      </c>
      <c r="AE24" s="55">
        <f t="shared" si="11"/>
        <v>0</v>
      </c>
      <c r="AF24" s="54"/>
      <c r="AG24" s="56">
        <f t="shared" si="12"/>
        <v>0</v>
      </c>
      <c r="AH24" s="29"/>
      <c r="AI24" s="63"/>
      <c r="AJ24" s="23"/>
      <c r="AK24" s="58"/>
      <c r="AL24" s="91"/>
      <c r="AM24" s="91"/>
      <c r="AN24" s="40"/>
      <c r="AO24" s="40"/>
      <c r="AP24" s="40"/>
      <c r="AQ24" s="88"/>
      <c r="AR24" s="88"/>
      <c r="AS24" s="88"/>
      <c r="AT24" s="40"/>
      <c r="AU24" s="40"/>
      <c r="AV24" s="40"/>
      <c r="AW24" s="40"/>
      <c r="AY24" s="65"/>
      <c r="AZ24" s="3"/>
      <c r="BA24" s="3"/>
      <c r="BB24" s="14"/>
    </row>
    <row r="25" ht="16.5" customHeight="1">
      <c r="A25" s="48">
        <v>19.0</v>
      </c>
      <c r="B25" s="49"/>
      <c r="C25" s="50"/>
      <c r="D25" s="51"/>
      <c r="E25" s="51"/>
      <c r="F25" s="51"/>
      <c r="G25" s="52">
        <f t="shared" si="1"/>
        <v>0</v>
      </c>
      <c r="H25" s="53">
        <f t="shared" si="2"/>
        <v>0</v>
      </c>
      <c r="I25" s="51"/>
      <c r="J25" s="51"/>
      <c r="K25" s="51"/>
      <c r="L25" s="52">
        <f t="shared" si="3"/>
        <v>0</v>
      </c>
      <c r="M25" s="53">
        <f t="shared" si="4"/>
        <v>0</v>
      </c>
      <c r="N25" s="51"/>
      <c r="O25" s="51"/>
      <c r="P25" s="51"/>
      <c r="Q25" s="51"/>
      <c r="R25" s="51"/>
      <c r="S25" s="52">
        <f t="shared" si="5"/>
        <v>0</v>
      </c>
      <c r="T25" s="53">
        <f t="shared" si="6"/>
        <v>0</v>
      </c>
      <c r="U25" s="54"/>
      <c r="V25" s="54"/>
      <c r="W25" s="54"/>
      <c r="X25" s="52">
        <f t="shared" si="7"/>
        <v>0</v>
      </c>
      <c r="Y25" s="53">
        <f t="shared" si="8"/>
        <v>0</v>
      </c>
      <c r="Z25" s="54"/>
      <c r="AA25" s="54"/>
      <c r="AB25" s="54"/>
      <c r="AC25" s="52">
        <f t="shared" si="9"/>
        <v>0</v>
      </c>
      <c r="AD25" s="53">
        <f t="shared" si="10"/>
        <v>0</v>
      </c>
      <c r="AE25" s="55">
        <f t="shared" si="11"/>
        <v>0</v>
      </c>
      <c r="AF25" s="54"/>
      <c r="AG25" s="56">
        <f t="shared" si="12"/>
        <v>0</v>
      </c>
      <c r="AH25" s="29"/>
      <c r="AI25" s="63"/>
      <c r="AJ25" s="23"/>
      <c r="AK25" s="58"/>
      <c r="AL25" s="92" t="s">
        <v>45</v>
      </c>
      <c r="AM25" s="93">
        <f>(((H145*AS19)+(AI145*AS20)) * AT19) + (AR42*AT21)</f>
        <v>1.2</v>
      </c>
      <c r="AN25" s="58"/>
      <c r="AO25" s="58"/>
      <c r="AR25" s="66"/>
      <c r="AS25" s="66"/>
      <c r="AT25" s="67"/>
      <c r="AU25" s="68"/>
      <c r="AV25" s="68"/>
      <c r="AW25" s="68"/>
      <c r="AX25" s="68"/>
      <c r="AY25" s="65"/>
      <c r="AZ25" s="3"/>
      <c r="BA25" s="3"/>
      <c r="BB25" s="14"/>
    </row>
    <row r="26" ht="16.5" customHeight="1">
      <c r="A26" s="48">
        <v>20.0</v>
      </c>
      <c r="B26" s="49"/>
      <c r="C26" s="50"/>
      <c r="D26" s="51"/>
      <c r="E26" s="51"/>
      <c r="F26" s="51"/>
      <c r="G26" s="52">
        <f t="shared" si="1"/>
        <v>0</v>
      </c>
      <c r="H26" s="53">
        <f t="shared" si="2"/>
        <v>0</v>
      </c>
      <c r="I26" s="51"/>
      <c r="J26" s="51"/>
      <c r="K26" s="51"/>
      <c r="L26" s="52">
        <f t="shared" si="3"/>
        <v>0</v>
      </c>
      <c r="M26" s="53">
        <f t="shared" si="4"/>
        <v>0</v>
      </c>
      <c r="N26" s="51"/>
      <c r="O26" s="51"/>
      <c r="P26" s="51"/>
      <c r="Q26" s="51"/>
      <c r="R26" s="51"/>
      <c r="S26" s="52">
        <f t="shared" si="5"/>
        <v>0</v>
      </c>
      <c r="T26" s="53">
        <f t="shared" si="6"/>
        <v>0</v>
      </c>
      <c r="U26" s="54"/>
      <c r="V26" s="54"/>
      <c r="W26" s="54"/>
      <c r="X26" s="52">
        <f t="shared" si="7"/>
        <v>0</v>
      </c>
      <c r="Y26" s="53">
        <f t="shared" si="8"/>
        <v>0</v>
      </c>
      <c r="Z26" s="54"/>
      <c r="AA26" s="54"/>
      <c r="AB26" s="54"/>
      <c r="AC26" s="52">
        <f t="shared" si="9"/>
        <v>0</v>
      </c>
      <c r="AD26" s="53">
        <f t="shared" si="10"/>
        <v>0</v>
      </c>
      <c r="AE26" s="55">
        <f t="shared" si="11"/>
        <v>0</v>
      </c>
      <c r="AF26" s="54"/>
      <c r="AG26" s="56">
        <f t="shared" si="12"/>
        <v>0</v>
      </c>
      <c r="AH26" s="29"/>
      <c r="AI26" s="63"/>
      <c r="AJ26" s="23"/>
      <c r="AK26" s="58"/>
      <c r="AL26" s="92" t="s">
        <v>46</v>
      </c>
      <c r="AM26" s="94">
        <f>(((M145*AS19)+(AI145*AS20)) * AT19) + (AS42*AT21)</f>
        <v>1.2</v>
      </c>
      <c r="AN26" s="58"/>
      <c r="AO26" s="58"/>
      <c r="AR26" s="66"/>
      <c r="AS26" s="66"/>
      <c r="AT26" s="67"/>
      <c r="AU26" s="68"/>
      <c r="AV26" s="68"/>
      <c r="AW26" s="68"/>
      <c r="AX26" s="68"/>
      <c r="AY26" s="65"/>
      <c r="AZ26" s="3"/>
      <c r="BA26" s="3"/>
      <c r="BB26" s="14"/>
    </row>
    <row r="27" ht="16.5" customHeight="1">
      <c r="A27" s="48">
        <v>21.0</v>
      </c>
      <c r="B27" s="49"/>
      <c r="C27" s="50"/>
      <c r="D27" s="51"/>
      <c r="E27" s="51"/>
      <c r="F27" s="51"/>
      <c r="G27" s="52">
        <f t="shared" si="1"/>
        <v>0</v>
      </c>
      <c r="H27" s="53">
        <f t="shared" si="2"/>
        <v>0</v>
      </c>
      <c r="I27" s="51"/>
      <c r="J27" s="51"/>
      <c r="K27" s="51"/>
      <c r="L27" s="52">
        <f t="shared" si="3"/>
        <v>0</v>
      </c>
      <c r="M27" s="53">
        <f t="shared" si="4"/>
        <v>0</v>
      </c>
      <c r="N27" s="51"/>
      <c r="O27" s="51"/>
      <c r="P27" s="51"/>
      <c r="Q27" s="51"/>
      <c r="R27" s="51"/>
      <c r="S27" s="52">
        <f t="shared" si="5"/>
        <v>0</v>
      </c>
      <c r="T27" s="53">
        <f t="shared" si="6"/>
        <v>0</v>
      </c>
      <c r="U27" s="54"/>
      <c r="V27" s="54"/>
      <c r="W27" s="54"/>
      <c r="X27" s="52">
        <f t="shared" si="7"/>
        <v>0</v>
      </c>
      <c r="Y27" s="53">
        <f t="shared" si="8"/>
        <v>0</v>
      </c>
      <c r="Z27" s="54"/>
      <c r="AA27" s="54"/>
      <c r="AB27" s="54"/>
      <c r="AC27" s="52">
        <f t="shared" si="9"/>
        <v>0</v>
      </c>
      <c r="AD27" s="53">
        <f t="shared" si="10"/>
        <v>0</v>
      </c>
      <c r="AE27" s="55">
        <f t="shared" si="11"/>
        <v>0</v>
      </c>
      <c r="AF27" s="54"/>
      <c r="AG27" s="56">
        <f t="shared" si="12"/>
        <v>0</v>
      </c>
      <c r="AH27" s="29"/>
      <c r="AI27" s="63"/>
      <c r="AJ27" s="23"/>
      <c r="AK27" s="58"/>
      <c r="AL27" s="92" t="s">
        <v>47</v>
      </c>
      <c r="AM27" s="94">
        <f>(((T145*AS19)+(AI145*AS20)) * AT19) + (AT42*AT21)</f>
        <v>1.2</v>
      </c>
      <c r="AY27" s="65"/>
      <c r="AZ27" s="3"/>
      <c r="BA27" s="3"/>
      <c r="BB27" s="14"/>
    </row>
    <row r="28" ht="16.5" customHeight="1">
      <c r="A28" s="48">
        <v>22.0</v>
      </c>
      <c r="B28" s="49"/>
      <c r="C28" s="50"/>
      <c r="D28" s="51"/>
      <c r="E28" s="51"/>
      <c r="F28" s="51"/>
      <c r="G28" s="52">
        <f t="shared" si="1"/>
        <v>0</v>
      </c>
      <c r="H28" s="53">
        <f t="shared" si="2"/>
        <v>0</v>
      </c>
      <c r="I28" s="51"/>
      <c r="J28" s="51"/>
      <c r="K28" s="51"/>
      <c r="L28" s="52">
        <f t="shared" si="3"/>
        <v>0</v>
      </c>
      <c r="M28" s="53">
        <f t="shared" si="4"/>
        <v>0</v>
      </c>
      <c r="N28" s="51"/>
      <c r="O28" s="51"/>
      <c r="P28" s="51"/>
      <c r="Q28" s="51"/>
      <c r="R28" s="51"/>
      <c r="S28" s="52">
        <f t="shared" si="5"/>
        <v>0</v>
      </c>
      <c r="T28" s="53">
        <f t="shared" si="6"/>
        <v>0</v>
      </c>
      <c r="U28" s="54"/>
      <c r="V28" s="54"/>
      <c r="W28" s="54"/>
      <c r="X28" s="52">
        <f t="shared" si="7"/>
        <v>0</v>
      </c>
      <c r="Y28" s="53">
        <f t="shared" si="8"/>
        <v>0</v>
      </c>
      <c r="Z28" s="54"/>
      <c r="AA28" s="54"/>
      <c r="AB28" s="54"/>
      <c r="AC28" s="52">
        <f t="shared" si="9"/>
        <v>0</v>
      </c>
      <c r="AD28" s="53">
        <f t="shared" si="10"/>
        <v>0</v>
      </c>
      <c r="AE28" s="55">
        <f t="shared" si="11"/>
        <v>0</v>
      </c>
      <c r="AF28" s="54"/>
      <c r="AG28" s="56">
        <f t="shared" si="12"/>
        <v>0</v>
      </c>
      <c r="AH28" s="29"/>
      <c r="AI28" s="63"/>
      <c r="AJ28" s="23"/>
      <c r="AK28" s="58"/>
      <c r="AL28" s="92" t="s">
        <v>48</v>
      </c>
      <c r="AM28" s="94">
        <f>(((Y145*AS19)+(AI145*AS20)) * AT19) + (AU42*AT21)</f>
        <v>1.2</v>
      </c>
      <c r="AY28" s="65"/>
      <c r="AZ28" s="3"/>
      <c r="BA28" s="3"/>
      <c r="BB28" s="14"/>
    </row>
    <row r="29" ht="16.5" customHeight="1">
      <c r="A29" s="48">
        <v>23.0</v>
      </c>
      <c r="B29" s="49"/>
      <c r="C29" s="50"/>
      <c r="D29" s="51"/>
      <c r="E29" s="51"/>
      <c r="F29" s="51"/>
      <c r="G29" s="52">
        <f t="shared" si="1"/>
        <v>0</v>
      </c>
      <c r="H29" s="53">
        <f t="shared" si="2"/>
        <v>0</v>
      </c>
      <c r="I29" s="51"/>
      <c r="J29" s="51"/>
      <c r="K29" s="51"/>
      <c r="L29" s="52">
        <f t="shared" si="3"/>
        <v>0</v>
      </c>
      <c r="M29" s="53">
        <f t="shared" si="4"/>
        <v>0</v>
      </c>
      <c r="N29" s="51"/>
      <c r="O29" s="51"/>
      <c r="P29" s="51"/>
      <c r="Q29" s="51"/>
      <c r="R29" s="51"/>
      <c r="S29" s="52">
        <f t="shared" si="5"/>
        <v>0</v>
      </c>
      <c r="T29" s="53">
        <f t="shared" si="6"/>
        <v>0</v>
      </c>
      <c r="U29" s="54"/>
      <c r="V29" s="54"/>
      <c r="W29" s="54"/>
      <c r="X29" s="52">
        <f t="shared" si="7"/>
        <v>0</v>
      </c>
      <c r="Y29" s="53">
        <f t="shared" si="8"/>
        <v>0</v>
      </c>
      <c r="Z29" s="54"/>
      <c r="AA29" s="54"/>
      <c r="AB29" s="54"/>
      <c r="AC29" s="52">
        <f t="shared" si="9"/>
        <v>0</v>
      </c>
      <c r="AD29" s="53">
        <f t="shared" si="10"/>
        <v>0</v>
      </c>
      <c r="AE29" s="55">
        <f t="shared" si="11"/>
        <v>0</v>
      </c>
      <c r="AF29" s="54"/>
      <c r="AG29" s="56">
        <f t="shared" si="12"/>
        <v>0</v>
      </c>
      <c r="AH29" s="29"/>
      <c r="AI29" s="63"/>
      <c r="AJ29" s="23"/>
      <c r="AK29" s="58"/>
      <c r="AL29" s="92" t="s">
        <v>49</v>
      </c>
      <c r="AM29" s="95">
        <f>(((AD145*AS19)+(AI145*AS20)) * AT19) + (AV42*AT21)</f>
        <v>1.2</v>
      </c>
      <c r="AY29" s="65"/>
      <c r="AZ29" s="3"/>
      <c r="BA29" s="3"/>
      <c r="BB29" s="14"/>
    </row>
    <row r="30" ht="16.5" customHeight="1">
      <c r="A30" s="48">
        <v>24.0</v>
      </c>
      <c r="B30" s="49"/>
      <c r="C30" s="50"/>
      <c r="D30" s="51"/>
      <c r="E30" s="51"/>
      <c r="F30" s="51"/>
      <c r="G30" s="52">
        <f t="shared" si="1"/>
        <v>0</v>
      </c>
      <c r="H30" s="53">
        <f t="shared" si="2"/>
        <v>0</v>
      </c>
      <c r="I30" s="51"/>
      <c r="J30" s="51"/>
      <c r="K30" s="51"/>
      <c r="L30" s="52">
        <f t="shared" si="3"/>
        <v>0</v>
      </c>
      <c r="M30" s="53">
        <f t="shared" si="4"/>
        <v>0</v>
      </c>
      <c r="N30" s="51"/>
      <c r="O30" s="51"/>
      <c r="P30" s="51"/>
      <c r="Q30" s="51"/>
      <c r="R30" s="51"/>
      <c r="S30" s="52">
        <f t="shared" si="5"/>
        <v>0</v>
      </c>
      <c r="T30" s="53">
        <f t="shared" si="6"/>
        <v>0</v>
      </c>
      <c r="U30" s="54"/>
      <c r="V30" s="54"/>
      <c r="W30" s="54"/>
      <c r="X30" s="52">
        <f t="shared" si="7"/>
        <v>0</v>
      </c>
      <c r="Y30" s="53">
        <f t="shared" si="8"/>
        <v>0</v>
      </c>
      <c r="Z30" s="54"/>
      <c r="AA30" s="54"/>
      <c r="AB30" s="54"/>
      <c r="AC30" s="52">
        <f t="shared" si="9"/>
        <v>0</v>
      </c>
      <c r="AD30" s="53">
        <f t="shared" si="10"/>
        <v>0</v>
      </c>
      <c r="AE30" s="55">
        <f t="shared" si="11"/>
        <v>0</v>
      </c>
      <c r="AF30" s="54"/>
      <c r="AG30" s="56">
        <f t="shared" si="12"/>
        <v>0</v>
      </c>
      <c r="AH30" s="29"/>
      <c r="AI30" s="63"/>
      <c r="AJ30" s="23"/>
      <c r="AK30" s="58"/>
      <c r="AL30" s="13"/>
      <c r="AM30" s="13"/>
      <c r="AY30" s="65"/>
      <c r="AZ30" s="3"/>
      <c r="BA30" s="3"/>
      <c r="BB30" s="14"/>
    </row>
    <row r="31" ht="16.5" customHeight="1">
      <c r="A31" s="48">
        <v>25.0</v>
      </c>
      <c r="B31" s="49"/>
      <c r="C31" s="50"/>
      <c r="D31" s="51"/>
      <c r="E31" s="51"/>
      <c r="F31" s="51"/>
      <c r="G31" s="52">
        <f t="shared" si="1"/>
        <v>0</v>
      </c>
      <c r="H31" s="53">
        <f t="shared" si="2"/>
        <v>0</v>
      </c>
      <c r="I31" s="51"/>
      <c r="J31" s="51"/>
      <c r="K31" s="51"/>
      <c r="L31" s="52">
        <f t="shared" si="3"/>
        <v>0</v>
      </c>
      <c r="M31" s="53">
        <f t="shared" si="4"/>
        <v>0</v>
      </c>
      <c r="N31" s="51"/>
      <c r="O31" s="51"/>
      <c r="P31" s="51"/>
      <c r="Q31" s="51"/>
      <c r="R31" s="51"/>
      <c r="S31" s="52">
        <f t="shared" si="5"/>
        <v>0</v>
      </c>
      <c r="T31" s="53">
        <f t="shared" si="6"/>
        <v>0</v>
      </c>
      <c r="U31" s="54"/>
      <c r="V31" s="54"/>
      <c r="W31" s="54"/>
      <c r="X31" s="52">
        <f t="shared" si="7"/>
        <v>0</v>
      </c>
      <c r="Y31" s="53">
        <f t="shared" si="8"/>
        <v>0</v>
      </c>
      <c r="Z31" s="54"/>
      <c r="AA31" s="54"/>
      <c r="AB31" s="54"/>
      <c r="AC31" s="52">
        <f t="shared" si="9"/>
        <v>0</v>
      </c>
      <c r="AD31" s="53">
        <f t="shared" si="10"/>
        <v>0</v>
      </c>
      <c r="AE31" s="55">
        <f t="shared" si="11"/>
        <v>0</v>
      </c>
      <c r="AF31" s="54"/>
      <c r="AG31" s="56">
        <f t="shared" si="12"/>
        <v>0</v>
      </c>
      <c r="AH31" s="29"/>
      <c r="AI31" s="63"/>
      <c r="AJ31" s="23"/>
      <c r="AK31" s="58"/>
      <c r="AY31" s="65"/>
      <c r="AZ31" s="3"/>
      <c r="BA31" s="3"/>
      <c r="BB31" s="14"/>
    </row>
    <row r="32" ht="16.5" customHeight="1">
      <c r="A32" s="48">
        <v>26.0</v>
      </c>
      <c r="B32" s="49"/>
      <c r="C32" s="50"/>
      <c r="D32" s="51"/>
      <c r="E32" s="51"/>
      <c r="F32" s="51"/>
      <c r="G32" s="52">
        <f t="shared" si="1"/>
        <v>0</v>
      </c>
      <c r="H32" s="53">
        <f t="shared" si="2"/>
        <v>0</v>
      </c>
      <c r="I32" s="51"/>
      <c r="J32" s="51"/>
      <c r="K32" s="51"/>
      <c r="L32" s="52">
        <f t="shared" si="3"/>
        <v>0</v>
      </c>
      <c r="M32" s="53">
        <f t="shared" si="4"/>
        <v>0</v>
      </c>
      <c r="N32" s="51"/>
      <c r="O32" s="51"/>
      <c r="P32" s="51"/>
      <c r="Q32" s="51"/>
      <c r="R32" s="51"/>
      <c r="S32" s="52">
        <f t="shared" si="5"/>
        <v>0</v>
      </c>
      <c r="T32" s="53">
        <f t="shared" si="6"/>
        <v>0</v>
      </c>
      <c r="U32" s="54"/>
      <c r="V32" s="54"/>
      <c r="W32" s="54"/>
      <c r="X32" s="52">
        <f t="shared" si="7"/>
        <v>0</v>
      </c>
      <c r="Y32" s="53">
        <f t="shared" si="8"/>
        <v>0</v>
      </c>
      <c r="Z32" s="54"/>
      <c r="AA32" s="54"/>
      <c r="AB32" s="54"/>
      <c r="AC32" s="52">
        <f t="shared" si="9"/>
        <v>0</v>
      </c>
      <c r="AD32" s="53">
        <f t="shared" si="10"/>
        <v>0</v>
      </c>
      <c r="AE32" s="55">
        <f t="shared" si="11"/>
        <v>0</v>
      </c>
      <c r="AF32" s="54"/>
      <c r="AG32" s="56">
        <f t="shared" si="12"/>
        <v>0</v>
      </c>
      <c r="AH32" s="29"/>
      <c r="AI32" s="63"/>
      <c r="AJ32" s="23"/>
      <c r="AK32" s="58"/>
      <c r="AY32" s="65"/>
      <c r="AZ32" s="3"/>
      <c r="BA32" s="3"/>
      <c r="BB32" s="14"/>
    </row>
    <row r="33" ht="16.5" customHeight="1">
      <c r="A33" s="48">
        <v>27.0</v>
      </c>
      <c r="B33" s="49"/>
      <c r="C33" s="50"/>
      <c r="D33" s="51"/>
      <c r="E33" s="51"/>
      <c r="F33" s="51"/>
      <c r="G33" s="52">
        <f t="shared" si="1"/>
        <v>0</v>
      </c>
      <c r="H33" s="53">
        <f t="shared" si="2"/>
        <v>0</v>
      </c>
      <c r="I33" s="51"/>
      <c r="J33" s="51"/>
      <c r="K33" s="51"/>
      <c r="L33" s="52">
        <f t="shared" si="3"/>
        <v>0</v>
      </c>
      <c r="M33" s="53">
        <f t="shared" si="4"/>
        <v>0</v>
      </c>
      <c r="N33" s="51"/>
      <c r="O33" s="51"/>
      <c r="P33" s="51"/>
      <c r="Q33" s="51"/>
      <c r="R33" s="51"/>
      <c r="S33" s="52">
        <f t="shared" si="5"/>
        <v>0</v>
      </c>
      <c r="T33" s="53">
        <f t="shared" si="6"/>
        <v>0</v>
      </c>
      <c r="U33" s="54"/>
      <c r="V33" s="54"/>
      <c r="W33" s="54"/>
      <c r="X33" s="52">
        <f t="shared" si="7"/>
        <v>0</v>
      </c>
      <c r="Y33" s="53">
        <f t="shared" si="8"/>
        <v>0</v>
      </c>
      <c r="Z33" s="54"/>
      <c r="AA33" s="54"/>
      <c r="AB33" s="54"/>
      <c r="AC33" s="52">
        <f t="shared" si="9"/>
        <v>0</v>
      </c>
      <c r="AD33" s="53">
        <f t="shared" si="10"/>
        <v>0</v>
      </c>
      <c r="AE33" s="55">
        <f t="shared" si="11"/>
        <v>0</v>
      </c>
      <c r="AF33" s="54"/>
      <c r="AG33" s="56">
        <f t="shared" si="12"/>
        <v>0</v>
      </c>
      <c r="AH33" s="29"/>
      <c r="AI33" s="63"/>
      <c r="AJ33" s="23"/>
      <c r="AK33" s="58"/>
      <c r="AY33" s="65"/>
      <c r="AZ33" s="3"/>
      <c r="BA33" s="3"/>
      <c r="BB33" s="14"/>
    </row>
    <row r="34" ht="16.5" customHeight="1">
      <c r="A34" s="48">
        <v>28.0</v>
      </c>
      <c r="B34" s="49"/>
      <c r="C34" s="50"/>
      <c r="D34" s="51"/>
      <c r="E34" s="51"/>
      <c r="F34" s="51"/>
      <c r="G34" s="52">
        <f t="shared" si="1"/>
        <v>0</v>
      </c>
      <c r="H34" s="53">
        <f t="shared" si="2"/>
        <v>0</v>
      </c>
      <c r="I34" s="51"/>
      <c r="J34" s="51"/>
      <c r="K34" s="51"/>
      <c r="L34" s="52">
        <f t="shared" si="3"/>
        <v>0</v>
      </c>
      <c r="M34" s="53">
        <f t="shared" si="4"/>
        <v>0</v>
      </c>
      <c r="N34" s="51"/>
      <c r="O34" s="51"/>
      <c r="P34" s="51"/>
      <c r="Q34" s="51"/>
      <c r="R34" s="51"/>
      <c r="S34" s="52">
        <f t="shared" si="5"/>
        <v>0</v>
      </c>
      <c r="T34" s="53">
        <f t="shared" si="6"/>
        <v>0</v>
      </c>
      <c r="U34" s="54"/>
      <c r="V34" s="54"/>
      <c r="W34" s="54"/>
      <c r="X34" s="52">
        <f t="shared" si="7"/>
        <v>0</v>
      </c>
      <c r="Y34" s="53">
        <f t="shared" si="8"/>
        <v>0</v>
      </c>
      <c r="Z34" s="54"/>
      <c r="AA34" s="54"/>
      <c r="AB34" s="54"/>
      <c r="AC34" s="52">
        <f t="shared" si="9"/>
        <v>0</v>
      </c>
      <c r="AD34" s="53">
        <f t="shared" si="10"/>
        <v>0</v>
      </c>
      <c r="AE34" s="55">
        <f t="shared" si="11"/>
        <v>0</v>
      </c>
      <c r="AF34" s="54"/>
      <c r="AG34" s="56">
        <f t="shared" si="12"/>
        <v>0</v>
      </c>
      <c r="AH34" s="29"/>
      <c r="AI34" s="63"/>
      <c r="AJ34" s="23"/>
      <c r="AK34" s="58"/>
      <c r="AY34" s="65"/>
      <c r="AZ34" s="3"/>
      <c r="BA34" s="3"/>
      <c r="BB34" s="14"/>
    </row>
    <row r="35" ht="16.5" customHeight="1">
      <c r="A35" s="48">
        <v>29.0</v>
      </c>
      <c r="B35" s="49"/>
      <c r="C35" s="50"/>
      <c r="D35" s="51"/>
      <c r="E35" s="51"/>
      <c r="F35" s="51"/>
      <c r="G35" s="52">
        <f t="shared" si="1"/>
        <v>0</v>
      </c>
      <c r="H35" s="53">
        <f t="shared" si="2"/>
        <v>0</v>
      </c>
      <c r="I35" s="51"/>
      <c r="J35" s="51"/>
      <c r="K35" s="51"/>
      <c r="L35" s="52">
        <f t="shared" si="3"/>
        <v>0</v>
      </c>
      <c r="M35" s="53">
        <f t="shared" si="4"/>
        <v>0</v>
      </c>
      <c r="N35" s="51"/>
      <c r="O35" s="51"/>
      <c r="P35" s="51"/>
      <c r="Q35" s="51"/>
      <c r="R35" s="51"/>
      <c r="S35" s="52">
        <f t="shared" si="5"/>
        <v>0</v>
      </c>
      <c r="T35" s="53">
        <f t="shared" si="6"/>
        <v>0</v>
      </c>
      <c r="U35" s="54"/>
      <c r="V35" s="54"/>
      <c r="W35" s="54"/>
      <c r="X35" s="52">
        <f t="shared" si="7"/>
        <v>0</v>
      </c>
      <c r="Y35" s="53">
        <f t="shared" si="8"/>
        <v>0</v>
      </c>
      <c r="Z35" s="54"/>
      <c r="AA35" s="54"/>
      <c r="AB35" s="54"/>
      <c r="AC35" s="52">
        <f t="shared" si="9"/>
        <v>0</v>
      </c>
      <c r="AD35" s="53">
        <f t="shared" si="10"/>
        <v>0</v>
      </c>
      <c r="AE35" s="55">
        <f t="shared" si="11"/>
        <v>0</v>
      </c>
      <c r="AF35" s="54"/>
      <c r="AG35" s="56">
        <f t="shared" si="12"/>
        <v>0</v>
      </c>
      <c r="AH35" s="29"/>
      <c r="AI35" s="63"/>
      <c r="AJ35" s="23"/>
      <c r="AK35" s="58"/>
      <c r="AY35" s="65"/>
      <c r="AZ35" s="3"/>
      <c r="BA35" s="3"/>
      <c r="BB35" s="14"/>
    </row>
    <row r="36" ht="16.5" customHeight="1">
      <c r="A36" s="48">
        <v>30.0</v>
      </c>
      <c r="B36" s="49"/>
      <c r="C36" s="50"/>
      <c r="D36" s="51"/>
      <c r="E36" s="51"/>
      <c r="F36" s="51"/>
      <c r="G36" s="52">
        <f t="shared" si="1"/>
        <v>0</v>
      </c>
      <c r="H36" s="53">
        <f t="shared" si="2"/>
        <v>0</v>
      </c>
      <c r="I36" s="51"/>
      <c r="J36" s="51"/>
      <c r="K36" s="51"/>
      <c r="L36" s="52">
        <f t="shared" si="3"/>
        <v>0</v>
      </c>
      <c r="M36" s="53">
        <f t="shared" si="4"/>
        <v>0</v>
      </c>
      <c r="N36" s="51"/>
      <c r="O36" s="51"/>
      <c r="P36" s="51"/>
      <c r="Q36" s="51"/>
      <c r="R36" s="51"/>
      <c r="S36" s="52">
        <f t="shared" si="5"/>
        <v>0</v>
      </c>
      <c r="T36" s="53">
        <f t="shared" si="6"/>
        <v>0</v>
      </c>
      <c r="U36" s="54"/>
      <c r="V36" s="54"/>
      <c r="W36" s="54"/>
      <c r="X36" s="52">
        <f t="shared" si="7"/>
        <v>0</v>
      </c>
      <c r="Y36" s="53">
        <f t="shared" si="8"/>
        <v>0</v>
      </c>
      <c r="Z36" s="54"/>
      <c r="AA36" s="54"/>
      <c r="AB36" s="54"/>
      <c r="AC36" s="52">
        <f t="shared" si="9"/>
        <v>0</v>
      </c>
      <c r="AD36" s="53">
        <f t="shared" si="10"/>
        <v>0</v>
      </c>
      <c r="AE36" s="55">
        <f t="shared" si="11"/>
        <v>0</v>
      </c>
      <c r="AF36" s="54"/>
      <c r="AG36" s="56">
        <f t="shared" si="12"/>
        <v>0</v>
      </c>
      <c r="AH36" s="29"/>
      <c r="AI36" s="63"/>
      <c r="AJ36" s="23"/>
      <c r="AK36" s="58"/>
      <c r="AM36" s="96" t="s">
        <v>0</v>
      </c>
      <c r="AN36" s="9"/>
      <c r="AO36" s="9"/>
      <c r="AP36" s="9"/>
      <c r="AQ36" s="9"/>
      <c r="AR36" s="9"/>
      <c r="AS36" s="9"/>
      <c r="AT36" s="9"/>
      <c r="AU36" s="9"/>
      <c r="AV36" s="25"/>
      <c r="AY36" s="65"/>
      <c r="AZ36" s="3"/>
      <c r="BA36" s="3"/>
      <c r="BB36" s="14"/>
    </row>
    <row r="37" ht="16.5" customHeight="1">
      <c r="A37" s="48">
        <v>31.0</v>
      </c>
      <c r="B37" s="49"/>
      <c r="C37" s="50"/>
      <c r="D37" s="51"/>
      <c r="E37" s="51"/>
      <c r="F37" s="51"/>
      <c r="G37" s="52">
        <f t="shared" si="1"/>
        <v>0</v>
      </c>
      <c r="H37" s="53">
        <f t="shared" si="2"/>
        <v>0</v>
      </c>
      <c r="I37" s="51"/>
      <c r="J37" s="51"/>
      <c r="K37" s="51"/>
      <c r="L37" s="52">
        <f t="shared" si="3"/>
        <v>0</v>
      </c>
      <c r="M37" s="53">
        <f t="shared" si="4"/>
        <v>0</v>
      </c>
      <c r="N37" s="51"/>
      <c r="O37" s="51"/>
      <c r="P37" s="51"/>
      <c r="Q37" s="51"/>
      <c r="R37" s="51"/>
      <c r="S37" s="52">
        <f t="shared" si="5"/>
        <v>0</v>
      </c>
      <c r="T37" s="53">
        <f t="shared" si="6"/>
        <v>0</v>
      </c>
      <c r="U37" s="54"/>
      <c r="V37" s="54"/>
      <c r="W37" s="54"/>
      <c r="X37" s="52">
        <f t="shared" si="7"/>
        <v>0</v>
      </c>
      <c r="Y37" s="53">
        <f t="shared" si="8"/>
        <v>0</v>
      </c>
      <c r="Z37" s="54"/>
      <c r="AA37" s="54"/>
      <c r="AB37" s="54"/>
      <c r="AC37" s="52">
        <f t="shared" si="9"/>
        <v>0</v>
      </c>
      <c r="AD37" s="53">
        <f t="shared" si="10"/>
        <v>0</v>
      </c>
      <c r="AE37" s="55">
        <f t="shared" si="11"/>
        <v>0</v>
      </c>
      <c r="AF37" s="54"/>
      <c r="AG37" s="56">
        <f t="shared" si="12"/>
        <v>0</v>
      </c>
      <c r="AH37" s="29"/>
      <c r="AI37" s="63"/>
      <c r="AJ37" s="23"/>
      <c r="AK37" s="58"/>
      <c r="AM37" s="97" t="s">
        <v>50</v>
      </c>
      <c r="AN37" s="9"/>
      <c r="AO37" s="9"/>
      <c r="AP37" s="9"/>
      <c r="AQ37" s="25"/>
      <c r="AR37" s="98" t="s">
        <v>42</v>
      </c>
      <c r="AS37" s="9"/>
      <c r="AT37" s="9"/>
      <c r="AU37" s="9"/>
      <c r="AV37" s="25"/>
      <c r="AY37" s="65"/>
      <c r="AZ37" s="3"/>
      <c r="BA37" s="3"/>
      <c r="BB37" s="14"/>
    </row>
    <row r="38" ht="16.5" customHeight="1">
      <c r="A38" s="48">
        <v>32.0</v>
      </c>
      <c r="B38" s="49"/>
      <c r="C38" s="50"/>
      <c r="D38" s="51"/>
      <c r="E38" s="51"/>
      <c r="F38" s="51"/>
      <c r="G38" s="52">
        <f t="shared" si="1"/>
        <v>0</v>
      </c>
      <c r="H38" s="53">
        <f t="shared" si="2"/>
        <v>0</v>
      </c>
      <c r="I38" s="51"/>
      <c r="J38" s="51"/>
      <c r="K38" s="51"/>
      <c r="L38" s="52">
        <f t="shared" si="3"/>
        <v>0</v>
      </c>
      <c r="M38" s="53">
        <f t="shared" si="4"/>
        <v>0</v>
      </c>
      <c r="N38" s="51"/>
      <c r="O38" s="51"/>
      <c r="P38" s="51"/>
      <c r="Q38" s="51"/>
      <c r="R38" s="51"/>
      <c r="S38" s="52">
        <f t="shared" si="5"/>
        <v>0</v>
      </c>
      <c r="T38" s="53">
        <f t="shared" si="6"/>
        <v>0</v>
      </c>
      <c r="U38" s="54"/>
      <c r="V38" s="54"/>
      <c r="W38" s="54"/>
      <c r="X38" s="52">
        <f t="shared" si="7"/>
        <v>0</v>
      </c>
      <c r="Y38" s="53">
        <f t="shared" si="8"/>
        <v>0</v>
      </c>
      <c r="Z38" s="54"/>
      <c r="AA38" s="54"/>
      <c r="AB38" s="54"/>
      <c r="AC38" s="52">
        <f t="shared" si="9"/>
        <v>0</v>
      </c>
      <c r="AD38" s="53">
        <f t="shared" si="10"/>
        <v>0</v>
      </c>
      <c r="AE38" s="55">
        <f t="shared" si="11"/>
        <v>0</v>
      </c>
      <c r="AF38" s="54"/>
      <c r="AG38" s="56">
        <f t="shared" si="12"/>
        <v>0</v>
      </c>
      <c r="AH38" s="29"/>
      <c r="AI38" s="63"/>
      <c r="AJ38" s="23"/>
      <c r="AK38" s="58"/>
      <c r="AM38" s="27" t="s">
        <v>51</v>
      </c>
      <c r="AN38" s="9"/>
      <c r="AO38" s="9"/>
      <c r="AP38" s="9"/>
      <c r="AQ38" s="25"/>
      <c r="AR38" s="99" t="s">
        <v>5</v>
      </c>
      <c r="AS38" s="99" t="s">
        <v>6</v>
      </c>
      <c r="AT38" s="99" t="s">
        <v>7</v>
      </c>
      <c r="AU38" s="99" t="s">
        <v>8</v>
      </c>
      <c r="AV38" s="99" t="s">
        <v>9</v>
      </c>
      <c r="AY38" s="65"/>
      <c r="AZ38" s="3"/>
      <c r="BA38" s="3"/>
      <c r="BB38" s="14"/>
    </row>
    <row r="39" ht="16.5" customHeight="1">
      <c r="A39" s="48">
        <v>33.0</v>
      </c>
      <c r="B39" s="49"/>
      <c r="C39" s="50"/>
      <c r="D39" s="51"/>
      <c r="E39" s="51"/>
      <c r="F39" s="51"/>
      <c r="G39" s="52">
        <f t="shared" si="1"/>
        <v>0</v>
      </c>
      <c r="H39" s="53">
        <f t="shared" si="2"/>
        <v>0</v>
      </c>
      <c r="I39" s="51"/>
      <c r="J39" s="51"/>
      <c r="K39" s="51"/>
      <c r="L39" s="52">
        <f t="shared" si="3"/>
        <v>0</v>
      </c>
      <c r="M39" s="53">
        <f t="shared" si="4"/>
        <v>0</v>
      </c>
      <c r="N39" s="51"/>
      <c r="O39" s="51"/>
      <c r="P39" s="51"/>
      <c r="Q39" s="51"/>
      <c r="R39" s="51"/>
      <c r="S39" s="52">
        <f t="shared" si="5"/>
        <v>0</v>
      </c>
      <c r="T39" s="53">
        <f t="shared" si="6"/>
        <v>0</v>
      </c>
      <c r="U39" s="54"/>
      <c r="V39" s="54"/>
      <c r="W39" s="54"/>
      <c r="X39" s="52">
        <f t="shared" si="7"/>
        <v>0</v>
      </c>
      <c r="Y39" s="53">
        <f t="shared" si="8"/>
        <v>0</v>
      </c>
      <c r="Z39" s="54"/>
      <c r="AA39" s="54"/>
      <c r="AB39" s="54"/>
      <c r="AC39" s="52">
        <f t="shared" si="9"/>
        <v>0</v>
      </c>
      <c r="AD39" s="53">
        <f t="shared" si="10"/>
        <v>0</v>
      </c>
      <c r="AE39" s="55">
        <f t="shared" si="11"/>
        <v>0</v>
      </c>
      <c r="AF39" s="54"/>
      <c r="AG39" s="56">
        <f t="shared" si="12"/>
        <v>0</v>
      </c>
      <c r="AH39" s="29"/>
      <c r="AI39" s="63"/>
      <c r="AJ39" s="23"/>
      <c r="AK39" s="58"/>
      <c r="AL39" s="13"/>
      <c r="AM39" s="100" t="s">
        <v>52</v>
      </c>
      <c r="AN39" s="9"/>
      <c r="AO39" s="9"/>
      <c r="AP39" s="9"/>
      <c r="AQ39" s="25"/>
      <c r="AR39" s="101">
        <v>3.0</v>
      </c>
      <c r="AS39" s="101">
        <v>3.0</v>
      </c>
      <c r="AT39" s="101">
        <v>3.0</v>
      </c>
      <c r="AU39" s="101">
        <v>3.0</v>
      </c>
      <c r="AV39" s="101">
        <v>3.0</v>
      </c>
      <c r="AY39" s="65"/>
      <c r="AZ39" s="3"/>
      <c r="BA39" s="3"/>
      <c r="BB39" s="14"/>
    </row>
    <row r="40" ht="16.5" customHeight="1">
      <c r="A40" s="48">
        <v>34.0</v>
      </c>
      <c r="B40" s="49"/>
      <c r="C40" s="50"/>
      <c r="D40" s="51"/>
      <c r="E40" s="51"/>
      <c r="F40" s="51"/>
      <c r="G40" s="52">
        <f t="shared" si="1"/>
        <v>0</v>
      </c>
      <c r="H40" s="53">
        <f t="shared" si="2"/>
        <v>0</v>
      </c>
      <c r="I40" s="51"/>
      <c r="J40" s="51"/>
      <c r="K40" s="51"/>
      <c r="L40" s="52">
        <f t="shared" si="3"/>
        <v>0</v>
      </c>
      <c r="M40" s="53">
        <f t="shared" si="4"/>
        <v>0</v>
      </c>
      <c r="N40" s="51"/>
      <c r="O40" s="51"/>
      <c r="P40" s="51"/>
      <c r="Q40" s="51"/>
      <c r="R40" s="51"/>
      <c r="S40" s="52">
        <f t="shared" si="5"/>
        <v>0</v>
      </c>
      <c r="T40" s="53">
        <f t="shared" si="6"/>
        <v>0</v>
      </c>
      <c r="U40" s="54"/>
      <c r="V40" s="54"/>
      <c r="W40" s="54"/>
      <c r="X40" s="52">
        <f t="shared" si="7"/>
        <v>0</v>
      </c>
      <c r="Y40" s="53">
        <f t="shared" si="8"/>
        <v>0</v>
      </c>
      <c r="Z40" s="54"/>
      <c r="AA40" s="54"/>
      <c r="AB40" s="54"/>
      <c r="AC40" s="52">
        <f t="shared" si="9"/>
        <v>0</v>
      </c>
      <c r="AD40" s="53">
        <f t="shared" si="10"/>
        <v>0</v>
      </c>
      <c r="AE40" s="55">
        <f t="shared" si="11"/>
        <v>0</v>
      </c>
      <c r="AF40" s="54"/>
      <c r="AG40" s="56">
        <f t="shared" si="12"/>
        <v>0</v>
      </c>
      <c r="AH40" s="29"/>
      <c r="AI40" s="63"/>
      <c r="AJ40" s="23"/>
      <c r="AK40" s="58"/>
      <c r="AL40" s="13"/>
      <c r="AM40" s="102" t="s">
        <v>53</v>
      </c>
      <c r="AN40" s="9"/>
      <c r="AO40" s="9"/>
      <c r="AP40" s="9"/>
      <c r="AQ40" s="25"/>
      <c r="AR40" s="101">
        <v>63.0</v>
      </c>
      <c r="AS40" s="101">
        <v>63.0</v>
      </c>
      <c r="AT40" s="101">
        <v>62.0</v>
      </c>
      <c r="AU40" s="101">
        <v>53.0</v>
      </c>
      <c r="AV40" s="101">
        <v>54.0</v>
      </c>
      <c r="AY40" s="65"/>
      <c r="AZ40" s="3"/>
      <c r="BA40" s="3"/>
      <c r="BB40" s="14"/>
    </row>
    <row r="41" ht="16.5" customHeight="1">
      <c r="A41" s="48">
        <v>35.0</v>
      </c>
      <c r="B41" s="49"/>
      <c r="C41" s="50"/>
      <c r="D41" s="51"/>
      <c r="E41" s="51"/>
      <c r="F41" s="51"/>
      <c r="G41" s="52">
        <f t="shared" si="1"/>
        <v>0</v>
      </c>
      <c r="H41" s="53">
        <f t="shared" si="2"/>
        <v>0</v>
      </c>
      <c r="I41" s="51"/>
      <c r="J41" s="51"/>
      <c r="K41" s="51"/>
      <c r="L41" s="52">
        <f t="shared" si="3"/>
        <v>0</v>
      </c>
      <c r="M41" s="53">
        <f t="shared" si="4"/>
        <v>0</v>
      </c>
      <c r="N41" s="51"/>
      <c r="O41" s="51"/>
      <c r="P41" s="51"/>
      <c r="Q41" s="51"/>
      <c r="R41" s="51"/>
      <c r="S41" s="52">
        <f t="shared" si="5"/>
        <v>0</v>
      </c>
      <c r="T41" s="53">
        <f t="shared" si="6"/>
        <v>0</v>
      </c>
      <c r="U41" s="54"/>
      <c r="V41" s="54"/>
      <c r="W41" s="54"/>
      <c r="X41" s="52">
        <f t="shared" si="7"/>
        <v>0</v>
      </c>
      <c r="Y41" s="53">
        <f t="shared" si="8"/>
        <v>0</v>
      </c>
      <c r="Z41" s="54"/>
      <c r="AA41" s="54"/>
      <c r="AB41" s="54"/>
      <c r="AC41" s="52">
        <f t="shared" si="9"/>
        <v>0</v>
      </c>
      <c r="AD41" s="53">
        <f t="shared" si="10"/>
        <v>0</v>
      </c>
      <c r="AE41" s="55">
        <f t="shared" si="11"/>
        <v>0</v>
      </c>
      <c r="AF41" s="54"/>
      <c r="AG41" s="56">
        <f t="shared" si="12"/>
        <v>0</v>
      </c>
      <c r="AH41" s="29"/>
      <c r="AI41" s="63"/>
      <c r="AJ41" s="23"/>
      <c r="AK41" s="58"/>
      <c r="AM41" s="103" t="s">
        <v>54</v>
      </c>
      <c r="AN41" s="9"/>
      <c r="AO41" s="9"/>
      <c r="AP41" s="9"/>
      <c r="AQ41" s="25"/>
      <c r="AR41" s="104">
        <v>100.0</v>
      </c>
      <c r="AS41" s="105">
        <v>100.0</v>
      </c>
      <c r="AT41" s="105">
        <v>98.4126984126984</v>
      </c>
      <c r="AU41" s="105">
        <v>84.12698412698413</v>
      </c>
      <c r="AV41" s="105">
        <v>85.71428571428571</v>
      </c>
      <c r="AY41" s="65"/>
      <c r="AZ41" s="3"/>
      <c r="BA41" s="3"/>
      <c r="BB41" s="14"/>
    </row>
    <row r="42" ht="16.5" customHeight="1">
      <c r="A42" s="48">
        <v>36.0</v>
      </c>
      <c r="B42" s="49"/>
      <c r="C42" s="50"/>
      <c r="D42" s="51"/>
      <c r="E42" s="51"/>
      <c r="F42" s="51"/>
      <c r="G42" s="52">
        <f t="shared" si="1"/>
        <v>0</v>
      </c>
      <c r="H42" s="53">
        <f t="shared" si="2"/>
        <v>0</v>
      </c>
      <c r="I42" s="51"/>
      <c r="J42" s="51"/>
      <c r="K42" s="51"/>
      <c r="L42" s="52">
        <f t="shared" si="3"/>
        <v>0</v>
      </c>
      <c r="M42" s="53">
        <f t="shared" si="4"/>
        <v>0</v>
      </c>
      <c r="N42" s="51"/>
      <c r="O42" s="51"/>
      <c r="P42" s="51"/>
      <c r="Q42" s="51"/>
      <c r="R42" s="51"/>
      <c r="S42" s="52">
        <f t="shared" si="5"/>
        <v>0</v>
      </c>
      <c r="T42" s="53">
        <f t="shared" si="6"/>
        <v>0</v>
      </c>
      <c r="U42" s="54"/>
      <c r="V42" s="54"/>
      <c r="W42" s="54"/>
      <c r="X42" s="52">
        <f t="shared" si="7"/>
        <v>0</v>
      </c>
      <c r="Y42" s="53">
        <f t="shared" si="8"/>
        <v>0</v>
      </c>
      <c r="Z42" s="54"/>
      <c r="AA42" s="54"/>
      <c r="AB42" s="54"/>
      <c r="AC42" s="52">
        <f t="shared" si="9"/>
        <v>0</v>
      </c>
      <c r="AD42" s="53">
        <f t="shared" si="10"/>
        <v>0</v>
      </c>
      <c r="AE42" s="55">
        <f t="shared" si="11"/>
        <v>0</v>
      </c>
      <c r="AF42" s="54"/>
      <c r="AG42" s="56">
        <f t="shared" si="12"/>
        <v>0</v>
      </c>
      <c r="AH42" s="29"/>
      <c r="AI42" s="63"/>
      <c r="AJ42" s="23"/>
      <c r="AK42" s="58"/>
      <c r="AM42" s="106" t="s">
        <v>55</v>
      </c>
      <c r="AN42" s="19"/>
      <c r="AO42" s="19"/>
      <c r="AP42" s="19"/>
      <c r="AQ42" s="20"/>
      <c r="AR42" s="107">
        <f t="shared" ref="AR42:AV42" si="13">IF(AR41&gt;$AO$17,3,(IF(AR41&gt;=$AO$16,2,(IF(AR41&gt;$AO$15,1,0)))))</f>
        <v>3</v>
      </c>
      <c r="AS42" s="108">
        <f t="shared" si="13"/>
        <v>3</v>
      </c>
      <c r="AT42" s="108">
        <f t="shared" si="13"/>
        <v>3</v>
      </c>
      <c r="AU42" s="108">
        <f t="shared" si="13"/>
        <v>3</v>
      </c>
      <c r="AV42" s="108">
        <f t="shared" si="13"/>
        <v>3</v>
      </c>
      <c r="AY42" s="65"/>
      <c r="AZ42" s="3"/>
      <c r="BA42" s="3"/>
      <c r="BB42" s="14"/>
    </row>
    <row r="43" ht="16.5" customHeight="1">
      <c r="A43" s="48">
        <v>37.0</v>
      </c>
      <c r="B43" s="49"/>
      <c r="C43" s="50"/>
      <c r="D43" s="51"/>
      <c r="E43" s="51"/>
      <c r="F43" s="51"/>
      <c r="G43" s="52">
        <f t="shared" si="1"/>
        <v>0</v>
      </c>
      <c r="H43" s="53">
        <f t="shared" si="2"/>
        <v>0</v>
      </c>
      <c r="I43" s="51"/>
      <c r="J43" s="51"/>
      <c r="K43" s="51"/>
      <c r="L43" s="52">
        <f t="shared" si="3"/>
        <v>0</v>
      </c>
      <c r="M43" s="53">
        <f t="shared" si="4"/>
        <v>0</v>
      </c>
      <c r="N43" s="51"/>
      <c r="O43" s="51"/>
      <c r="P43" s="51"/>
      <c r="Q43" s="51"/>
      <c r="R43" s="51"/>
      <c r="S43" s="52">
        <f t="shared" si="5"/>
        <v>0</v>
      </c>
      <c r="T43" s="53">
        <f t="shared" si="6"/>
        <v>0</v>
      </c>
      <c r="U43" s="54"/>
      <c r="V43" s="54"/>
      <c r="W43" s="54"/>
      <c r="X43" s="52">
        <f t="shared" si="7"/>
        <v>0</v>
      </c>
      <c r="Y43" s="53">
        <f t="shared" si="8"/>
        <v>0</v>
      </c>
      <c r="Z43" s="54"/>
      <c r="AA43" s="54"/>
      <c r="AB43" s="54"/>
      <c r="AC43" s="52">
        <f t="shared" si="9"/>
        <v>0</v>
      </c>
      <c r="AD43" s="53">
        <f t="shared" si="10"/>
        <v>0</v>
      </c>
      <c r="AE43" s="55">
        <f t="shared" si="11"/>
        <v>0</v>
      </c>
      <c r="AF43" s="54"/>
      <c r="AG43" s="56">
        <f t="shared" si="12"/>
        <v>0</v>
      </c>
      <c r="AH43" s="29"/>
      <c r="AI43" s="63"/>
      <c r="AJ43" s="23"/>
      <c r="AK43" s="58"/>
      <c r="AM43" s="109" t="s">
        <v>56</v>
      </c>
      <c r="AN43" s="6"/>
      <c r="AO43" s="6"/>
      <c r="AP43" s="6"/>
      <c r="AQ43" s="6"/>
      <c r="AR43" s="6"/>
      <c r="AS43" s="6"/>
      <c r="AT43" s="6"/>
      <c r="AU43" s="6"/>
      <c r="AV43" s="7"/>
      <c r="AY43" s="65"/>
      <c r="AZ43" s="3"/>
      <c r="BA43" s="3"/>
      <c r="BB43" s="14"/>
    </row>
    <row r="44" ht="16.5" customHeight="1">
      <c r="A44" s="48">
        <v>38.0</v>
      </c>
      <c r="B44" s="49"/>
      <c r="C44" s="50"/>
      <c r="D44" s="51"/>
      <c r="E44" s="51"/>
      <c r="F44" s="51"/>
      <c r="G44" s="52">
        <f t="shared" si="1"/>
        <v>0</v>
      </c>
      <c r="H44" s="53">
        <f t="shared" si="2"/>
        <v>0</v>
      </c>
      <c r="I44" s="51"/>
      <c r="J44" s="51"/>
      <c r="K44" s="51"/>
      <c r="L44" s="52">
        <f t="shared" si="3"/>
        <v>0</v>
      </c>
      <c r="M44" s="53">
        <f t="shared" si="4"/>
        <v>0</v>
      </c>
      <c r="N44" s="51"/>
      <c r="O44" s="51"/>
      <c r="P44" s="51"/>
      <c r="Q44" s="51"/>
      <c r="R44" s="51"/>
      <c r="S44" s="52">
        <f t="shared" si="5"/>
        <v>0</v>
      </c>
      <c r="T44" s="53">
        <f t="shared" si="6"/>
        <v>0</v>
      </c>
      <c r="U44" s="54"/>
      <c r="V44" s="54"/>
      <c r="W44" s="54"/>
      <c r="X44" s="52">
        <f t="shared" si="7"/>
        <v>0</v>
      </c>
      <c r="Y44" s="53">
        <f t="shared" si="8"/>
        <v>0</v>
      </c>
      <c r="Z44" s="54"/>
      <c r="AA44" s="54"/>
      <c r="AB44" s="54"/>
      <c r="AC44" s="52">
        <f t="shared" si="9"/>
        <v>0</v>
      </c>
      <c r="AD44" s="53">
        <f t="shared" si="10"/>
        <v>0</v>
      </c>
      <c r="AE44" s="55">
        <f t="shared" si="11"/>
        <v>0</v>
      </c>
      <c r="AF44" s="54"/>
      <c r="AG44" s="56">
        <f t="shared" si="12"/>
        <v>0</v>
      </c>
      <c r="AH44" s="29"/>
      <c r="AI44" s="63"/>
      <c r="AJ44" s="23"/>
      <c r="AK44" s="58"/>
      <c r="AM44" s="73"/>
      <c r="AV44" s="74"/>
      <c r="AY44" s="65"/>
      <c r="AZ44" s="3"/>
      <c r="BA44" s="3"/>
      <c r="BB44" s="14"/>
    </row>
    <row r="45" ht="16.5" customHeight="1">
      <c r="A45" s="48">
        <v>39.0</v>
      </c>
      <c r="B45" s="49"/>
      <c r="C45" s="50"/>
      <c r="D45" s="51"/>
      <c r="E45" s="51"/>
      <c r="F45" s="51"/>
      <c r="G45" s="52">
        <f t="shared" si="1"/>
        <v>0</v>
      </c>
      <c r="H45" s="53">
        <f t="shared" si="2"/>
        <v>0</v>
      </c>
      <c r="I45" s="51"/>
      <c r="J45" s="51"/>
      <c r="K45" s="51"/>
      <c r="L45" s="52">
        <f t="shared" si="3"/>
        <v>0</v>
      </c>
      <c r="M45" s="53">
        <f t="shared" si="4"/>
        <v>0</v>
      </c>
      <c r="N45" s="51"/>
      <c r="O45" s="51"/>
      <c r="P45" s="51"/>
      <c r="Q45" s="51"/>
      <c r="R45" s="51"/>
      <c r="S45" s="52">
        <f t="shared" si="5"/>
        <v>0</v>
      </c>
      <c r="T45" s="53">
        <f t="shared" si="6"/>
        <v>0</v>
      </c>
      <c r="U45" s="54"/>
      <c r="V45" s="54"/>
      <c r="W45" s="54"/>
      <c r="X45" s="52">
        <f t="shared" si="7"/>
        <v>0</v>
      </c>
      <c r="Y45" s="53">
        <f t="shared" si="8"/>
        <v>0</v>
      </c>
      <c r="Z45" s="54"/>
      <c r="AA45" s="54"/>
      <c r="AB45" s="54"/>
      <c r="AC45" s="52">
        <f t="shared" si="9"/>
        <v>0</v>
      </c>
      <c r="AD45" s="53">
        <f t="shared" si="10"/>
        <v>0</v>
      </c>
      <c r="AE45" s="55">
        <f t="shared" si="11"/>
        <v>0</v>
      </c>
      <c r="AF45" s="54"/>
      <c r="AG45" s="56">
        <f t="shared" si="12"/>
        <v>0</v>
      </c>
      <c r="AH45" s="29"/>
      <c r="AI45" s="63"/>
      <c r="AJ45" s="23"/>
      <c r="AK45" s="58"/>
      <c r="AM45" s="73"/>
      <c r="AV45" s="74"/>
      <c r="AY45" s="65"/>
      <c r="AZ45" s="3"/>
      <c r="BA45" s="3"/>
      <c r="BB45" s="14"/>
    </row>
    <row r="46" ht="16.5" customHeight="1">
      <c r="A46" s="48">
        <v>40.0</v>
      </c>
      <c r="B46" s="49"/>
      <c r="C46" s="50"/>
      <c r="D46" s="51"/>
      <c r="E46" s="51"/>
      <c r="F46" s="51"/>
      <c r="G46" s="52">
        <f t="shared" si="1"/>
        <v>0</v>
      </c>
      <c r="H46" s="53">
        <f t="shared" si="2"/>
        <v>0</v>
      </c>
      <c r="I46" s="51"/>
      <c r="J46" s="51"/>
      <c r="K46" s="51"/>
      <c r="L46" s="52">
        <f t="shared" si="3"/>
        <v>0</v>
      </c>
      <c r="M46" s="53">
        <f t="shared" si="4"/>
        <v>0</v>
      </c>
      <c r="N46" s="51"/>
      <c r="O46" s="51"/>
      <c r="P46" s="51"/>
      <c r="Q46" s="51"/>
      <c r="R46" s="51"/>
      <c r="S46" s="52">
        <f t="shared" si="5"/>
        <v>0</v>
      </c>
      <c r="T46" s="53">
        <f t="shared" si="6"/>
        <v>0</v>
      </c>
      <c r="U46" s="54"/>
      <c r="V46" s="54"/>
      <c r="W46" s="54"/>
      <c r="X46" s="52">
        <f t="shared" si="7"/>
        <v>0</v>
      </c>
      <c r="Y46" s="53">
        <f t="shared" si="8"/>
        <v>0</v>
      </c>
      <c r="Z46" s="54"/>
      <c r="AA46" s="54"/>
      <c r="AB46" s="54"/>
      <c r="AC46" s="52">
        <f t="shared" si="9"/>
        <v>0</v>
      </c>
      <c r="AD46" s="53">
        <f t="shared" si="10"/>
        <v>0</v>
      </c>
      <c r="AE46" s="55">
        <f t="shared" si="11"/>
        <v>0</v>
      </c>
      <c r="AF46" s="54"/>
      <c r="AG46" s="56">
        <f t="shared" si="12"/>
        <v>0</v>
      </c>
      <c r="AH46" s="29"/>
      <c r="AI46" s="63"/>
      <c r="AJ46" s="23"/>
      <c r="AK46" s="58"/>
      <c r="AM46" s="73"/>
      <c r="AV46" s="74"/>
      <c r="AY46" s="65"/>
      <c r="AZ46" s="3"/>
      <c r="BA46" s="3"/>
      <c r="BB46" s="14"/>
    </row>
    <row r="47" ht="16.5" customHeight="1">
      <c r="A47" s="48">
        <v>41.0</v>
      </c>
      <c r="B47" s="49"/>
      <c r="C47" s="50"/>
      <c r="D47" s="51"/>
      <c r="E47" s="51"/>
      <c r="F47" s="51"/>
      <c r="G47" s="52">
        <f t="shared" si="1"/>
        <v>0</v>
      </c>
      <c r="H47" s="53">
        <f t="shared" si="2"/>
        <v>0</v>
      </c>
      <c r="I47" s="51"/>
      <c r="J47" s="51"/>
      <c r="K47" s="51"/>
      <c r="L47" s="52">
        <f t="shared" si="3"/>
        <v>0</v>
      </c>
      <c r="M47" s="53">
        <f t="shared" si="4"/>
        <v>0</v>
      </c>
      <c r="N47" s="51"/>
      <c r="O47" s="51"/>
      <c r="P47" s="51"/>
      <c r="Q47" s="51"/>
      <c r="R47" s="51"/>
      <c r="S47" s="52">
        <f t="shared" si="5"/>
        <v>0</v>
      </c>
      <c r="T47" s="53">
        <f t="shared" si="6"/>
        <v>0</v>
      </c>
      <c r="U47" s="54"/>
      <c r="V47" s="54"/>
      <c r="W47" s="54"/>
      <c r="X47" s="52">
        <f t="shared" si="7"/>
        <v>0</v>
      </c>
      <c r="Y47" s="53">
        <f t="shared" si="8"/>
        <v>0</v>
      </c>
      <c r="Z47" s="54"/>
      <c r="AA47" s="54"/>
      <c r="AB47" s="54"/>
      <c r="AC47" s="52">
        <f t="shared" si="9"/>
        <v>0</v>
      </c>
      <c r="AD47" s="53">
        <f t="shared" si="10"/>
        <v>0</v>
      </c>
      <c r="AE47" s="55">
        <f t="shared" si="11"/>
        <v>0</v>
      </c>
      <c r="AF47" s="54"/>
      <c r="AG47" s="56">
        <f t="shared" si="12"/>
        <v>0</v>
      </c>
      <c r="AH47" s="29"/>
      <c r="AI47" s="63"/>
      <c r="AJ47" s="23"/>
      <c r="AK47" s="58"/>
      <c r="AM47" s="73"/>
      <c r="AV47" s="74"/>
      <c r="AY47" s="65"/>
      <c r="AZ47" s="3"/>
      <c r="BA47" s="3"/>
      <c r="BB47" s="14"/>
    </row>
    <row r="48" ht="16.5" customHeight="1">
      <c r="A48" s="48">
        <v>42.0</v>
      </c>
      <c r="B48" s="49"/>
      <c r="C48" s="50"/>
      <c r="D48" s="51"/>
      <c r="E48" s="51"/>
      <c r="F48" s="51"/>
      <c r="G48" s="52">
        <f t="shared" si="1"/>
        <v>0</v>
      </c>
      <c r="H48" s="53">
        <f t="shared" si="2"/>
        <v>0</v>
      </c>
      <c r="I48" s="51"/>
      <c r="J48" s="51"/>
      <c r="K48" s="51"/>
      <c r="L48" s="52">
        <f t="shared" si="3"/>
        <v>0</v>
      </c>
      <c r="M48" s="53">
        <f t="shared" si="4"/>
        <v>0</v>
      </c>
      <c r="N48" s="51"/>
      <c r="O48" s="51"/>
      <c r="P48" s="51"/>
      <c r="Q48" s="51"/>
      <c r="R48" s="51"/>
      <c r="S48" s="52">
        <f t="shared" si="5"/>
        <v>0</v>
      </c>
      <c r="T48" s="53">
        <f t="shared" si="6"/>
        <v>0</v>
      </c>
      <c r="U48" s="54"/>
      <c r="V48" s="54"/>
      <c r="W48" s="54"/>
      <c r="X48" s="52">
        <f t="shared" si="7"/>
        <v>0</v>
      </c>
      <c r="Y48" s="53">
        <f t="shared" si="8"/>
        <v>0</v>
      </c>
      <c r="Z48" s="54"/>
      <c r="AA48" s="54"/>
      <c r="AB48" s="54"/>
      <c r="AC48" s="52">
        <f t="shared" si="9"/>
        <v>0</v>
      </c>
      <c r="AD48" s="53">
        <f t="shared" si="10"/>
        <v>0</v>
      </c>
      <c r="AE48" s="55">
        <f t="shared" si="11"/>
        <v>0</v>
      </c>
      <c r="AF48" s="54"/>
      <c r="AG48" s="56">
        <f t="shared" si="12"/>
        <v>0</v>
      </c>
      <c r="AH48" s="29"/>
      <c r="AI48" s="63"/>
      <c r="AJ48" s="23"/>
      <c r="AK48" s="58"/>
      <c r="AM48" s="76"/>
      <c r="AN48" s="85"/>
      <c r="AO48" s="85"/>
      <c r="AP48" s="85"/>
      <c r="AQ48" s="85"/>
      <c r="AR48" s="85"/>
      <c r="AS48" s="85"/>
      <c r="AT48" s="85"/>
      <c r="AU48" s="85"/>
      <c r="AV48" s="77"/>
      <c r="AY48" s="65"/>
      <c r="AZ48" s="3"/>
      <c r="BA48" s="3"/>
      <c r="BB48" s="14"/>
    </row>
    <row r="49" ht="16.5" customHeight="1">
      <c r="A49" s="48">
        <v>43.0</v>
      </c>
      <c r="B49" s="49"/>
      <c r="C49" s="50"/>
      <c r="D49" s="51"/>
      <c r="E49" s="51"/>
      <c r="F49" s="51"/>
      <c r="G49" s="52">
        <f t="shared" si="1"/>
        <v>0</v>
      </c>
      <c r="H49" s="53">
        <f t="shared" si="2"/>
        <v>0</v>
      </c>
      <c r="I49" s="51"/>
      <c r="J49" s="51"/>
      <c r="K49" s="51"/>
      <c r="L49" s="52">
        <f t="shared" si="3"/>
        <v>0</v>
      </c>
      <c r="M49" s="53">
        <f t="shared" si="4"/>
        <v>0</v>
      </c>
      <c r="N49" s="51"/>
      <c r="O49" s="51"/>
      <c r="P49" s="51"/>
      <c r="Q49" s="51"/>
      <c r="R49" s="51"/>
      <c r="S49" s="52">
        <f t="shared" si="5"/>
        <v>0</v>
      </c>
      <c r="T49" s="53">
        <f t="shared" si="6"/>
        <v>0</v>
      </c>
      <c r="U49" s="54"/>
      <c r="V49" s="54"/>
      <c r="W49" s="54"/>
      <c r="X49" s="52">
        <f t="shared" si="7"/>
        <v>0</v>
      </c>
      <c r="Y49" s="53">
        <f t="shared" si="8"/>
        <v>0</v>
      </c>
      <c r="Z49" s="54"/>
      <c r="AA49" s="54"/>
      <c r="AB49" s="54"/>
      <c r="AC49" s="52">
        <f t="shared" si="9"/>
        <v>0</v>
      </c>
      <c r="AD49" s="53">
        <f t="shared" si="10"/>
        <v>0</v>
      </c>
      <c r="AE49" s="55">
        <f t="shared" si="11"/>
        <v>0</v>
      </c>
      <c r="AF49" s="54"/>
      <c r="AG49" s="56">
        <f t="shared" si="12"/>
        <v>0</v>
      </c>
      <c r="AH49" s="29"/>
      <c r="AI49" s="63"/>
      <c r="AJ49" s="23"/>
      <c r="AK49" s="58"/>
      <c r="AY49" s="65"/>
      <c r="AZ49" s="3"/>
      <c r="BA49" s="3"/>
      <c r="BB49" s="14"/>
    </row>
    <row r="50" ht="16.5" customHeight="1">
      <c r="A50" s="48">
        <v>44.0</v>
      </c>
      <c r="B50" s="49"/>
      <c r="C50" s="50"/>
      <c r="D50" s="51"/>
      <c r="E50" s="51"/>
      <c r="F50" s="51"/>
      <c r="G50" s="52">
        <f t="shared" si="1"/>
        <v>0</v>
      </c>
      <c r="H50" s="53">
        <f t="shared" si="2"/>
        <v>0</v>
      </c>
      <c r="I50" s="51"/>
      <c r="J50" s="51"/>
      <c r="K50" s="51"/>
      <c r="L50" s="52">
        <f t="shared" si="3"/>
        <v>0</v>
      </c>
      <c r="M50" s="53">
        <f t="shared" si="4"/>
        <v>0</v>
      </c>
      <c r="N50" s="51"/>
      <c r="O50" s="51"/>
      <c r="P50" s="51"/>
      <c r="Q50" s="51"/>
      <c r="R50" s="51"/>
      <c r="S50" s="52">
        <f t="shared" si="5"/>
        <v>0</v>
      </c>
      <c r="T50" s="53">
        <f t="shared" si="6"/>
        <v>0</v>
      </c>
      <c r="U50" s="54"/>
      <c r="V50" s="54"/>
      <c r="W50" s="54"/>
      <c r="X50" s="52">
        <f t="shared" si="7"/>
        <v>0</v>
      </c>
      <c r="Y50" s="53">
        <f t="shared" si="8"/>
        <v>0</v>
      </c>
      <c r="Z50" s="54"/>
      <c r="AA50" s="54"/>
      <c r="AB50" s="54"/>
      <c r="AC50" s="52">
        <f t="shared" si="9"/>
        <v>0</v>
      </c>
      <c r="AD50" s="53">
        <f t="shared" si="10"/>
        <v>0</v>
      </c>
      <c r="AE50" s="55">
        <f t="shared" si="11"/>
        <v>0</v>
      </c>
      <c r="AF50" s="54"/>
      <c r="AG50" s="56">
        <f t="shared" si="12"/>
        <v>0</v>
      </c>
      <c r="AH50" s="29"/>
      <c r="AI50" s="63"/>
      <c r="AJ50" s="23"/>
      <c r="AK50" s="58"/>
      <c r="AY50" s="65"/>
      <c r="AZ50" s="3"/>
      <c r="BA50" s="3"/>
      <c r="BB50" s="14"/>
    </row>
    <row r="51" ht="16.5" customHeight="1">
      <c r="A51" s="48">
        <v>45.0</v>
      </c>
      <c r="B51" s="49"/>
      <c r="C51" s="50"/>
      <c r="D51" s="51"/>
      <c r="E51" s="51"/>
      <c r="F51" s="51"/>
      <c r="G51" s="52">
        <f t="shared" si="1"/>
        <v>0</v>
      </c>
      <c r="H51" s="53">
        <f t="shared" si="2"/>
        <v>0</v>
      </c>
      <c r="I51" s="51"/>
      <c r="J51" s="51"/>
      <c r="K51" s="51"/>
      <c r="L51" s="52">
        <f t="shared" si="3"/>
        <v>0</v>
      </c>
      <c r="M51" s="53">
        <f t="shared" si="4"/>
        <v>0</v>
      </c>
      <c r="N51" s="51"/>
      <c r="O51" s="51"/>
      <c r="P51" s="51"/>
      <c r="Q51" s="51"/>
      <c r="R51" s="51"/>
      <c r="S51" s="52">
        <f t="shared" si="5"/>
        <v>0</v>
      </c>
      <c r="T51" s="53">
        <f t="shared" si="6"/>
        <v>0</v>
      </c>
      <c r="U51" s="54"/>
      <c r="V51" s="54"/>
      <c r="W51" s="54"/>
      <c r="X51" s="52">
        <f t="shared" si="7"/>
        <v>0</v>
      </c>
      <c r="Y51" s="53">
        <f t="shared" si="8"/>
        <v>0</v>
      </c>
      <c r="Z51" s="54"/>
      <c r="AA51" s="54"/>
      <c r="AB51" s="54"/>
      <c r="AC51" s="52">
        <f t="shared" si="9"/>
        <v>0</v>
      </c>
      <c r="AD51" s="53">
        <f t="shared" si="10"/>
        <v>0</v>
      </c>
      <c r="AE51" s="55">
        <f t="shared" si="11"/>
        <v>0</v>
      </c>
      <c r="AF51" s="54"/>
      <c r="AG51" s="56">
        <f t="shared" si="12"/>
        <v>0</v>
      </c>
      <c r="AH51" s="29"/>
      <c r="AI51" s="63"/>
      <c r="AJ51" s="23"/>
      <c r="AK51" s="58"/>
      <c r="AY51" s="65"/>
      <c r="AZ51" s="3"/>
      <c r="BA51" s="3"/>
      <c r="BB51" s="14"/>
    </row>
    <row r="52" ht="16.5" customHeight="1">
      <c r="A52" s="48">
        <v>46.0</v>
      </c>
      <c r="B52" s="49"/>
      <c r="C52" s="50"/>
      <c r="D52" s="51"/>
      <c r="E52" s="51"/>
      <c r="F52" s="51"/>
      <c r="G52" s="52">
        <f t="shared" si="1"/>
        <v>0</v>
      </c>
      <c r="H52" s="53">
        <f t="shared" si="2"/>
        <v>0</v>
      </c>
      <c r="I52" s="51"/>
      <c r="J52" s="51"/>
      <c r="K52" s="51"/>
      <c r="L52" s="52">
        <f t="shared" si="3"/>
        <v>0</v>
      </c>
      <c r="M52" s="53">
        <f t="shared" si="4"/>
        <v>0</v>
      </c>
      <c r="N52" s="51"/>
      <c r="O52" s="51"/>
      <c r="P52" s="51"/>
      <c r="Q52" s="51"/>
      <c r="R52" s="51"/>
      <c r="S52" s="52">
        <f t="shared" si="5"/>
        <v>0</v>
      </c>
      <c r="T52" s="53">
        <f t="shared" si="6"/>
        <v>0</v>
      </c>
      <c r="U52" s="54"/>
      <c r="V52" s="54"/>
      <c r="W52" s="54"/>
      <c r="X52" s="52">
        <f t="shared" si="7"/>
        <v>0</v>
      </c>
      <c r="Y52" s="53">
        <f t="shared" si="8"/>
        <v>0</v>
      </c>
      <c r="Z52" s="54"/>
      <c r="AA52" s="54"/>
      <c r="AB52" s="54"/>
      <c r="AC52" s="52">
        <f t="shared" si="9"/>
        <v>0</v>
      </c>
      <c r="AD52" s="53">
        <f t="shared" si="10"/>
        <v>0</v>
      </c>
      <c r="AE52" s="55">
        <f t="shared" si="11"/>
        <v>0</v>
      </c>
      <c r="AF52" s="54"/>
      <c r="AG52" s="56">
        <f t="shared" si="12"/>
        <v>0</v>
      </c>
      <c r="AH52" s="29"/>
      <c r="AI52" s="63"/>
      <c r="AJ52" s="23"/>
      <c r="AK52" s="58"/>
      <c r="AY52" s="65"/>
      <c r="AZ52" s="3"/>
      <c r="BA52" s="3"/>
      <c r="BB52" s="14"/>
    </row>
    <row r="53" ht="16.5" customHeight="1">
      <c r="A53" s="48">
        <v>47.0</v>
      </c>
      <c r="B53" s="49"/>
      <c r="C53" s="50"/>
      <c r="D53" s="51"/>
      <c r="E53" s="51"/>
      <c r="F53" s="51"/>
      <c r="G53" s="52">
        <f t="shared" si="1"/>
        <v>0</v>
      </c>
      <c r="H53" s="53">
        <f t="shared" si="2"/>
        <v>0</v>
      </c>
      <c r="I53" s="51"/>
      <c r="J53" s="51"/>
      <c r="K53" s="51"/>
      <c r="L53" s="52">
        <f t="shared" si="3"/>
        <v>0</v>
      </c>
      <c r="M53" s="53">
        <f t="shared" si="4"/>
        <v>0</v>
      </c>
      <c r="N53" s="51"/>
      <c r="O53" s="51"/>
      <c r="P53" s="51"/>
      <c r="Q53" s="51"/>
      <c r="R53" s="51"/>
      <c r="S53" s="52">
        <f t="shared" si="5"/>
        <v>0</v>
      </c>
      <c r="T53" s="53">
        <f t="shared" si="6"/>
        <v>0</v>
      </c>
      <c r="U53" s="54"/>
      <c r="V53" s="54"/>
      <c r="W53" s="54"/>
      <c r="X53" s="52">
        <f t="shared" si="7"/>
        <v>0</v>
      </c>
      <c r="Y53" s="53">
        <f t="shared" si="8"/>
        <v>0</v>
      </c>
      <c r="Z53" s="54"/>
      <c r="AA53" s="54"/>
      <c r="AB53" s="54"/>
      <c r="AC53" s="52">
        <f t="shared" si="9"/>
        <v>0</v>
      </c>
      <c r="AD53" s="53">
        <f t="shared" si="10"/>
        <v>0</v>
      </c>
      <c r="AE53" s="55">
        <f t="shared" si="11"/>
        <v>0</v>
      </c>
      <c r="AF53" s="54"/>
      <c r="AG53" s="56">
        <f t="shared" si="12"/>
        <v>0</v>
      </c>
      <c r="AH53" s="29"/>
      <c r="AI53" s="63"/>
      <c r="AJ53" s="23"/>
      <c r="AK53" s="58"/>
      <c r="AY53" s="65"/>
      <c r="AZ53" s="3"/>
      <c r="BA53" s="3"/>
      <c r="BB53" s="14"/>
    </row>
    <row r="54" ht="16.5" customHeight="1">
      <c r="A54" s="48">
        <v>48.0</v>
      </c>
      <c r="B54" s="49"/>
      <c r="C54" s="50"/>
      <c r="D54" s="51"/>
      <c r="E54" s="51"/>
      <c r="F54" s="51"/>
      <c r="G54" s="52">
        <f t="shared" si="1"/>
        <v>0</v>
      </c>
      <c r="H54" s="53">
        <f t="shared" si="2"/>
        <v>0</v>
      </c>
      <c r="I54" s="51"/>
      <c r="J54" s="51"/>
      <c r="K54" s="51"/>
      <c r="L54" s="52">
        <f t="shared" si="3"/>
        <v>0</v>
      </c>
      <c r="M54" s="53">
        <f t="shared" si="4"/>
        <v>0</v>
      </c>
      <c r="N54" s="51"/>
      <c r="O54" s="51"/>
      <c r="P54" s="51"/>
      <c r="Q54" s="51"/>
      <c r="R54" s="51"/>
      <c r="S54" s="52">
        <f t="shared" si="5"/>
        <v>0</v>
      </c>
      <c r="T54" s="53">
        <f t="shared" si="6"/>
        <v>0</v>
      </c>
      <c r="U54" s="54"/>
      <c r="V54" s="54"/>
      <c r="W54" s="54"/>
      <c r="X54" s="52">
        <f t="shared" si="7"/>
        <v>0</v>
      </c>
      <c r="Y54" s="53">
        <f t="shared" si="8"/>
        <v>0</v>
      </c>
      <c r="Z54" s="54"/>
      <c r="AA54" s="54"/>
      <c r="AB54" s="54"/>
      <c r="AC54" s="52">
        <f t="shared" si="9"/>
        <v>0</v>
      </c>
      <c r="AD54" s="53">
        <f t="shared" si="10"/>
        <v>0</v>
      </c>
      <c r="AE54" s="55">
        <f t="shared" si="11"/>
        <v>0</v>
      </c>
      <c r="AF54" s="54"/>
      <c r="AG54" s="56">
        <f t="shared" si="12"/>
        <v>0</v>
      </c>
      <c r="AH54" s="29"/>
      <c r="AI54" s="63"/>
      <c r="AJ54" s="23"/>
      <c r="AK54" s="58"/>
      <c r="AY54" s="65"/>
      <c r="AZ54" s="3"/>
      <c r="BA54" s="3"/>
      <c r="BB54" s="14"/>
    </row>
    <row r="55" ht="16.5" customHeight="1">
      <c r="A55" s="48">
        <v>49.0</v>
      </c>
      <c r="B55" s="49"/>
      <c r="C55" s="50"/>
      <c r="D55" s="51"/>
      <c r="E55" s="51"/>
      <c r="F55" s="51"/>
      <c r="G55" s="52">
        <f t="shared" si="1"/>
        <v>0</v>
      </c>
      <c r="H55" s="53">
        <f t="shared" si="2"/>
        <v>0</v>
      </c>
      <c r="I55" s="51"/>
      <c r="J55" s="51"/>
      <c r="K55" s="51"/>
      <c r="L55" s="52">
        <f t="shared" si="3"/>
        <v>0</v>
      </c>
      <c r="M55" s="53">
        <f t="shared" si="4"/>
        <v>0</v>
      </c>
      <c r="N55" s="51"/>
      <c r="O55" s="51"/>
      <c r="P55" s="51"/>
      <c r="Q55" s="51"/>
      <c r="R55" s="51"/>
      <c r="S55" s="52">
        <f t="shared" si="5"/>
        <v>0</v>
      </c>
      <c r="T55" s="53">
        <f t="shared" si="6"/>
        <v>0</v>
      </c>
      <c r="U55" s="54"/>
      <c r="V55" s="54"/>
      <c r="W55" s="54"/>
      <c r="X55" s="52">
        <f t="shared" si="7"/>
        <v>0</v>
      </c>
      <c r="Y55" s="53">
        <f t="shared" si="8"/>
        <v>0</v>
      </c>
      <c r="Z55" s="54"/>
      <c r="AA55" s="54"/>
      <c r="AB55" s="54"/>
      <c r="AC55" s="52">
        <f t="shared" si="9"/>
        <v>0</v>
      </c>
      <c r="AD55" s="53">
        <f t="shared" si="10"/>
        <v>0</v>
      </c>
      <c r="AE55" s="55">
        <f t="shared" si="11"/>
        <v>0</v>
      </c>
      <c r="AF55" s="54"/>
      <c r="AG55" s="56">
        <f t="shared" si="12"/>
        <v>0</v>
      </c>
      <c r="AH55" s="29"/>
      <c r="AI55" s="63"/>
      <c r="AJ55" s="23"/>
      <c r="AK55" s="58"/>
      <c r="AY55" s="65"/>
      <c r="AZ55" s="3"/>
      <c r="BA55" s="3"/>
      <c r="BB55" s="14"/>
    </row>
    <row r="56" ht="16.5" customHeight="1">
      <c r="A56" s="48">
        <v>50.0</v>
      </c>
      <c r="B56" s="49"/>
      <c r="C56" s="50"/>
      <c r="D56" s="51"/>
      <c r="E56" s="51"/>
      <c r="F56" s="51"/>
      <c r="G56" s="52">
        <f t="shared" si="1"/>
        <v>0</v>
      </c>
      <c r="H56" s="53">
        <f t="shared" si="2"/>
        <v>0</v>
      </c>
      <c r="I56" s="51"/>
      <c r="J56" s="51"/>
      <c r="K56" s="51"/>
      <c r="L56" s="52">
        <f t="shared" si="3"/>
        <v>0</v>
      </c>
      <c r="M56" s="53">
        <f t="shared" si="4"/>
        <v>0</v>
      </c>
      <c r="N56" s="51"/>
      <c r="O56" s="51"/>
      <c r="P56" s="51"/>
      <c r="Q56" s="51"/>
      <c r="R56" s="51"/>
      <c r="S56" s="52">
        <f t="shared" si="5"/>
        <v>0</v>
      </c>
      <c r="T56" s="53">
        <f t="shared" si="6"/>
        <v>0</v>
      </c>
      <c r="U56" s="54"/>
      <c r="V56" s="54"/>
      <c r="W56" s="54"/>
      <c r="X56" s="52">
        <f t="shared" si="7"/>
        <v>0</v>
      </c>
      <c r="Y56" s="53">
        <f t="shared" si="8"/>
        <v>0</v>
      </c>
      <c r="Z56" s="54"/>
      <c r="AA56" s="54"/>
      <c r="AB56" s="54"/>
      <c r="AC56" s="52">
        <f t="shared" si="9"/>
        <v>0</v>
      </c>
      <c r="AD56" s="53">
        <f t="shared" si="10"/>
        <v>0</v>
      </c>
      <c r="AE56" s="55">
        <f t="shared" si="11"/>
        <v>0</v>
      </c>
      <c r="AF56" s="54"/>
      <c r="AG56" s="56">
        <f t="shared" si="12"/>
        <v>0</v>
      </c>
      <c r="AH56" s="29"/>
      <c r="AI56" s="63"/>
      <c r="AJ56" s="23"/>
      <c r="AK56" s="58"/>
      <c r="AY56" s="65"/>
      <c r="AZ56" s="3"/>
      <c r="BA56" s="3"/>
      <c r="BB56" s="14"/>
    </row>
    <row r="57" ht="16.5" customHeight="1">
      <c r="A57" s="48">
        <v>51.0</v>
      </c>
      <c r="B57" s="49"/>
      <c r="C57" s="50"/>
      <c r="D57" s="51"/>
      <c r="E57" s="51"/>
      <c r="F57" s="51"/>
      <c r="G57" s="52">
        <f t="shared" si="1"/>
        <v>0</v>
      </c>
      <c r="H57" s="53">
        <f t="shared" si="2"/>
        <v>0</v>
      </c>
      <c r="I57" s="51"/>
      <c r="J57" s="51"/>
      <c r="K57" s="51"/>
      <c r="L57" s="52">
        <f t="shared" si="3"/>
        <v>0</v>
      </c>
      <c r="M57" s="53">
        <f t="shared" si="4"/>
        <v>0</v>
      </c>
      <c r="N57" s="51"/>
      <c r="O57" s="51"/>
      <c r="P57" s="51"/>
      <c r="Q57" s="51"/>
      <c r="R57" s="51"/>
      <c r="S57" s="52">
        <f t="shared" si="5"/>
        <v>0</v>
      </c>
      <c r="T57" s="53">
        <f t="shared" si="6"/>
        <v>0</v>
      </c>
      <c r="U57" s="54"/>
      <c r="V57" s="54"/>
      <c r="W57" s="54"/>
      <c r="X57" s="52">
        <f t="shared" si="7"/>
        <v>0</v>
      </c>
      <c r="Y57" s="53">
        <f t="shared" si="8"/>
        <v>0</v>
      </c>
      <c r="Z57" s="54"/>
      <c r="AA57" s="54"/>
      <c r="AB57" s="54"/>
      <c r="AC57" s="52">
        <f t="shared" si="9"/>
        <v>0</v>
      </c>
      <c r="AD57" s="53">
        <f t="shared" si="10"/>
        <v>0</v>
      </c>
      <c r="AE57" s="55">
        <f t="shared" si="11"/>
        <v>0</v>
      </c>
      <c r="AF57" s="54"/>
      <c r="AG57" s="56">
        <f t="shared" si="12"/>
        <v>0</v>
      </c>
      <c r="AH57" s="29"/>
      <c r="AI57" s="63"/>
      <c r="AJ57" s="23"/>
      <c r="AK57" s="58"/>
      <c r="AY57" s="65"/>
      <c r="AZ57" s="3"/>
      <c r="BA57" s="3"/>
      <c r="BB57" s="14"/>
    </row>
    <row r="58" ht="16.5" customHeight="1">
      <c r="A58" s="48">
        <v>52.0</v>
      </c>
      <c r="B58" s="49"/>
      <c r="C58" s="50"/>
      <c r="D58" s="51"/>
      <c r="E58" s="51"/>
      <c r="F58" s="51"/>
      <c r="G58" s="52">
        <f t="shared" si="1"/>
        <v>0</v>
      </c>
      <c r="H58" s="53">
        <f t="shared" si="2"/>
        <v>0</v>
      </c>
      <c r="I58" s="51"/>
      <c r="J58" s="51"/>
      <c r="K58" s="51"/>
      <c r="L58" s="52">
        <f t="shared" si="3"/>
        <v>0</v>
      </c>
      <c r="M58" s="53">
        <f t="shared" si="4"/>
        <v>0</v>
      </c>
      <c r="N58" s="51"/>
      <c r="O58" s="51"/>
      <c r="P58" s="51"/>
      <c r="Q58" s="51"/>
      <c r="R58" s="51"/>
      <c r="S58" s="52">
        <f t="shared" si="5"/>
        <v>0</v>
      </c>
      <c r="T58" s="53">
        <f t="shared" si="6"/>
        <v>0</v>
      </c>
      <c r="U58" s="54"/>
      <c r="V58" s="54"/>
      <c r="W58" s="54"/>
      <c r="X58" s="52">
        <f t="shared" si="7"/>
        <v>0</v>
      </c>
      <c r="Y58" s="53">
        <f t="shared" si="8"/>
        <v>0</v>
      </c>
      <c r="Z58" s="54"/>
      <c r="AA58" s="54"/>
      <c r="AB58" s="54"/>
      <c r="AC58" s="52">
        <f t="shared" si="9"/>
        <v>0</v>
      </c>
      <c r="AD58" s="53">
        <f t="shared" si="10"/>
        <v>0</v>
      </c>
      <c r="AE58" s="55">
        <f t="shared" si="11"/>
        <v>0</v>
      </c>
      <c r="AF58" s="54"/>
      <c r="AG58" s="56">
        <f t="shared" si="12"/>
        <v>0</v>
      </c>
      <c r="AH58" s="29"/>
      <c r="AI58" s="63"/>
      <c r="AJ58" s="23"/>
      <c r="AK58" s="58"/>
      <c r="AY58" s="65"/>
      <c r="AZ58" s="3"/>
      <c r="BA58" s="3"/>
      <c r="BB58" s="14"/>
    </row>
    <row r="59" ht="16.5" customHeight="1">
      <c r="A59" s="48">
        <v>53.0</v>
      </c>
      <c r="B59" s="49"/>
      <c r="C59" s="50"/>
      <c r="D59" s="51"/>
      <c r="E59" s="51"/>
      <c r="F59" s="51"/>
      <c r="G59" s="52">
        <f t="shared" si="1"/>
        <v>0</v>
      </c>
      <c r="H59" s="53">
        <f t="shared" si="2"/>
        <v>0</v>
      </c>
      <c r="I59" s="51"/>
      <c r="J59" s="51"/>
      <c r="K59" s="51"/>
      <c r="L59" s="52">
        <f t="shared" si="3"/>
        <v>0</v>
      </c>
      <c r="M59" s="53">
        <f t="shared" si="4"/>
        <v>0</v>
      </c>
      <c r="N59" s="51"/>
      <c r="O59" s="51"/>
      <c r="P59" s="51"/>
      <c r="Q59" s="51"/>
      <c r="R59" s="51"/>
      <c r="S59" s="52">
        <f t="shared" si="5"/>
        <v>0</v>
      </c>
      <c r="T59" s="53">
        <f t="shared" si="6"/>
        <v>0</v>
      </c>
      <c r="U59" s="54"/>
      <c r="V59" s="54"/>
      <c r="W59" s="54"/>
      <c r="X59" s="52">
        <f t="shared" si="7"/>
        <v>0</v>
      </c>
      <c r="Y59" s="53">
        <f t="shared" si="8"/>
        <v>0</v>
      </c>
      <c r="Z59" s="54"/>
      <c r="AA59" s="54"/>
      <c r="AB59" s="54"/>
      <c r="AC59" s="52">
        <f t="shared" si="9"/>
        <v>0</v>
      </c>
      <c r="AD59" s="53">
        <f t="shared" si="10"/>
        <v>0</v>
      </c>
      <c r="AE59" s="55">
        <f t="shared" si="11"/>
        <v>0</v>
      </c>
      <c r="AF59" s="54"/>
      <c r="AG59" s="56">
        <f t="shared" si="12"/>
        <v>0</v>
      </c>
      <c r="AH59" s="29"/>
      <c r="AI59" s="63"/>
      <c r="AJ59" s="23"/>
      <c r="AK59" s="58"/>
      <c r="AY59" s="65"/>
      <c r="AZ59" s="3"/>
      <c r="BA59" s="3"/>
      <c r="BB59" s="14"/>
    </row>
    <row r="60" ht="16.5" customHeight="1">
      <c r="A60" s="48">
        <v>54.0</v>
      </c>
      <c r="B60" s="49"/>
      <c r="C60" s="50"/>
      <c r="D60" s="51"/>
      <c r="E60" s="51"/>
      <c r="F60" s="51"/>
      <c r="G60" s="52">
        <f t="shared" si="1"/>
        <v>0</v>
      </c>
      <c r="H60" s="53">
        <f t="shared" si="2"/>
        <v>0</v>
      </c>
      <c r="I60" s="51"/>
      <c r="J60" s="51"/>
      <c r="K60" s="51"/>
      <c r="L60" s="52">
        <f t="shared" si="3"/>
        <v>0</v>
      </c>
      <c r="M60" s="53">
        <f t="shared" si="4"/>
        <v>0</v>
      </c>
      <c r="N60" s="51"/>
      <c r="O60" s="51"/>
      <c r="P60" s="51"/>
      <c r="Q60" s="51"/>
      <c r="R60" s="51"/>
      <c r="S60" s="52">
        <f t="shared" si="5"/>
        <v>0</v>
      </c>
      <c r="T60" s="53">
        <f t="shared" si="6"/>
        <v>0</v>
      </c>
      <c r="U60" s="54"/>
      <c r="V60" s="54"/>
      <c r="W60" s="54"/>
      <c r="X60" s="52">
        <f t="shared" si="7"/>
        <v>0</v>
      </c>
      <c r="Y60" s="53">
        <f t="shared" si="8"/>
        <v>0</v>
      </c>
      <c r="Z60" s="54"/>
      <c r="AA60" s="54"/>
      <c r="AB60" s="54"/>
      <c r="AC60" s="52">
        <f t="shared" si="9"/>
        <v>0</v>
      </c>
      <c r="AD60" s="53">
        <f t="shared" si="10"/>
        <v>0</v>
      </c>
      <c r="AE60" s="55">
        <f t="shared" si="11"/>
        <v>0</v>
      </c>
      <c r="AF60" s="54"/>
      <c r="AG60" s="56">
        <f t="shared" si="12"/>
        <v>0</v>
      </c>
      <c r="AH60" s="29"/>
      <c r="AI60" s="63"/>
      <c r="AJ60" s="23"/>
      <c r="AK60" s="58"/>
      <c r="AY60" s="65"/>
      <c r="AZ60" s="3"/>
      <c r="BA60" s="3"/>
      <c r="BB60" s="14"/>
    </row>
    <row r="61" ht="16.5" customHeight="1">
      <c r="A61" s="48">
        <v>55.0</v>
      </c>
      <c r="B61" s="49"/>
      <c r="C61" s="50"/>
      <c r="D61" s="51"/>
      <c r="E61" s="51"/>
      <c r="F61" s="51"/>
      <c r="G61" s="52">
        <f t="shared" si="1"/>
        <v>0</v>
      </c>
      <c r="H61" s="53">
        <f t="shared" si="2"/>
        <v>0</v>
      </c>
      <c r="I61" s="51"/>
      <c r="J61" s="51"/>
      <c r="K61" s="51"/>
      <c r="L61" s="52">
        <f t="shared" si="3"/>
        <v>0</v>
      </c>
      <c r="M61" s="53">
        <f t="shared" si="4"/>
        <v>0</v>
      </c>
      <c r="N61" s="51"/>
      <c r="O61" s="51"/>
      <c r="P61" s="51"/>
      <c r="Q61" s="51"/>
      <c r="R61" s="51"/>
      <c r="S61" s="52">
        <f t="shared" si="5"/>
        <v>0</v>
      </c>
      <c r="T61" s="53">
        <f t="shared" si="6"/>
        <v>0</v>
      </c>
      <c r="U61" s="54"/>
      <c r="V61" s="54"/>
      <c r="W61" s="54"/>
      <c r="X61" s="52">
        <f t="shared" si="7"/>
        <v>0</v>
      </c>
      <c r="Y61" s="53">
        <f t="shared" si="8"/>
        <v>0</v>
      </c>
      <c r="Z61" s="54"/>
      <c r="AA61" s="54"/>
      <c r="AB61" s="54"/>
      <c r="AC61" s="52">
        <f t="shared" si="9"/>
        <v>0</v>
      </c>
      <c r="AD61" s="53">
        <f t="shared" si="10"/>
        <v>0</v>
      </c>
      <c r="AE61" s="55">
        <f t="shared" si="11"/>
        <v>0</v>
      </c>
      <c r="AF61" s="54"/>
      <c r="AG61" s="56">
        <f t="shared" si="12"/>
        <v>0</v>
      </c>
      <c r="AH61" s="29"/>
      <c r="AI61" s="63"/>
      <c r="AJ61" s="23"/>
      <c r="AK61" s="58"/>
      <c r="AY61" s="65"/>
      <c r="AZ61" s="3"/>
      <c r="BA61" s="3"/>
      <c r="BB61" s="14"/>
    </row>
    <row r="62" ht="16.5" customHeight="1">
      <c r="A62" s="48">
        <v>56.0</v>
      </c>
      <c r="B62" s="49"/>
      <c r="C62" s="50"/>
      <c r="D62" s="51"/>
      <c r="E62" s="51"/>
      <c r="F62" s="51"/>
      <c r="G62" s="52">
        <f t="shared" si="1"/>
        <v>0</v>
      </c>
      <c r="H62" s="53">
        <f t="shared" si="2"/>
        <v>0</v>
      </c>
      <c r="I62" s="51"/>
      <c r="J62" s="51"/>
      <c r="K62" s="51"/>
      <c r="L62" s="52">
        <f t="shared" si="3"/>
        <v>0</v>
      </c>
      <c r="M62" s="53">
        <f t="shared" si="4"/>
        <v>0</v>
      </c>
      <c r="N62" s="51"/>
      <c r="O62" s="51"/>
      <c r="P62" s="51"/>
      <c r="Q62" s="51"/>
      <c r="R62" s="51"/>
      <c r="S62" s="52">
        <f t="shared" si="5"/>
        <v>0</v>
      </c>
      <c r="T62" s="53">
        <f t="shared" si="6"/>
        <v>0</v>
      </c>
      <c r="U62" s="54"/>
      <c r="V62" s="54"/>
      <c r="W62" s="54"/>
      <c r="X62" s="52">
        <f t="shared" si="7"/>
        <v>0</v>
      </c>
      <c r="Y62" s="53">
        <f t="shared" si="8"/>
        <v>0</v>
      </c>
      <c r="Z62" s="54"/>
      <c r="AA62" s="54"/>
      <c r="AB62" s="54"/>
      <c r="AC62" s="52">
        <f t="shared" si="9"/>
        <v>0</v>
      </c>
      <c r="AD62" s="53">
        <f t="shared" si="10"/>
        <v>0</v>
      </c>
      <c r="AE62" s="55">
        <f t="shared" si="11"/>
        <v>0</v>
      </c>
      <c r="AF62" s="54"/>
      <c r="AG62" s="56">
        <f t="shared" si="12"/>
        <v>0</v>
      </c>
      <c r="AH62" s="29"/>
      <c r="AI62" s="63"/>
      <c r="AJ62" s="23"/>
      <c r="AK62" s="58"/>
      <c r="AY62" s="65"/>
      <c r="AZ62" s="3"/>
      <c r="BA62" s="3"/>
      <c r="BB62" s="14"/>
    </row>
    <row r="63" ht="16.5" customHeight="1">
      <c r="A63" s="48">
        <v>57.0</v>
      </c>
      <c r="B63" s="49"/>
      <c r="C63" s="50"/>
      <c r="D63" s="51"/>
      <c r="E63" s="51"/>
      <c r="F63" s="51"/>
      <c r="G63" s="52">
        <f t="shared" si="1"/>
        <v>0</v>
      </c>
      <c r="H63" s="53">
        <f t="shared" si="2"/>
        <v>0</v>
      </c>
      <c r="I63" s="51"/>
      <c r="J63" s="51"/>
      <c r="K63" s="51"/>
      <c r="L63" s="52">
        <f t="shared" si="3"/>
        <v>0</v>
      </c>
      <c r="M63" s="53">
        <f t="shared" si="4"/>
        <v>0</v>
      </c>
      <c r="N63" s="51"/>
      <c r="O63" s="51"/>
      <c r="P63" s="51"/>
      <c r="Q63" s="51"/>
      <c r="R63" s="51"/>
      <c r="S63" s="52">
        <f t="shared" si="5"/>
        <v>0</v>
      </c>
      <c r="T63" s="53">
        <f t="shared" si="6"/>
        <v>0</v>
      </c>
      <c r="U63" s="54"/>
      <c r="V63" s="54"/>
      <c r="W63" s="54"/>
      <c r="X63" s="52">
        <f t="shared" si="7"/>
        <v>0</v>
      </c>
      <c r="Y63" s="53">
        <f t="shared" si="8"/>
        <v>0</v>
      </c>
      <c r="Z63" s="54"/>
      <c r="AA63" s="54"/>
      <c r="AB63" s="54"/>
      <c r="AC63" s="52">
        <f t="shared" si="9"/>
        <v>0</v>
      </c>
      <c r="AD63" s="53">
        <f t="shared" si="10"/>
        <v>0</v>
      </c>
      <c r="AE63" s="55">
        <f t="shared" si="11"/>
        <v>0</v>
      </c>
      <c r="AF63" s="54"/>
      <c r="AG63" s="56">
        <f t="shared" si="12"/>
        <v>0</v>
      </c>
      <c r="AH63" s="29"/>
      <c r="AI63" s="63"/>
      <c r="AJ63" s="23"/>
      <c r="AK63" s="58"/>
      <c r="AY63" s="65"/>
      <c r="AZ63" s="3"/>
      <c r="BA63" s="3"/>
      <c r="BB63" s="14"/>
    </row>
    <row r="64" ht="16.5" customHeight="1">
      <c r="A64" s="48">
        <v>58.0</v>
      </c>
      <c r="B64" s="49"/>
      <c r="C64" s="50"/>
      <c r="D64" s="51"/>
      <c r="E64" s="51"/>
      <c r="F64" s="51"/>
      <c r="G64" s="52">
        <f t="shared" si="1"/>
        <v>0</v>
      </c>
      <c r="H64" s="53">
        <f t="shared" si="2"/>
        <v>0</v>
      </c>
      <c r="I64" s="51"/>
      <c r="J64" s="51"/>
      <c r="K64" s="51"/>
      <c r="L64" s="52">
        <f t="shared" si="3"/>
        <v>0</v>
      </c>
      <c r="M64" s="53">
        <f t="shared" si="4"/>
        <v>0</v>
      </c>
      <c r="N64" s="51"/>
      <c r="O64" s="51"/>
      <c r="P64" s="51"/>
      <c r="Q64" s="51"/>
      <c r="R64" s="51"/>
      <c r="S64" s="52">
        <f t="shared" si="5"/>
        <v>0</v>
      </c>
      <c r="T64" s="53">
        <f t="shared" si="6"/>
        <v>0</v>
      </c>
      <c r="U64" s="54"/>
      <c r="V64" s="54"/>
      <c r="W64" s="54"/>
      <c r="X64" s="52">
        <f t="shared" si="7"/>
        <v>0</v>
      </c>
      <c r="Y64" s="53">
        <f t="shared" si="8"/>
        <v>0</v>
      </c>
      <c r="Z64" s="54"/>
      <c r="AA64" s="54"/>
      <c r="AB64" s="54"/>
      <c r="AC64" s="52">
        <f t="shared" si="9"/>
        <v>0</v>
      </c>
      <c r="AD64" s="53">
        <f t="shared" si="10"/>
        <v>0</v>
      </c>
      <c r="AE64" s="55">
        <f t="shared" si="11"/>
        <v>0</v>
      </c>
      <c r="AF64" s="54"/>
      <c r="AG64" s="56">
        <f t="shared" si="12"/>
        <v>0</v>
      </c>
      <c r="AH64" s="29"/>
      <c r="AI64" s="63"/>
      <c r="AJ64" s="23"/>
      <c r="AK64" s="58"/>
      <c r="AY64" s="65"/>
      <c r="AZ64" s="3"/>
      <c r="BA64" s="3"/>
      <c r="BB64" s="14"/>
    </row>
    <row r="65" ht="16.5" customHeight="1">
      <c r="A65" s="48">
        <v>59.0</v>
      </c>
      <c r="B65" s="49"/>
      <c r="C65" s="50"/>
      <c r="D65" s="51"/>
      <c r="E65" s="51"/>
      <c r="F65" s="51"/>
      <c r="G65" s="52">
        <f t="shared" si="1"/>
        <v>0</v>
      </c>
      <c r="H65" s="53">
        <f t="shared" si="2"/>
        <v>0</v>
      </c>
      <c r="I65" s="51"/>
      <c r="J65" s="51"/>
      <c r="K65" s="51"/>
      <c r="L65" s="52">
        <f t="shared" si="3"/>
        <v>0</v>
      </c>
      <c r="M65" s="53">
        <f t="shared" si="4"/>
        <v>0</v>
      </c>
      <c r="N65" s="51"/>
      <c r="O65" s="51"/>
      <c r="P65" s="51"/>
      <c r="Q65" s="51"/>
      <c r="R65" s="51"/>
      <c r="S65" s="52">
        <f t="shared" si="5"/>
        <v>0</v>
      </c>
      <c r="T65" s="53">
        <f t="shared" si="6"/>
        <v>0</v>
      </c>
      <c r="U65" s="54"/>
      <c r="V65" s="54"/>
      <c r="W65" s="54"/>
      <c r="X65" s="52">
        <f t="shared" si="7"/>
        <v>0</v>
      </c>
      <c r="Y65" s="53">
        <f t="shared" si="8"/>
        <v>0</v>
      </c>
      <c r="Z65" s="54"/>
      <c r="AA65" s="54"/>
      <c r="AB65" s="54"/>
      <c r="AC65" s="52">
        <f t="shared" si="9"/>
        <v>0</v>
      </c>
      <c r="AD65" s="53">
        <f t="shared" si="10"/>
        <v>0</v>
      </c>
      <c r="AE65" s="55">
        <f t="shared" si="11"/>
        <v>0</v>
      </c>
      <c r="AF65" s="54"/>
      <c r="AG65" s="56">
        <f t="shared" si="12"/>
        <v>0</v>
      </c>
      <c r="AH65" s="29"/>
      <c r="AI65" s="63"/>
      <c r="AJ65" s="23"/>
      <c r="AK65" s="58"/>
      <c r="AY65" s="65"/>
      <c r="AZ65" s="3"/>
      <c r="BA65" s="3"/>
      <c r="BB65" s="14"/>
    </row>
    <row r="66" ht="16.5" customHeight="1">
      <c r="A66" s="48">
        <v>60.0</v>
      </c>
      <c r="B66" s="49"/>
      <c r="C66" s="50"/>
      <c r="D66" s="51"/>
      <c r="E66" s="51"/>
      <c r="F66" s="51"/>
      <c r="G66" s="52">
        <f t="shared" si="1"/>
        <v>0</v>
      </c>
      <c r="H66" s="53">
        <f t="shared" si="2"/>
        <v>0</v>
      </c>
      <c r="I66" s="51"/>
      <c r="J66" s="51"/>
      <c r="K66" s="51"/>
      <c r="L66" s="52">
        <f t="shared" si="3"/>
        <v>0</v>
      </c>
      <c r="M66" s="53">
        <f t="shared" si="4"/>
        <v>0</v>
      </c>
      <c r="N66" s="51"/>
      <c r="O66" s="51"/>
      <c r="P66" s="51"/>
      <c r="Q66" s="51"/>
      <c r="R66" s="51"/>
      <c r="S66" s="52">
        <f t="shared" si="5"/>
        <v>0</v>
      </c>
      <c r="T66" s="53">
        <f t="shared" si="6"/>
        <v>0</v>
      </c>
      <c r="U66" s="54"/>
      <c r="V66" s="54"/>
      <c r="W66" s="54"/>
      <c r="X66" s="52">
        <f t="shared" si="7"/>
        <v>0</v>
      </c>
      <c r="Y66" s="53">
        <f t="shared" si="8"/>
        <v>0</v>
      </c>
      <c r="Z66" s="54"/>
      <c r="AA66" s="54"/>
      <c r="AB66" s="54"/>
      <c r="AC66" s="52">
        <f t="shared" si="9"/>
        <v>0</v>
      </c>
      <c r="AD66" s="53">
        <f t="shared" si="10"/>
        <v>0</v>
      </c>
      <c r="AE66" s="55">
        <f t="shared" si="11"/>
        <v>0</v>
      </c>
      <c r="AF66" s="54"/>
      <c r="AG66" s="56">
        <f t="shared" si="12"/>
        <v>0</v>
      </c>
      <c r="AH66" s="29"/>
      <c r="AI66" s="63"/>
      <c r="AJ66" s="23"/>
      <c r="AK66" s="58"/>
      <c r="AY66" s="65"/>
      <c r="AZ66" s="3"/>
      <c r="BA66" s="3"/>
      <c r="BB66" s="14"/>
    </row>
    <row r="67" ht="16.5" customHeight="1">
      <c r="A67" s="48">
        <v>61.0</v>
      </c>
      <c r="B67" s="49"/>
      <c r="C67" s="50"/>
      <c r="D67" s="51"/>
      <c r="E67" s="51"/>
      <c r="F67" s="51"/>
      <c r="G67" s="52">
        <f t="shared" si="1"/>
        <v>0</v>
      </c>
      <c r="H67" s="53">
        <f t="shared" si="2"/>
        <v>0</v>
      </c>
      <c r="I67" s="51"/>
      <c r="J67" s="51"/>
      <c r="K67" s="51"/>
      <c r="L67" s="52">
        <f t="shared" si="3"/>
        <v>0</v>
      </c>
      <c r="M67" s="53">
        <f t="shared" si="4"/>
        <v>0</v>
      </c>
      <c r="N67" s="51"/>
      <c r="O67" s="51"/>
      <c r="P67" s="51"/>
      <c r="Q67" s="51"/>
      <c r="R67" s="51"/>
      <c r="S67" s="52">
        <f t="shared" si="5"/>
        <v>0</v>
      </c>
      <c r="T67" s="53">
        <f t="shared" si="6"/>
        <v>0</v>
      </c>
      <c r="U67" s="54"/>
      <c r="V67" s="54"/>
      <c r="W67" s="54"/>
      <c r="X67" s="52">
        <f t="shared" si="7"/>
        <v>0</v>
      </c>
      <c r="Y67" s="53">
        <f t="shared" si="8"/>
        <v>0</v>
      </c>
      <c r="Z67" s="54"/>
      <c r="AA67" s="54"/>
      <c r="AB67" s="54"/>
      <c r="AC67" s="52">
        <f t="shared" si="9"/>
        <v>0</v>
      </c>
      <c r="AD67" s="53">
        <f t="shared" si="10"/>
        <v>0</v>
      </c>
      <c r="AE67" s="55">
        <f t="shared" si="11"/>
        <v>0</v>
      </c>
      <c r="AF67" s="54"/>
      <c r="AG67" s="56">
        <f t="shared" si="12"/>
        <v>0</v>
      </c>
      <c r="AH67" s="29"/>
      <c r="AI67" s="63"/>
      <c r="AJ67" s="23"/>
      <c r="AK67" s="58"/>
      <c r="AY67" s="65"/>
      <c r="AZ67" s="3"/>
      <c r="BA67" s="3"/>
      <c r="BB67" s="14"/>
    </row>
    <row r="68" ht="16.5" customHeight="1">
      <c r="A68" s="48">
        <v>62.0</v>
      </c>
      <c r="B68" s="49"/>
      <c r="C68" s="50"/>
      <c r="D68" s="51"/>
      <c r="E68" s="51"/>
      <c r="F68" s="51"/>
      <c r="G68" s="52">
        <f t="shared" si="1"/>
        <v>0</v>
      </c>
      <c r="H68" s="53">
        <f t="shared" si="2"/>
        <v>0</v>
      </c>
      <c r="I68" s="51"/>
      <c r="J68" s="51"/>
      <c r="K68" s="51"/>
      <c r="L68" s="52">
        <f t="shared" si="3"/>
        <v>0</v>
      </c>
      <c r="M68" s="53">
        <f t="shared" si="4"/>
        <v>0</v>
      </c>
      <c r="N68" s="51"/>
      <c r="O68" s="51"/>
      <c r="P68" s="51"/>
      <c r="Q68" s="51"/>
      <c r="R68" s="51"/>
      <c r="S68" s="52">
        <f t="shared" si="5"/>
        <v>0</v>
      </c>
      <c r="T68" s="53">
        <f t="shared" si="6"/>
        <v>0</v>
      </c>
      <c r="U68" s="54"/>
      <c r="V68" s="54"/>
      <c r="W68" s="54"/>
      <c r="X68" s="52">
        <f t="shared" si="7"/>
        <v>0</v>
      </c>
      <c r="Y68" s="53">
        <f t="shared" si="8"/>
        <v>0</v>
      </c>
      <c r="Z68" s="54"/>
      <c r="AA68" s="54"/>
      <c r="AB68" s="54"/>
      <c r="AC68" s="52">
        <f t="shared" si="9"/>
        <v>0</v>
      </c>
      <c r="AD68" s="53">
        <f t="shared" si="10"/>
        <v>0</v>
      </c>
      <c r="AE68" s="55">
        <f t="shared" si="11"/>
        <v>0</v>
      </c>
      <c r="AF68" s="54"/>
      <c r="AG68" s="56">
        <f t="shared" si="12"/>
        <v>0</v>
      </c>
      <c r="AH68" s="29"/>
      <c r="AI68" s="63"/>
      <c r="AJ68" s="23"/>
      <c r="AK68" s="58"/>
      <c r="AY68" s="65"/>
      <c r="AZ68" s="3"/>
      <c r="BA68" s="3"/>
      <c r="BB68" s="14"/>
    </row>
    <row r="69" ht="16.5" customHeight="1">
      <c r="A69" s="48">
        <v>63.0</v>
      </c>
      <c r="B69" s="49"/>
      <c r="C69" s="50"/>
      <c r="D69" s="51"/>
      <c r="E69" s="51"/>
      <c r="F69" s="51"/>
      <c r="G69" s="52">
        <f t="shared" si="1"/>
        <v>0</v>
      </c>
      <c r="H69" s="53">
        <f t="shared" si="2"/>
        <v>0</v>
      </c>
      <c r="I69" s="51"/>
      <c r="J69" s="51"/>
      <c r="K69" s="51"/>
      <c r="L69" s="52">
        <f t="shared" si="3"/>
        <v>0</v>
      </c>
      <c r="M69" s="53">
        <f t="shared" si="4"/>
        <v>0</v>
      </c>
      <c r="N69" s="51"/>
      <c r="O69" s="51"/>
      <c r="P69" s="51"/>
      <c r="Q69" s="51"/>
      <c r="R69" s="51"/>
      <c r="S69" s="52">
        <f t="shared" si="5"/>
        <v>0</v>
      </c>
      <c r="T69" s="53">
        <f t="shared" si="6"/>
        <v>0</v>
      </c>
      <c r="U69" s="54"/>
      <c r="V69" s="54"/>
      <c r="W69" s="54"/>
      <c r="X69" s="52">
        <f t="shared" si="7"/>
        <v>0</v>
      </c>
      <c r="Y69" s="53">
        <f t="shared" si="8"/>
        <v>0</v>
      </c>
      <c r="Z69" s="54"/>
      <c r="AA69" s="54"/>
      <c r="AB69" s="54"/>
      <c r="AC69" s="52">
        <f t="shared" si="9"/>
        <v>0</v>
      </c>
      <c r="AD69" s="53">
        <f t="shared" si="10"/>
        <v>0</v>
      </c>
      <c r="AE69" s="55">
        <f t="shared" si="11"/>
        <v>0</v>
      </c>
      <c r="AF69" s="54"/>
      <c r="AG69" s="56">
        <f t="shared" si="12"/>
        <v>0</v>
      </c>
      <c r="AH69" s="29"/>
      <c r="AI69" s="63"/>
      <c r="AJ69" s="23"/>
      <c r="AK69" s="58"/>
      <c r="AY69" s="65"/>
      <c r="AZ69" s="3"/>
      <c r="BA69" s="3"/>
      <c r="BB69" s="14"/>
    </row>
    <row r="70" ht="16.5" customHeight="1">
      <c r="A70" s="48">
        <v>64.0</v>
      </c>
      <c r="B70" s="49"/>
      <c r="C70" s="50"/>
      <c r="D70" s="51"/>
      <c r="E70" s="51"/>
      <c r="F70" s="51"/>
      <c r="G70" s="52">
        <f t="shared" si="1"/>
        <v>0</v>
      </c>
      <c r="H70" s="53">
        <f t="shared" si="2"/>
        <v>0</v>
      </c>
      <c r="I70" s="51"/>
      <c r="J70" s="51"/>
      <c r="K70" s="51"/>
      <c r="L70" s="52">
        <f t="shared" si="3"/>
        <v>0</v>
      </c>
      <c r="M70" s="53">
        <f t="shared" si="4"/>
        <v>0</v>
      </c>
      <c r="N70" s="51"/>
      <c r="O70" s="51"/>
      <c r="P70" s="51"/>
      <c r="Q70" s="51"/>
      <c r="R70" s="51"/>
      <c r="S70" s="52">
        <f t="shared" si="5"/>
        <v>0</v>
      </c>
      <c r="T70" s="53">
        <f t="shared" si="6"/>
        <v>0</v>
      </c>
      <c r="U70" s="54"/>
      <c r="V70" s="54"/>
      <c r="W70" s="54"/>
      <c r="X70" s="52">
        <f t="shared" si="7"/>
        <v>0</v>
      </c>
      <c r="Y70" s="53">
        <f t="shared" si="8"/>
        <v>0</v>
      </c>
      <c r="Z70" s="54"/>
      <c r="AA70" s="54"/>
      <c r="AB70" s="54"/>
      <c r="AC70" s="52">
        <f t="shared" si="9"/>
        <v>0</v>
      </c>
      <c r="AD70" s="53">
        <f t="shared" si="10"/>
        <v>0</v>
      </c>
      <c r="AE70" s="55">
        <f t="shared" si="11"/>
        <v>0</v>
      </c>
      <c r="AF70" s="54"/>
      <c r="AG70" s="56">
        <f t="shared" si="12"/>
        <v>0</v>
      </c>
      <c r="AH70" s="29"/>
      <c r="AI70" s="63"/>
      <c r="AJ70" s="23"/>
      <c r="AK70" s="58"/>
      <c r="AY70" s="65"/>
      <c r="AZ70" s="3"/>
      <c r="BA70" s="3"/>
      <c r="BB70" s="14"/>
    </row>
    <row r="71" ht="16.5" customHeight="1">
      <c r="A71" s="48">
        <v>65.0</v>
      </c>
      <c r="B71" s="49"/>
      <c r="C71" s="50"/>
      <c r="D71" s="51"/>
      <c r="E71" s="51"/>
      <c r="F71" s="51"/>
      <c r="G71" s="52">
        <f t="shared" si="1"/>
        <v>0</v>
      </c>
      <c r="H71" s="53">
        <f t="shared" si="2"/>
        <v>0</v>
      </c>
      <c r="I71" s="51"/>
      <c r="J71" s="51"/>
      <c r="K71" s="51"/>
      <c r="L71" s="52">
        <f t="shared" si="3"/>
        <v>0</v>
      </c>
      <c r="M71" s="53">
        <f t="shared" si="4"/>
        <v>0</v>
      </c>
      <c r="N71" s="51"/>
      <c r="O71" s="51"/>
      <c r="P71" s="51"/>
      <c r="Q71" s="51"/>
      <c r="R71" s="51"/>
      <c r="S71" s="52">
        <f t="shared" si="5"/>
        <v>0</v>
      </c>
      <c r="T71" s="53">
        <f t="shared" si="6"/>
        <v>0</v>
      </c>
      <c r="U71" s="54"/>
      <c r="V71" s="54"/>
      <c r="W71" s="54"/>
      <c r="X71" s="52">
        <f t="shared" si="7"/>
        <v>0</v>
      </c>
      <c r="Y71" s="53">
        <f t="shared" si="8"/>
        <v>0</v>
      </c>
      <c r="Z71" s="54"/>
      <c r="AA71" s="54"/>
      <c r="AB71" s="54"/>
      <c r="AC71" s="52">
        <f t="shared" si="9"/>
        <v>0</v>
      </c>
      <c r="AD71" s="53">
        <f t="shared" si="10"/>
        <v>0</v>
      </c>
      <c r="AE71" s="55">
        <f t="shared" si="11"/>
        <v>0</v>
      </c>
      <c r="AF71" s="54"/>
      <c r="AG71" s="56">
        <f t="shared" si="12"/>
        <v>0</v>
      </c>
      <c r="AH71" s="29"/>
      <c r="AI71" s="63"/>
      <c r="AJ71" s="23"/>
      <c r="AK71" s="58"/>
      <c r="AY71" s="65"/>
      <c r="AZ71" s="3"/>
      <c r="BA71" s="3"/>
      <c r="BB71" s="14"/>
    </row>
    <row r="72" ht="16.5" customHeight="1">
      <c r="A72" s="48">
        <v>66.0</v>
      </c>
      <c r="B72" s="49"/>
      <c r="C72" s="50"/>
      <c r="D72" s="51"/>
      <c r="E72" s="51"/>
      <c r="F72" s="51"/>
      <c r="G72" s="52">
        <f t="shared" si="1"/>
        <v>0</v>
      </c>
      <c r="H72" s="53">
        <f t="shared" si="2"/>
        <v>0</v>
      </c>
      <c r="I72" s="51"/>
      <c r="J72" s="51"/>
      <c r="K72" s="51"/>
      <c r="L72" s="52">
        <f t="shared" si="3"/>
        <v>0</v>
      </c>
      <c r="M72" s="53">
        <f t="shared" si="4"/>
        <v>0</v>
      </c>
      <c r="N72" s="51"/>
      <c r="O72" s="51"/>
      <c r="P72" s="51"/>
      <c r="Q72" s="51"/>
      <c r="R72" s="51"/>
      <c r="S72" s="52">
        <f t="shared" si="5"/>
        <v>0</v>
      </c>
      <c r="T72" s="53">
        <f t="shared" si="6"/>
        <v>0</v>
      </c>
      <c r="U72" s="54"/>
      <c r="V72" s="54"/>
      <c r="W72" s="54"/>
      <c r="X72" s="52">
        <f t="shared" si="7"/>
        <v>0</v>
      </c>
      <c r="Y72" s="53">
        <f t="shared" si="8"/>
        <v>0</v>
      </c>
      <c r="Z72" s="54"/>
      <c r="AA72" s="54"/>
      <c r="AB72" s="54"/>
      <c r="AC72" s="52">
        <f t="shared" si="9"/>
        <v>0</v>
      </c>
      <c r="AD72" s="53">
        <f t="shared" si="10"/>
        <v>0</v>
      </c>
      <c r="AE72" s="55">
        <f t="shared" si="11"/>
        <v>0</v>
      </c>
      <c r="AF72" s="54"/>
      <c r="AG72" s="56">
        <f t="shared" si="12"/>
        <v>0</v>
      </c>
      <c r="AH72" s="29"/>
      <c r="AI72" s="63"/>
      <c r="AJ72" s="23"/>
      <c r="AK72" s="58"/>
      <c r="AY72" s="65"/>
      <c r="AZ72" s="3"/>
      <c r="BA72" s="3"/>
      <c r="BB72" s="14"/>
    </row>
    <row r="73" ht="16.5" customHeight="1">
      <c r="A73" s="48">
        <v>67.0</v>
      </c>
      <c r="B73" s="49"/>
      <c r="C73" s="50"/>
      <c r="D73" s="51"/>
      <c r="E73" s="51"/>
      <c r="F73" s="51"/>
      <c r="G73" s="52">
        <f t="shared" si="1"/>
        <v>0</v>
      </c>
      <c r="H73" s="53">
        <f t="shared" si="2"/>
        <v>0</v>
      </c>
      <c r="I73" s="51"/>
      <c r="J73" s="51"/>
      <c r="K73" s="51"/>
      <c r="L73" s="52">
        <f t="shared" si="3"/>
        <v>0</v>
      </c>
      <c r="M73" s="53">
        <f t="shared" si="4"/>
        <v>0</v>
      </c>
      <c r="N73" s="51"/>
      <c r="O73" s="51"/>
      <c r="P73" s="51"/>
      <c r="Q73" s="51"/>
      <c r="R73" s="51"/>
      <c r="S73" s="52">
        <f t="shared" si="5"/>
        <v>0</v>
      </c>
      <c r="T73" s="53">
        <f t="shared" si="6"/>
        <v>0</v>
      </c>
      <c r="U73" s="54"/>
      <c r="V73" s="54"/>
      <c r="W73" s="54"/>
      <c r="X73" s="52">
        <f t="shared" si="7"/>
        <v>0</v>
      </c>
      <c r="Y73" s="53">
        <f t="shared" si="8"/>
        <v>0</v>
      </c>
      <c r="Z73" s="54"/>
      <c r="AA73" s="54"/>
      <c r="AB73" s="54"/>
      <c r="AC73" s="52">
        <f t="shared" si="9"/>
        <v>0</v>
      </c>
      <c r="AD73" s="53">
        <f t="shared" si="10"/>
        <v>0</v>
      </c>
      <c r="AE73" s="55">
        <f t="shared" si="11"/>
        <v>0</v>
      </c>
      <c r="AF73" s="54"/>
      <c r="AG73" s="56">
        <f t="shared" si="12"/>
        <v>0</v>
      </c>
      <c r="AH73" s="29"/>
      <c r="AI73" s="63"/>
      <c r="AJ73" s="23"/>
      <c r="AK73" s="58"/>
      <c r="AY73" s="65"/>
      <c r="AZ73" s="3"/>
      <c r="BA73" s="3"/>
      <c r="BB73" s="14"/>
    </row>
    <row r="74" ht="16.5" customHeight="1">
      <c r="A74" s="48">
        <v>68.0</v>
      </c>
      <c r="B74" s="49"/>
      <c r="C74" s="50"/>
      <c r="D74" s="51"/>
      <c r="E74" s="51"/>
      <c r="F74" s="51"/>
      <c r="G74" s="52">
        <f t="shared" si="1"/>
        <v>0</v>
      </c>
      <c r="H74" s="53">
        <f t="shared" si="2"/>
        <v>0</v>
      </c>
      <c r="I74" s="51"/>
      <c r="J74" s="51"/>
      <c r="K74" s="51"/>
      <c r="L74" s="52">
        <f t="shared" si="3"/>
        <v>0</v>
      </c>
      <c r="M74" s="53">
        <f t="shared" si="4"/>
        <v>0</v>
      </c>
      <c r="N74" s="51"/>
      <c r="O74" s="51"/>
      <c r="P74" s="51"/>
      <c r="Q74" s="51"/>
      <c r="R74" s="51"/>
      <c r="S74" s="52">
        <f t="shared" si="5"/>
        <v>0</v>
      </c>
      <c r="T74" s="53">
        <f t="shared" si="6"/>
        <v>0</v>
      </c>
      <c r="U74" s="54"/>
      <c r="V74" s="54"/>
      <c r="W74" s="54"/>
      <c r="X74" s="52">
        <f t="shared" si="7"/>
        <v>0</v>
      </c>
      <c r="Y74" s="53">
        <f t="shared" si="8"/>
        <v>0</v>
      </c>
      <c r="Z74" s="54"/>
      <c r="AA74" s="54"/>
      <c r="AB74" s="54"/>
      <c r="AC74" s="52">
        <f t="shared" si="9"/>
        <v>0</v>
      </c>
      <c r="AD74" s="53">
        <f t="shared" si="10"/>
        <v>0</v>
      </c>
      <c r="AE74" s="55">
        <f t="shared" si="11"/>
        <v>0</v>
      </c>
      <c r="AF74" s="54"/>
      <c r="AG74" s="56">
        <f t="shared" si="12"/>
        <v>0</v>
      </c>
      <c r="AH74" s="29"/>
      <c r="AI74" s="63"/>
      <c r="AJ74" s="23"/>
      <c r="AK74" s="58"/>
      <c r="AY74" s="65"/>
      <c r="AZ74" s="3"/>
      <c r="BA74" s="3"/>
      <c r="BB74" s="14"/>
    </row>
    <row r="75" ht="16.5" customHeight="1">
      <c r="A75" s="48">
        <v>69.0</v>
      </c>
      <c r="B75" s="49"/>
      <c r="C75" s="50"/>
      <c r="D75" s="51"/>
      <c r="E75" s="51"/>
      <c r="F75" s="51"/>
      <c r="G75" s="52">
        <f t="shared" si="1"/>
        <v>0</v>
      </c>
      <c r="H75" s="53">
        <f t="shared" si="2"/>
        <v>0</v>
      </c>
      <c r="I75" s="51"/>
      <c r="J75" s="51"/>
      <c r="K75" s="51"/>
      <c r="L75" s="52">
        <f t="shared" si="3"/>
        <v>0</v>
      </c>
      <c r="M75" s="53">
        <f t="shared" si="4"/>
        <v>0</v>
      </c>
      <c r="N75" s="51"/>
      <c r="O75" s="51"/>
      <c r="P75" s="51"/>
      <c r="Q75" s="51"/>
      <c r="R75" s="51"/>
      <c r="S75" s="52">
        <f t="shared" si="5"/>
        <v>0</v>
      </c>
      <c r="T75" s="53">
        <f t="shared" si="6"/>
        <v>0</v>
      </c>
      <c r="U75" s="54"/>
      <c r="V75" s="54"/>
      <c r="W75" s="54"/>
      <c r="X75" s="52">
        <f t="shared" si="7"/>
        <v>0</v>
      </c>
      <c r="Y75" s="53">
        <f t="shared" si="8"/>
        <v>0</v>
      </c>
      <c r="Z75" s="54"/>
      <c r="AA75" s="54"/>
      <c r="AB75" s="54"/>
      <c r="AC75" s="52">
        <f t="shared" si="9"/>
        <v>0</v>
      </c>
      <c r="AD75" s="53">
        <f t="shared" si="10"/>
        <v>0</v>
      </c>
      <c r="AE75" s="55">
        <f t="shared" si="11"/>
        <v>0</v>
      </c>
      <c r="AF75" s="54"/>
      <c r="AG75" s="56">
        <f t="shared" si="12"/>
        <v>0</v>
      </c>
      <c r="AH75" s="29"/>
      <c r="AI75" s="63"/>
      <c r="AJ75" s="23"/>
      <c r="AK75" s="58"/>
      <c r="AY75" s="65"/>
      <c r="AZ75" s="3"/>
      <c r="BA75" s="3"/>
      <c r="BB75" s="14"/>
    </row>
    <row r="76" ht="16.5" customHeight="1">
      <c r="A76" s="48">
        <v>70.0</v>
      </c>
      <c r="B76" s="49"/>
      <c r="C76" s="50"/>
      <c r="D76" s="51"/>
      <c r="E76" s="51"/>
      <c r="F76" s="51"/>
      <c r="G76" s="52">
        <f t="shared" si="1"/>
        <v>0</v>
      </c>
      <c r="H76" s="53">
        <f t="shared" si="2"/>
        <v>0</v>
      </c>
      <c r="I76" s="51"/>
      <c r="J76" s="51"/>
      <c r="K76" s="51"/>
      <c r="L76" s="52">
        <f t="shared" si="3"/>
        <v>0</v>
      </c>
      <c r="M76" s="53">
        <f t="shared" si="4"/>
        <v>0</v>
      </c>
      <c r="N76" s="51"/>
      <c r="O76" s="51"/>
      <c r="P76" s="51"/>
      <c r="Q76" s="51"/>
      <c r="R76" s="51"/>
      <c r="S76" s="52">
        <f t="shared" si="5"/>
        <v>0</v>
      </c>
      <c r="T76" s="53">
        <f t="shared" si="6"/>
        <v>0</v>
      </c>
      <c r="U76" s="54"/>
      <c r="V76" s="54"/>
      <c r="W76" s="54"/>
      <c r="X76" s="52">
        <f t="shared" si="7"/>
        <v>0</v>
      </c>
      <c r="Y76" s="53">
        <f t="shared" si="8"/>
        <v>0</v>
      </c>
      <c r="Z76" s="54"/>
      <c r="AA76" s="54"/>
      <c r="AB76" s="54"/>
      <c r="AC76" s="52">
        <f t="shared" si="9"/>
        <v>0</v>
      </c>
      <c r="AD76" s="53">
        <f t="shared" si="10"/>
        <v>0</v>
      </c>
      <c r="AE76" s="55">
        <f t="shared" si="11"/>
        <v>0</v>
      </c>
      <c r="AF76" s="54"/>
      <c r="AG76" s="56">
        <f t="shared" si="12"/>
        <v>0</v>
      </c>
      <c r="AH76" s="29"/>
      <c r="AI76" s="63"/>
      <c r="AJ76" s="23"/>
      <c r="AK76" s="58"/>
      <c r="AY76" s="65"/>
      <c r="AZ76" s="3"/>
      <c r="BA76" s="3"/>
      <c r="BB76" s="14"/>
    </row>
    <row r="77" ht="16.5" customHeight="1">
      <c r="A77" s="48">
        <v>71.0</v>
      </c>
      <c r="B77" s="49"/>
      <c r="C77" s="50"/>
      <c r="D77" s="51"/>
      <c r="E77" s="51"/>
      <c r="F77" s="51"/>
      <c r="G77" s="52">
        <f t="shared" si="1"/>
        <v>0</v>
      </c>
      <c r="H77" s="53">
        <f t="shared" si="2"/>
        <v>0</v>
      </c>
      <c r="I77" s="51"/>
      <c r="J77" s="51"/>
      <c r="K77" s="51"/>
      <c r="L77" s="52">
        <f t="shared" si="3"/>
        <v>0</v>
      </c>
      <c r="M77" s="53">
        <f t="shared" si="4"/>
        <v>0</v>
      </c>
      <c r="N77" s="51"/>
      <c r="O77" s="51"/>
      <c r="P77" s="51"/>
      <c r="Q77" s="51"/>
      <c r="R77" s="51"/>
      <c r="S77" s="52">
        <f t="shared" si="5"/>
        <v>0</v>
      </c>
      <c r="T77" s="53">
        <f t="shared" si="6"/>
        <v>0</v>
      </c>
      <c r="U77" s="54"/>
      <c r="V77" s="54"/>
      <c r="W77" s="54"/>
      <c r="X77" s="52">
        <f t="shared" si="7"/>
        <v>0</v>
      </c>
      <c r="Y77" s="53">
        <f t="shared" si="8"/>
        <v>0</v>
      </c>
      <c r="Z77" s="54"/>
      <c r="AA77" s="54"/>
      <c r="AB77" s="54"/>
      <c r="AC77" s="52">
        <f t="shared" si="9"/>
        <v>0</v>
      </c>
      <c r="AD77" s="53">
        <f t="shared" si="10"/>
        <v>0</v>
      </c>
      <c r="AE77" s="55">
        <f t="shared" si="11"/>
        <v>0</v>
      </c>
      <c r="AF77" s="54"/>
      <c r="AG77" s="56">
        <f t="shared" si="12"/>
        <v>0</v>
      </c>
      <c r="AH77" s="29"/>
      <c r="AI77" s="63"/>
      <c r="AJ77" s="23"/>
      <c r="AK77" s="58"/>
      <c r="AY77" s="65"/>
      <c r="AZ77" s="3"/>
      <c r="BA77" s="3"/>
      <c r="BB77" s="14"/>
    </row>
    <row r="78" ht="16.5" customHeight="1">
      <c r="A78" s="48">
        <v>73.0</v>
      </c>
      <c r="B78" s="49"/>
      <c r="C78" s="50"/>
      <c r="D78" s="51"/>
      <c r="E78" s="51"/>
      <c r="F78" s="51"/>
      <c r="G78" s="52">
        <f t="shared" si="1"/>
        <v>0</v>
      </c>
      <c r="H78" s="53">
        <f t="shared" si="2"/>
        <v>0</v>
      </c>
      <c r="I78" s="51"/>
      <c r="J78" s="51"/>
      <c r="K78" s="51"/>
      <c r="L78" s="52">
        <f t="shared" si="3"/>
        <v>0</v>
      </c>
      <c r="M78" s="53">
        <f t="shared" si="4"/>
        <v>0</v>
      </c>
      <c r="N78" s="51"/>
      <c r="O78" s="51"/>
      <c r="P78" s="51"/>
      <c r="Q78" s="51"/>
      <c r="R78" s="51"/>
      <c r="S78" s="52">
        <f t="shared" si="5"/>
        <v>0</v>
      </c>
      <c r="T78" s="53">
        <f t="shared" si="6"/>
        <v>0</v>
      </c>
      <c r="U78" s="54"/>
      <c r="V78" s="54"/>
      <c r="W78" s="54"/>
      <c r="X78" s="52">
        <f t="shared" si="7"/>
        <v>0</v>
      </c>
      <c r="Y78" s="53">
        <f t="shared" si="8"/>
        <v>0</v>
      </c>
      <c r="Z78" s="54"/>
      <c r="AA78" s="54"/>
      <c r="AB78" s="54"/>
      <c r="AC78" s="52">
        <f t="shared" si="9"/>
        <v>0</v>
      </c>
      <c r="AD78" s="53">
        <f t="shared" si="10"/>
        <v>0</v>
      </c>
      <c r="AE78" s="55">
        <f t="shared" si="11"/>
        <v>0</v>
      </c>
      <c r="AF78" s="54"/>
      <c r="AG78" s="56">
        <f t="shared" si="12"/>
        <v>0</v>
      </c>
      <c r="AH78" s="29"/>
      <c r="AI78" s="63"/>
      <c r="AJ78" s="23"/>
      <c r="AK78" s="58"/>
      <c r="AY78" s="65"/>
      <c r="AZ78" s="3"/>
      <c r="BA78" s="3"/>
      <c r="BB78" s="14"/>
    </row>
    <row r="79" ht="16.5" customHeight="1">
      <c r="A79" s="48">
        <v>74.0</v>
      </c>
      <c r="B79" s="49"/>
      <c r="C79" s="50"/>
      <c r="D79" s="51"/>
      <c r="E79" s="51"/>
      <c r="F79" s="51"/>
      <c r="G79" s="52">
        <f t="shared" si="1"/>
        <v>0</v>
      </c>
      <c r="H79" s="53">
        <f t="shared" si="2"/>
        <v>0</v>
      </c>
      <c r="I79" s="51"/>
      <c r="J79" s="51"/>
      <c r="K79" s="51"/>
      <c r="L79" s="52">
        <f t="shared" si="3"/>
        <v>0</v>
      </c>
      <c r="M79" s="53">
        <f t="shared" si="4"/>
        <v>0</v>
      </c>
      <c r="N79" s="51"/>
      <c r="O79" s="51"/>
      <c r="P79" s="51"/>
      <c r="Q79" s="51"/>
      <c r="R79" s="51"/>
      <c r="S79" s="52">
        <f t="shared" si="5"/>
        <v>0</v>
      </c>
      <c r="T79" s="53">
        <f t="shared" si="6"/>
        <v>0</v>
      </c>
      <c r="U79" s="54"/>
      <c r="V79" s="54"/>
      <c r="W79" s="54"/>
      <c r="X79" s="52">
        <f t="shared" si="7"/>
        <v>0</v>
      </c>
      <c r="Y79" s="53">
        <f t="shared" si="8"/>
        <v>0</v>
      </c>
      <c r="Z79" s="54"/>
      <c r="AA79" s="54"/>
      <c r="AB79" s="54"/>
      <c r="AC79" s="52">
        <f t="shared" si="9"/>
        <v>0</v>
      </c>
      <c r="AD79" s="53">
        <f t="shared" si="10"/>
        <v>0</v>
      </c>
      <c r="AE79" s="55">
        <f t="shared" si="11"/>
        <v>0</v>
      </c>
      <c r="AF79" s="54"/>
      <c r="AG79" s="56">
        <f t="shared" si="12"/>
        <v>0</v>
      </c>
      <c r="AH79" s="29"/>
      <c r="AI79" s="63"/>
      <c r="AJ79" s="23"/>
      <c r="AK79" s="58"/>
      <c r="AY79" s="65"/>
      <c r="AZ79" s="3"/>
      <c r="BA79" s="3"/>
      <c r="BB79" s="14"/>
    </row>
    <row r="80" ht="16.5" customHeight="1">
      <c r="A80" s="48">
        <v>75.0</v>
      </c>
      <c r="B80" s="49"/>
      <c r="C80" s="50"/>
      <c r="D80" s="51"/>
      <c r="E80" s="51"/>
      <c r="F80" s="51"/>
      <c r="G80" s="52">
        <f t="shared" si="1"/>
        <v>0</v>
      </c>
      <c r="H80" s="53">
        <f t="shared" si="2"/>
        <v>0</v>
      </c>
      <c r="I80" s="51"/>
      <c r="J80" s="51"/>
      <c r="K80" s="51"/>
      <c r="L80" s="52">
        <f t="shared" si="3"/>
        <v>0</v>
      </c>
      <c r="M80" s="53">
        <f t="shared" si="4"/>
        <v>0</v>
      </c>
      <c r="N80" s="51"/>
      <c r="O80" s="51"/>
      <c r="P80" s="51"/>
      <c r="Q80" s="51"/>
      <c r="R80" s="51"/>
      <c r="S80" s="52">
        <f t="shared" si="5"/>
        <v>0</v>
      </c>
      <c r="T80" s="53">
        <f t="shared" si="6"/>
        <v>0</v>
      </c>
      <c r="U80" s="54"/>
      <c r="V80" s="54"/>
      <c r="W80" s="54"/>
      <c r="X80" s="52">
        <f t="shared" si="7"/>
        <v>0</v>
      </c>
      <c r="Y80" s="53">
        <f t="shared" si="8"/>
        <v>0</v>
      </c>
      <c r="Z80" s="54"/>
      <c r="AA80" s="54"/>
      <c r="AB80" s="54"/>
      <c r="AC80" s="52">
        <f t="shared" si="9"/>
        <v>0</v>
      </c>
      <c r="AD80" s="53">
        <f t="shared" si="10"/>
        <v>0</v>
      </c>
      <c r="AE80" s="55">
        <f t="shared" si="11"/>
        <v>0</v>
      </c>
      <c r="AF80" s="54"/>
      <c r="AG80" s="56">
        <f t="shared" si="12"/>
        <v>0</v>
      </c>
      <c r="AH80" s="29"/>
      <c r="AI80" s="63"/>
      <c r="AJ80" s="23"/>
      <c r="AK80" s="58"/>
      <c r="AY80" s="65"/>
      <c r="AZ80" s="3"/>
      <c r="BA80" s="3"/>
      <c r="BB80" s="14"/>
    </row>
    <row r="81" ht="16.5" customHeight="1">
      <c r="A81" s="48">
        <v>76.0</v>
      </c>
      <c r="B81" s="49"/>
      <c r="C81" s="50"/>
      <c r="D81" s="51"/>
      <c r="E81" s="51"/>
      <c r="F81" s="51"/>
      <c r="G81" s="52">
        <f t="shared" si="1"/>
        <v>0</v>
      </c>
      <c r="H81" s="53">
        <f t="shared" si="2"/>
        <v>0</v>
      </c>
      <c r="I81" s="51"/>
      <c r="J81" s="51"/>
      <c r="K81" s="51"/>
      <c r="L81" s="52">
        <f t="shared" si="3"/>
        <v>0</v>
      </c>
      <c r="M81" s="53">
        <f t="shared" si="4"/>
        <v>0</v>
      </c>
      <c r="N81" s="51"/>
      <c r="O81" s="51"/>
      <c r="P81" s="51"/>
      <c r="Q81" s="51"/>
      <c r="R81" s="51"/>
      <c r="S81" s="52">
        <f t="shared" si="5"/>
        <v>0</v>
      </c>
      <c r="T81" s="53">
        <f t="shared" si="6"/>
        <v>0</v>
      </c>
      <c r="U81" s="54"/>
      <c r="V81" s="54"/>
      <c r="W81" s="54"/>
      <c r="X81" s="52">
        <f t="shared" si="7"/>
        <v>0</v>
      </c>
      <c r="Y81" s="53">
        <f t="shared" si="8"/>
        <v>0</v>
      </c>
      <c r="Z81" s="54"/>
      <c r="AA81" s="54"/>
      <c r="AB81" s="54"/>
      <c r="AC81" s="52">
        <f t="shared" si="9"/>
        <v>0</v>
      </c>
      <c r="AD81" s="53">
        <f t="shared" si="10"/>
        <v>0</v>
      </c>
      <c r="AE81" s="55">
        <f t="shared" si="11"/>
        <v>0</v>
      </c>
      <c r="AF81" s="54"/>
      <c r="AG81" s="56">
        <f t="shared" si="12"/>
        <v>0</v>
      </c>
      <c r="AH81" s="29"/>
      <c r="AI81" s="63"/>
      <c r="AJ81" s="23"/>
      <c r="AK81" s="58"/>
      <c r="AY81" s="65"/>
      <c r="AZ81" s="3"/>
      <c r="BA81" s="3"/>
      <c r="BB81" s="14"/>
    </row>
    <row r="82" ht="16.5" customHeight="1">
      <c r="A82" s="48">
        <v>77.0</v>
      </c>
      <c r="B82" s="49"/>
      <c r="C82" s="50"/>
      <c r="D82" s="51"/>
      <c r="E82" s="51"/>
      <c r="F82" s="51"/>
      <c r="G82" s="52">
        <f t="shared" si="1"/>
        <v>0</v>
      </c>
      <c r="H82" s="53">
        <f t="shared" si="2"/>
        <v>0</v>
      </c>
      <c r="I82" s="51"/>
      <c r="J82" s="51"/>
      <c r="K82" s="51"/>
      <c r="L82" s="52">
        <f t="shared" si="3"/>
        <v>0</v>
      </c>
      <c r="M82" s="53">
        <f t="shared" si="4"/>
        <v>0</v>
      </c>
      <c r="N82" s="51"/>
      <c r="O82" s="51"/>
      <c r="P82" s="51"/>
      <c r="Q82" s="51"/>
      <c r="R82" s="51"/>
      <c r="S82" s="52">
        <f t="shared" si="5"/>
        <v>0</v>
      </c>
      <c r="T82" s="53">
        <f t="shared" si="6"/>
        <v>0</v>
      </c>
      <c r="U82" s="54"/>
      <c r="V82" s="54"/>
      <c r="W82" s="54"/>
      <c r="X82" s="52">
        <f t="shared" si="7"/>
        <v>0</v>
      </c>
      <c r="Y82" s="53">
        <f t="shared" si="8"/>
        <v>0</v>
      </c>
      <c r="Z82" s="54"/>
      <c r="AA82" s="54"/>
      <c r="AB82" s="54"/>
      <c r="AC82" s="52">
        <f t="shared" si="9"/>
        <v>0</v>
      </c>
      <c r="AD82" s="53">
        <f t="shared" si="10"/>
        <v>0</v>
      </c>
      <c r="AE82" s="55">
        <f t="shared" si="11"/>
        <v>0</v>
      </c>
      <c r="AF82" s="54"/>
      <c r="AG82" s="56">
        <f t="shared" si="12"/>
        <v>0</v>
      </c>
      <c r="AH82" s="29"/>
      <c r="AI82" s="63"/>
      <c r="AJ82" s="23"/>
      <c r="AK82" s="58"/>
      <c r="AY82" s="65"/>
      <c r="AZ82" s="3"/>
      <c r="BA82" s="3"/>
      <c r="BB82" s="14"/>
    </row>
    <row r="83" ht="16.5" customHeight="1">
      <c r="A83" s="48">
        <v>78.0</v>
      </c>
      <c r="B83" s="49"/>
      <c r="C83" s="50"/>
      <c r="D83" s="51"/>
      <c r="E83" s="51"/>
      <c r="F83" s="51"/>
      <c r="G83" s="52">
        <f t="shared" si="1"/>
        <v>0</v>
      </c>
      <c r="H83" s="53">
        <f t="shared" si="2"/>
        <v>0</v>
      </c>
      <c r="I83" s="51"/>
      <c r="J83" s="51"/>
      <c r="K83" s="51"/>
      <c r="L83" s="52">
        <f t="shared" si="3"/>
        <v>0</v>
      </c>
      <c r="M83" s="53">
        <f t="shared" si="4"/>
        <v>0</v>
      </c>
      <c r="N83" s="51"/>
      <c r="O83" s="51"/>
      <c r="P83" s="51"/>
      <c r="Q83" s="51"/>
      <c r="R83" s="51"/>
      <c r="S83" s="52">
        <f t="shared" si="5"/>
        <v>0</v>
      </c>
      <c r="T83" s="53">
        <f t="shared" si="6"/>
        <v>0</v>
      </c>
      <c r="U83" s="54"/>
      <c r="V83" s="54"/>
      <c r="W83" s="54"/>
      <c r="X83" s="52">
        <f t="shared" si="7"/>
        <v>0</v>
      </c>
      <c r="Y83" s="53">
        <f t="shared" si="8"/>
        <v>0</v>
      </c>
      <c r="Z83" s="54"/>
      <c r="AA83" s="54"/>
      <c r="AB83" s="54"/>
      <c r="AC83" s="52">
        <f t="shared" si="9"/>
        <v>0</v>
      </c>
      <c r="AD83" s="53">
        <f t="shared" si="10"/>
        <v>0</v>
      </c>
      <c r="AE83" s="55">
        <f t="shared" si="11"/>
        <v>0</v>
      </c>
      <c r="AF83" s="54"/>
      <c r="AG83" s="56">
        <f t="shared" si="12"/>
        <v>0</v>
      </c>
      <c r="AH83" s="29"/>
      <c r="AI83" s="63"/>
      <c r="AJ83" s="23"/>
      <c r="AK83" s="58"/>
      <c r="AY83" s="65"/>
      <c r="AZ83" s="3"/>
      <c r="BA83" s="3"/>
      <c r="BB83" s="14"/>
    </row>
    <row r="84" ht="16.5" customHeight="1">
      <c r="A84" s="48">
        <v>79.0</v>
      </c>
      <c r="B84" s="49"/>
      <c r="C84" s="50"/>
      <c r="D84" s="51"/>
      <c r="E84" s="51"/>
      <c r="F84" s="51"/>
      <c r="G84" s="52">
        <f t="shared" si="1"/>
        <v>0</v>
      </c>
      <c r="H84" s="53">
        <f t="shared" si="2"/>
        <v>0</v>
      </c>
      <c r="I84" s="51"/>
      <c r="J84" s="51"/>
      <c r="K84" s="51"/>
      <c r="L84" s="52">
        <f t="shared" si="3"/>
        <v>0</v>
      </c>
      <c r="M84" s="53">
        <f t="shared" si="4"/>
        <v>0</v>
      </c>
      <c r="N84" s="51"/>
      <c r="O84" s="51"/>
      <c r="P84" s="51"/>
      <c r="Q84" s="51"/>
      <c r="R84" s="51"/>
      <c r="S84" s="52">
        <f t="shared" si="5"/>
        <v>0</v>
      </c>
      <c r="T84" s="53">
        <f t="shared" si="6"/>
        <v>0</v>
      </c>
      <c r="U84" s="54"/>
      <c r="V84" s="54"/>
      <c r="W84" s="54"/>
      <c r="X84" s="52">
        <f t="shared" si="7"/>
        <v>0</v>
      </c>
      <c r="Y84" s="53">
        <f t="shared" si="8"/>
        <v>0</v>
      </c>
      <c r="Z84" s="54"/>
      <c r="AA84" s="54"/>
      <c r="AB84" s="54"/>
      <c r="AC84" s="52">
        <f t="shared" si="9"/>
        <v>0</v>
      </c>
      <c r="AD84" s="53">
        <f t="shared" si="10"/>
        <v>0</v>
      </c>
      <c r="AE84" s="55">
        <f t="shared" si="11"/>
        <v>0</v>
      </c>
      <c r="AF84" s="54"/>
      <c r="AG84" s="56">
        <f t="shared" si="12"/>
        <v>0</v>
      </c>
      <c r="AH84" s="29"/>
      <c r="AI84" s="63"/>
      <c r="AJ84" s="23"/>
      <c r="AK84" s="58"/>
      <c r="AY84" s="65"/>
      <c r="AZ84" s="3"/>
      <c r="BA84" s="3"/>
      <c r="BB84" s="14"/>
    </row>
    <row r="85" ht="16.5" customHeight="1">
      <c r="A85" s="48">
        <v>80.0</v>
      </c>
      <c r="B85" s="49"/>
      <c r="C85" s="50"/>
      <c r="D85" s="51"/>
      <c r="E85" s="51"/>
      <c r="F85" s="51"/>
      <c r="G85" s="52">
        <f t="shared" si="1"/>
        <v>0</v>
      </c>
      <c r="H85" s="53">
        <f t="shared" si="2"/>
        <v>0</v>
      </c>
      <c r="I85" s="51"/>
      <c r="J85" s="51"/>
      <c r="K85" s="51"/>
      <c r="L85" s="52">
        <f t="shared" si="3"/>
        <v>0</v>
      </c>
      <c r="M85" s="53">
        <f t="shared" si="4"/>
        <v>0</v>
      </c>
      <c r="N85" s="51"/>
      <c r="O85" s="51"/>
      <c r="P85" s="51"/>
      <c r="Q85" s="51"/>
      <c r="R85" s="51"/>
      <c r="S85" s="52">
        <f t="shared" si="5"/>
        <v>0</v>
      </c>
      <c r="T85" s="53">
        <f t="shared" si="6"/>
        <v>0</v>
      </c>
      <c r="U85" s="54"/>
      <c r="V85" s="54"/>
      <c r="W85" s="54"/>
      <c r="X85" s="52">
        <f t="shared" si="7"/>
        <v>0</v>
      </c>
      <c r="Y85" s="53">
        <f t="shared" si="8"/>
        <v>0</v>
      </c>
      <c r="Z85" s="54"/>
      <c r="AA85" s="54"/>
      <c r="AB85" s="54"/>
      <c r="AC85" s="52">
        <f t="shared" si="9"/>
        <v>0</v>
      </c>
      <c r="AD85" s="53">
        <f t="shared" si="10"/>
        <v>0</v>
      </c>
      <c r="AE85" s="55">
        <f t="shared" si="11"/>
        <v>0</v>
      </c>
      <c r="AF85" s="54"/>
      <c r="AG85" s="56">
        <f t="shared" si="12"/>
        <v>0</v>
      </c>
      <c r="AH85" s="29"/>
      <c r="AI85" s="63"/>
      <c r="AJ85" s="23"/>
      <c r="AK85" s="58"/>
      <c r="AY85" s="65"/>
      <c r="AZ85" s="3"/>
      <c r="BA85" s="3"/>
      <c r="BB85" s="14"/>
    </row>
    <row r="86" ht="16.5" customHeight="1">
      <c r="A86" s="48">
        <v>81.0</v>
      </c>
      <c r="B86" s="49"/>
      <c r="C86" s="50"/>
      <c r="D86" s="51"/>
      <c r="E86" s="51"/>
      <c r="F86" s="51"/>
      <c r="G86" s="52">
        <f t="shared" si="1"/>
        <v>0</v>
      </c>
      <c r="H86" s="53">
        <f t="shared" si="2"/>
        <v>0</v>
      </c>
      <c r="I86" s="51"/>
      <c r="J86" s="51"/>
      <c r="K86" s="51"/>
      <c r="L86" s="52">
        <f t="shared" si="3"/>
        <v>0</v>
      </c>
      <c r="M86" s="53">
        <f t="shared" si="4"/>
        <v>0</v>
      </c>
      <c r="N86" s="51"/>
      <c r="O86" s="51"/>
      <c r="P86" s="51"/>
      <c r="Q86" s="51"/>
      <c r="R86" s="51"/>
      <c r="S86" s="52">
        <f t="shared" si="5"/>
        <v>0</v>
      </c>
      <c r="T86" s="53">
        <f t="shared" si="6"/>
        <v>0</v>
      </c>
      <c r="U86" s="54"/>
      <c r="V86" s="54"/>
      <c r="W86" s="54"/>
      <c r="X86" s="52">
        <f t="shared" si="7"/>
        <v>0</v>
      </c>
      <c r="Y86" s="53">
        <f t="shared" si="8"/>
        <v>0</v>
      </c>
      <c r="Z86" s="54"/>
      <c r="AA86" s="54"/>
      <c r="AB86" s="54"/>
      <c r="AC86" s="52">
        <f t="shared" si="9"/>
        <v>0</v>
      </c>
      <c r="AD86" s="53">
        <f t="shared" si="10"/>
        <v>0</v>
      </c>
      <c r="AE86" s="55">
        <f t="shared" si="11"/>
        <v>0</v>
      </c>
      <c r="AF86" s="54"/>
      <c r="AG86" s="56">
        <f t="shared" si="12"/>
        <v>0</v>
      </c>
      <c r="AH86" s="29"/>
      <c r="AI86" s="63"/>
      <c r="AJ86" s="23"/>
      <c r="AK86" s="58"/>
      <c r="AY86" s="65"/>
      <c r="AZ86" s="3"/>
      <c r="BA86" s="3"/>
      <c r="BB86" s="14"/>
    </row>
    <row r="87" ht="16.5" customHeight="1">
      <c r="A87" s="48">
        <v>82.0</v>
      </c>
      <c r="B87" s="49"/>
      <c r="C87" s="50"/>
      <c r="D87" s="51"/>
      <c r="E87" s="51"/>
      <c r="F87" s="51"/>
      <c r="G87" s="52">
        <f t="shared" si="1"/>
        <v>0</v>
      </c>
      <c r="H87" s="53">
        <f t="shared" si="2"/>
        <v>0</v>
      </c>
      <c r="I87" s="51"/>
      <c r="J87" s="51"/>
      <c r="K87" s="51"/>
      <c r="L87" s="52">
        <f t="shared" si="3"/>
        <v>0</v>
      </c>
      <c r="M87" s="53">
        <f t="shared" si="4"/>
        <v>0</v>
      </c>
      <c r="N87" s="51"/>
      <c r="O87" s="51"/>
      <c r="P87" s="51"/>
      <c r="Q87" s="51"/>
      <c r="R87" s="51"/>
      <c r="S87" s="52">
        <f t="shared" si="5"/>
        <v>0</v>
      </c>
      <c r="T87" s="53">
        <f t="shared" si="6"/>
        <v>0</v>
      </c>
      <c r="U87" s="54"/>
      <c r="V87" s="54"/>
      <c r="W87" s="54"/>
      <c r="X87" s="52">
        <f t="shared" si="7"/>
        <v>0</v>
      </c>
      <c r="Y87" s="53">
        <f t="shared" si="8"/>
        <v>0</v>
      </c>
      <c r="Z87" s="54"/>
      <c r="AA87" s="54"/>
      <c r="AB87" s="54"/>
      <c r="AC87" s="52">
        <f t="shared" si="9"/>
        <v>0</v>
      </c>
      <c r="AD87" s="53">
        <f t="shared" si="10"/>
        <v>0</v>
      </c>
      <c r="AE87" s="55">
        <f t="shared" si="11"/>
        <v>0</v>
      </c>
      <c r="AF87" s="54"/>
      <c r="AG87" s="56">
        <f t="shared" si="12"/>
        <v>0</v>
      </c>
      <c r="AH87" s="29"/>
      <c r="AI87" s="63"/>
      <c r="AJ87" s="23"/>
      <c r="AK87" s="58"/>
      <c r="AY87" s="65"/>
      <c r="AZ87" s="3"/>
      <c r="BA87" s="3"/>
      <c r="BB87" s="14"/>
    </row>
    <row r="88" ht="16.5" customHeight="1">
      <c r="A88" s="48">
        <v>83.0</v>
      </c>
      <c r="B88" s="49"/>
      <c r="C88" s="50"/>
      <c r="D88" s="51"/>
      <c r="E88" s="51"/>
      <c r="F88" s="51"/>
      <c r="G88" s="52">
        <f t="shared" si="1"/>
        <v>0</v>
      </c>
      <c r="H88" s="53">
        <f t="shared" si="2"/>
        <v>0</v>
      </c>
      <c r="I88" s="51"/>
      <c r="J88" s="51"/>
      <c r="K88" s="51"/>
      <c r="L88" s="52">
        <f t="shared" si="3"/>
        <v>0</v>
      </c>
      <c r="M88" s="53">
        <f t="shared" si="4"/>
        <v>0</v>
      </c>
      <c r="N88" s="51"/>
      <c r="O88" s="51"/>
      <c r="P88" s="51"/>
      <c r="Q88" s="51"/>
      <c r="R88" s="51"/>
      <c r="S88" s="52">
        <f t="shared" si="5"/>
        <v>0</v>
      </c>
      <c r="T88" s="53">
        <f t="shared" si="6"/>
        <v>0</v>
      </c>
      <c r="U88" s="54"/>
      <c r="V88" s="54"/>
      <c r="W88" s="54"/>
      <c r="X88" s="52">
        <f t="shared" si="7"/>
        <v>0</v>
      </c>
      <c r="Y88" s="53">
        <f t="shared" si="8"/>
        <v>0</v>
      </c>
      <c r="Z88" s="54"/>
      <c r="AA88" s="54"/>
      <c r="AB88" s="54"/>
      <c r="AC88" s="52">
        <f t="shared" si="9"/>
        <v>0</v>
      </c>
      <c r="AD88" s="53">
        <f t="shared" si="10"/>
        <v>0</v>
      </c>
      <c r="AE88" s="55">
        <f t="shared" si="11"/>
        <v>0</v>
      </c>
      <c r="AF88" s="54"/>
      <c r="AG88" s="56">
        <f t="shared" si="12"/>
        <v>0</v>
      </c>
      <c r="AH88" s="29"/>
      <c r="AI88" s="63"/>
      <c r="AJ88" s="23"/>
      <c r="AK88" s="58"/>
      <c r="AY88" s="65"/>
      <c r="AZ88" s="3"/>
      <c r="BA88" s="3"/>
      <c r="BB88" s="14"/>
    </row>
    <row r="89" ht="16.5" customHeight="1">
      <c r="A89" s="48">
        <v>84.0</v>
      </c>
      <c r="B89" s="49"/>
      <c r="C89" s="50"/>
      <c r="D89" s="51"/>
      <c r="E89" s="51"/>
      <c r="F89" s="51"/>
      <c r="G89" s="52">
        <f t="shared" si="1"/>
        <v>0</v>
      </c>
      <c r="H89" s="53">
        <f t="shared" si="2"/>
        <v>0</v>
      </c>
      <c r="I89" s="51"/>
      <c r="J89" s="51"/>
      <c r="K89" s="51"/>
      <c r="L89" s="52">
        <f t="shared" si="3"/>
        <v>0</v>
      </c>
      <c r="M89" s="53">
        <f t="shared" si="4"/>
        <v>0</v>
      </c>
      <c r="N89" s="51"/>
      <c r="O89" s="51"/>
      <c r="P89" s="51"/>
      <c r="Q89" s="51"/>
      <c r="R89" s="51"/>
      <c r="S89" s="52">
        <f t="shared" si="5"/>
        <v>0</v>
      </c>
      <c r="T89" s="53">
        <f t="shared" si="6"/>
        <v>0</v>
      </c>
      <c r="U89" s="54"/>
      <c r="V89" s="54"/>
      <c r="W89" s="54"/>
      <c r="X89" s="52">
        <f t="shared" si="7"/>
        <v>0</v>
      </c>
      <c r="Y89" s="53">
        <f t="shared" si="8"/>
        <v>0</v>
      </c>
      <c r="Z89" s="54"/>
      <c r="AA89" s="54"/>
      <c r="AB89" s="54"/>
      <c r="AC89" s="52">
        <f t="shared" si="9"/>
        <v>0</v>
      </c>
      <c r="AD89" s="53">
        <f t="shared" si="10"/>
        <v>0</v>
      </c>
      <c r="AE89" s="55">
        <f t="shared" si="11"/>
        <v>0</v>
      </c>
      <c r="AF89" s="54"/>
      <c r="AG89" s="56">
        <f t="shared" si="12"/>
        <v>0</v>
      </c>
      <c r="AH89" s="29"/>
      <c r="AI89" s="63"/>
      <c r="AJ89" s="23"/>
      <c r="AK89" s="58"/>
      <c r="AY89" s="65"/>
      <c r="AZ89" s="3"/>
      <c r="BA89" s="3"/>
      <c r="BB89" s="14"/>
    </row>
    <row r="90" ht="16.5" customHeight="1">
      <c r="A90" s="48">
        <v>85.0</v>
      </c>
      <c r="B90" s="49"/>
      <c r="C90" s="50"/>
      <c r="D90" s="51"/>
      <c r="E90" s="51"/>
      <c r="F90" s="51"/>
      <c r="G90" s="52">
        <f t="shared" si="1"/>
        <v>0</v>
      </c>
      <c r="H90" s="53">
        <f t="shared" si="2"/>
        <v>0</v>
      </c>
      <c r="I90" s="51"/>
      <c r="J90" s="51"/>
      <c r="K90" s="51"/>
      <c r="L90" s="52">
        <f t="shared" si="3"/>
        <v>0</v>
      </c>
      <c r="M90" s="53">
        <f t="shared" si="4"/>
        <v>0</v>
      </c>
      <c r="N90" s="51"/>
      <c r="O90" s="51"/>
      <c r="P90" s="51"/>
      <c r="Q90" s="51"/>
      <c r="R90" s="51"/>
      <c r="S90" s="52">
        <f t="shared" si="5"/>
        <v>0</v>
      </c>
      <c r="T90" s="53">
        <f t="shared" si="6"/>
        <v>0</v>
      </c>
      <c r="U90" s="54"/>
      <c r="V90" s="54"/>
      <c r="W90" s="54"/>
      <c r="X90" s="52">
        <f t="shared" si="7"/>
        <v>0</v>
      </c>
      <c r="Y90" s="53">
        <f t="shared" si="8"/>
        <v>0</v>
      </c>
      <c r="Z90" s="54"/>
      <c r="AA90" s="54"/>
      <c r="AB90" s="54"/>
      <c r="AC90" s="52">
        <f t="shared" si="9"/>
        <v>0</v>
      </c>
      <c r="AD90" s="53">
        <f t="shared" si="10"/>
        <v>0</v>
      </c>
      <c r="AE90" s="55">
        <f t="shared" si="11"/>
        <v>0</v>
      </c>
      <c r="AF90" s="54"/>
      <c r="AG90" s="56">
        <f t="shared" si="12"/>
        <v>0</v>
      </c>
      <c r="AH90" s="29"/>
      <c r="AI90" s="63"/>
      <c r="AJ90" s="23"/>
      <c r="AK90" s="58"/>
      <c r="AY90" s="65"/>
      <c r="AZ90" s="3"/>
      <c r="BA90" s="3"/>
      <c r="BB90" s="14"/>
    </row>
    <row r="91" ht="16.5" customHeight="1">
      <c r="A91" s="48">
        <v>86.0</v>
      </c>
      <c r="B91" s="49"/>
      <c r="C91" s="50"/>
      <c r="D91" s="51"/>
      <c r="E91" s="51"/>
      <c r="F91" s="51"/>
      <c r="G91" s="52">
        <f t="shared" si="1"/>
        <v>0</v>
      </c>
      <c r="H91" s="53">
        <f t="shared" si="2"/>
        <v>0</v>
      </c>
      <c r="I91" s="51"/>
      <c r="J91" s="51"/>
      <c r="K91" s="51"/>
      <c r="L91" s="52">
        <f t="shared" si="3"/>
        <v>0</v>
      </c>
      <c r="M91" s="53">
        <f t="shared" si="4"/>
        <v>0</v>
      </c>
      <c r="N91" s="51"/>
      <c r="O91" s="51"/>
      <c r="P91" s="51"/>
      <c r="Q91" s="51"/>
      <c r="R91" s="51"/>
      <c r="S91" s="52">
        <f t="shared" si="5"/>
        <v>0</v>
      </c>
      <c r="T91" s="53">
        <f t="shared" si="6"/>
        <v>0</v>
      </c>
      <c r="U91" s="54"/>
      <c r="V91" s="54"/>
      <c r="W91" s="54"/>
      <c r="X91" s="52">
        <f t="shared" si="7"/>
        <v>0</v>
      </c>
      <c r="Y91" s="53">
        <f t="shared" si="8"/>
        <v>0</v>
      </c>
      <c r="Z91" s="54"/>
      <c r="AA91" s="54"/>
      <c r="AB91" s="54"/>
      <c r="AC91" s="52">
        <f t="shared" si="9"/>
        <v>0</v>
      </c>
      <c r="AD91" s="53">
        <f t="shared" si="10"/>
        <v>0</v>
      </c>
      <c r="AE91" s="55">
        <f t="shared" si="11"/>
        <v>0</v>
      </c>
      <c r="AF91" s="54"/>
      <c r="AG91" s="56">
        <f t="shared" si="12"/>
        <v>0</v>
      </c>
      <c r="AH91" s="29"/>
      <c r="AI91" s="63"/>
      <c r="AJ91" s="23"/>
      <c r="AK91" s="58"/>
      <c r="AY91" s="65"/>
      <c r="AZ91" s="3"/>
      <c r="BA91" s="3"/>
      <c r="BB91" s="14"/>
    </row>
    <row r="92" ht="16.5" customHeight="1">
      <c r="A92" s="48">
        <v>88.0</v>
      </c>
      <c r="B92" s="49"/>
      <c r="C92" s="50"/>
      <c r="D92" s="51"/>
      <c r="E92" s="51"/>
      <c r="F92" s="51"/>
      <c r="G92" s="52">
        <f t="shared" si="1"/>
        <v>0</v>
      </c>
      <c r="H92" s="53">
        <f t="shared" si="2"/>
        <v>0</v>
      </c>
      <c r="I92" s="51"/>
      <c r="J92" s="51"/>
      <c r="K92" s="51"/>
      <c r="L92" s="52">
        <f t="shared" si="3"/>
        <v>0</v>
      </c>
      <c r="M92" s="53">
        <f t="shared" si="4"/>
        <v>0</v>
      </c>
      <c r="N92" s="51"/>
      <c r="O92" s="51"/>
      <c r="P92" s="51"/>
      <c r="Q92" s="51"/>
      <c r="R92" s="51"/>
      <c r="S92" s="52">
        <f t="shared" si="5"/>
        <v>0</v>
      </c>
      <c r="T92" s="53">
        <f t="shared" si="6"/>
        <v>0</v>
      </c>
      <c r="U92" s="54"/>
      <c r="V92" s="54"/>
      <c r="W92" s="54"/>
      <c r="X92" s="52">
        <f t="shared" si="7"/>
        <v>0</v>
      </c>
      <c r="Y92" s="53">
        <f t="shared" si="8"/>
        <v>0</v>
      </c>
      <c r="Z92" s="54"/>
      <c r="AA92" s="54"/>
      <c r="AB92" s="54"/>
      <c r="AC92" s="52">
        <f t="shared" si="9"/>
        <v>0</v>
      </c>
      <c r="AD92" s="53">
        <f t="shared" si="10"/>
        <v>0</v>
      </c>
      <c r="AE92" s="55">
        <f t="shared" si="11"/>
        <v>0</v>
      </c>
      <c r="AF92" s="54"/>
      <c r="AG92" s="56">
        <f t="shared" si="12"/>
        <v>0</v>
      </c>
      <c r="AH92" s="29"/>
      <c r="AI92" s="63"/>
      <c r="AJ92" s="23"/>
      <c r="AK92" s="58"/>
      <c r="AY92" s="65"/>
      <c r="AZ92" s="3"/>
      <c r="BA92" s="3"/>
      <c r="BB92" s="14"/>
    </row>
    <row r="93" ht="16.5" customHeight="1">
      <c r="A93" s="48">
        <v>89.0</v>
      </c>
      <c r="B93" s="49"/>
      <c r="C93" s="50"/>
      <c r="D93" s="51"/>
      <c r="E93" s="51"/>
      <c r="F93" s="51"/>
      <c r="G93" s="52">
        <f t="shared" si="1"/>
        <v>0</v>
      </c>
      <c r="H93" s="53">
        <f t="shared" si="2"/>
        <v>0</v>
      </c>
      <c r="I93" s="51"/>
      <c r="J93" s="51"/>
      <c r="K93" s="51"/>
      <c r="L93" s="52">
        <f t="shared" si="3"/>
        <v>0</v>
      </c>
      <c r="M93" s="53">
        <f t="shared" si="4"/>
        <v>0</v>
      </c>
      <c r="N93" s="51"/>
      <c r="O93" s="51"/>
      <c r="P93" s="51"/>
      <c r="Q93" s="51"/>
      <c r="R93" s="51"/>
      <c r="S93" s="52">
        <f t="shared" si="5"/>
        <v>0</v>
      </c>
      <c r="T93" s="53">
        <f t="shared" si="6"/>
        <v>0</v>
      </c>
      <c r="U93" s="54"/>
      <c r="V93" s="54"/>
      <c r="W93" s="54"/>
      <c r="X93" s="52">
        <f t="shared" si="7"/>
        <v>0</v>
      </c>
      <c r="Y93" s="53">
        <f t="shared" si="8"/>
        <v>0</v>
      </c>
      <c r="Z93" s="54"/>
      <c r="AA93" s="54"/>
      <c r="AB93" s="54"/>
      <c r="AC93" s="52">
        <f t="shared" si="9"/>
        <v>0</v>
      </c>
      <c r="AD93" s="53">
        <f t="shared" si="10"/>
        <v>0</v>
      </c>
      <c r="AE93" s="55">
        <f t="shared" si="11"/>
        <v>0</v>
      </c>
      <c r="AF93" s="54"/>
      <c r="AG93" s="56">
        <f t="shared" si="12"/>
        <v>0</v>
      </c>
      <c r="AH93" s="29"/>
      <c r="AI93" s="63"/>
      <c r="AJ93" s="23"/>
      <c r="AK93" s="58"/>
      <c r="AY93" s="65"/>
      <c r="AZ93" s="3"/>
      <c r="BA93" s="3"/>
      <c r="BB93" s="14"/>
    </row>
    <row r="94" ht="16.5" customHeight="1">
      <c r="A94" s="48">
        <v>90.0</v>
      </c>
      <c r="B94" s="49"/>
      <c r="C94" s="50"/>
      <c r="D94" s="51"/>
      <c r="E94" s="51"/>
      <c r="F94" s="51"/>
      <c r="G94" s="52">
        <f t="shared" si="1"/>
        <v>0</v>
      </c>
      <c r="H94" s="53">
        <f t="shared" si="2"/>
        <v>0</v>
      </c>
      <c r="I94" s="51"/>
      <c r="J94" s="51"/>
      <c r="K94" s="51"/>
      <c r="L94" s="52">
        <f t="shared" si="3"/>
        <v>0</v>
      </c>
      <c r="M94" s="53">
        <f t="shared" si="4"/>
        <v>0</v>
      </c>
      <c r="N94" s="51"/>
      <c r="O94" s="51"/>
      <c r="P94" s="51"/>
      <c r="Q94" s="51"/>
      <c r="R94" s="51"/>
      <c r="S94" s="52">
        <f t="shared" si="5"/>
        <v>0</v>
      </c>
      <c r="T94" s="53">
        <f t="shared" si="6"/>
        <v>0</v>
      </c>
      <c r="U94" s="54"/>
      <c r="V94" s="54"/>
      <c r="W94" s="54"/>
      <c r="X94" s="52">
        <f t="shared" si="7"/>
        <v>0</v>
      </c>
      <c r="Y94" s="53">
        <f t="shared" si="8"/>
        <v>0</v>
      </c>
      <c r="Z94" s="54"/>
      <c r="AA94" s="54"/>
      <c r="AB94" s="54"/>
      <c r="AC94" s="52">
        <f t="shared" si="9"/>
        <v>0</v>
      </c>
      <c r="AD94" s="53">
        <f t="shared" si="10"/>
        <v>0</v>
      </c>
      <c r="AE94" s="55">
        <f t="shared" si="11"/>
        <v>0</v>
      </c>
      <c r="AF94" s="54"/>
      <c r="AG94" s="56">
        <f t="shared" si="12"/>
        <v>0</v>
      </c>
      <c r="AH94" s="29"/>
      <c r="AI94" s="63"/>
      <c r="AJ94" s="23"/>
      <c r="AK94" s="58"/>
      <c r="AY94" s="65"/>
      <c r="AZ94" s="3"/>
      <c r="BA94" s="3"/>
      <c r="BB94" s="14"/>
    </row>
    <row r="95" ht="16.5" customHeight="1">
      <c r="A95" s="48">
        <v>91.0</v>
      </c>
      <c r="B95" s="49"/>
      <c r="C95" s="50"/>
      <c r="D95" s="51"/>
      <c r="E95" s="51"/>
      <c r="F95" s="51"/>
      <c r="G95" s="52">
        <f t="shared" si="1"/>
        <v>0</v>
      </c>
      <c r="H95" s="53">
        <f t="shared" si="2"/>
        <v>0</v>
      </c>
      <c r="I95" s="51"/>
      <c r="J95" s="51"/>
      <c r="K95" s="51"/>
      <c r="L95" s="52">
        <f t="shared" si="3"/>
        <v>0</v>
      </c>
      <c r="M95" s="53">
        <f t="shared" si="4"/>
        <v>0</v>
      </c>
      <c r="N95" s="51"/>
      <c r="O95" s="51"/>
      <c r="P95" s="51"/>
      <c r="Q95" s="51"/>
      <c r="R95" s="51"/>
      <c r="S95" s="52">
        <f t="shared" si="5"/>
        <v>0</v>
      </c>
      <c r="T95" s="53">
        <f t="shared" si="6"/>
        <v>0</v>
      </c>
      <c r="U95" s="54"/>
      <c r="V95" s="54"/>
      <c r="W95" s="54"/>
      <c r="X95" s="52">
        <f t="shared" si="7"/>
        <v>0</v>
      </c>
      <c r="Y95" s="53">
        <f t="shared" si="8"/>
        <v>0</v>
      </c>
      <c r="Z95" s="54"/>
      <c r="AA95" s="54"/>
      <c r="AB95" s="54"/>
      <c r="AC95" s="52">
        <f t="shared" si="9"/>
        <v>0</v>
      </c>
      <c r="AD95" s="53">
        <f t="shared" si="10"/>
        <v>0</v>
      </c>
      <c r="AE95" s="55">
        <f t="shared" si="11"/>
        <v>0</v>
      </c>
      <c r="AF95" s="54"/>
      <c r="AG95" s="56">
        <f t="shared" si="12"/>
        <v>0</v>
      </c>
      <c r="AH95" s="29"/>
      <c r="AI95" s="63"/>
      <c r="AJ95" s="23"/>
      <c r="AK95" s="58"/>
      <c r="AY95" s="65"/>
      <c r="AZ95" s="3"/>
      <c r="BA95" s="3"/>
      <c r="BB95" s="14"/>
    </row>
    <row r="96" ht="16.5" customHeight="1">
      <c r="A96" s="48">
        <v>92.0</v>
      </c>
      <c r="B96" s="49"/>
      <c r="C96" s="50"/>
      <c r="D96" s="51"/>
      <c r="E96" s="51"/>
      <c r="F96" s="51"/>
      <c r="G96" s="52">
        <f t="shared" si="1"/>
        <v>0</v>
      </c>
      <c r="H96" s="53">
        <f t="shared" si="2"/>
        <v>0</v>
      </c>
      <c r="I96" s="51"/>
      <c r="J96" s="51"/>
      <c r="K96" s="51"/>
      <c r="L96" s="52">
        <f t="shared" si="3"/>
        <v>0</v>
      </c>
      <c r="M96" s="53">
        <f t="shared" si="4"/>
        <v>0</v>
      </c>
      <c r="N96" s="51"/>
      <c r="O96" s="51"/>
      <c r="P96" s="51"/>
      <c r="Q96" s="51"/>
      <c r="R96" s="51"/>
      <c r="S96" s="52">
        <f t="shared" si="5"/>
        <v>0</v>
      </c>
      <c r="T96" s="53">
        <f t="shared" si="6"/>
        <v>0</v>
      </c>
      <c r="U96" s="54"/>
      <c r="V96" s="54"/>
      <c r="W96" s="54"/>
      <c r="X96" s="52">
        <f t="shared" si="7"/>
        <v>0</v>
      </c>
      <c r="Y96" s="53">
        <f t="shared" si="8"/>
        <v>0</v>
      </c>
      <c r="Z96" s="54"/>
      <c r="AA96" s="54"/>
      <c r="AB96" s="54"/>
      <c r="AC96" s="52">
        <f t="shared" si="9"/>
        <v>0</v>
      </c>
      <c r="AD96" s="53">
        <f t="shared" si="10"/>
        <v>0</v>
      </c>
      <c r="AE96" s="55">
        <f t="shared" si="11"/>
        <v>0</v>
      </c>
      <c r="AF96" s="54"/>
      <c r="AG96" s="56">
        <f t="shared" si="12"/>
        <v>0</v>
      </c>
      <c r="AH96" s="29"/>
      <c r="AI96" s="63"/>
      <c r="AJ96" s="23"/>
      <c r="AK96" s="58"/>
      <c r="AY96" s="65"/>
      <c r="AZ96" s="3"/>
      <c r="BA96" s="3"/>
      <c r="BB96" s="14"/>
    </row>
    <row r="97" ht="16.5" customHeight="1">
      <c r="A97" s="48">
        <v>93.0</v>
      </c>
      <c r="B97" s="49"/>
      <c r="C97" s="50"/>
      <c r="D97" s="51"/>
      <c r="E97" s="51"/>
      <c r="F97" s="51"/>
      <c r="G97" s="52">
        <f t="shared" si="1"/>
        <v>0</v>
      </c>
      <c r="H97" s="53">
        <f t="shared" si="2"/>
        <v>0</v>
      </c>
      <c r="I97" s="51"/>
      <c r="J97" s="51"/>
      <c r="K97" s="51"/>
      <c r="L97" s="52">
        <f t="shared" si="3"/>
        <v>0</v>
      </c>
      <c r="M97" s="53">
        <f t="shared" si="4"/>
        <v>0</v>
      </c>
      <c r="N97" s="51"/>
      <c r="O97" s="51"/>
      <c r="P97" s="51"/>
      <c r="Q97" s="51"/>
      <c r="R97" s="51"/>
      <c r="S97" s="52">
        <f t="shared" si="5"/>
        <v>0</v>
      </c>
      <c r="T97" s="53">
        <f t="shared" si="6"/>
        <v>0</v>
      </c>
      <c r="U97" s="54"/>
      <c r="V97" s="54"/>
      <c r="W97" s="54"/>
      <c r="X97" s="52">
        <f t="shared" si="7"/>
        <v>0</v>
      </c>
      <c r="Y97" s="53">
        <f t="shared" si="8"/>
        <v>0</v>
      </c>
      <c r="Z97" s="54"/>
      <c r="AA97" s="54"/>
      <c r="AB97" s="54"/>
      <c r="AC97" s="52">
        <f t="shared" si="9"/>
        <v>0</v>
      </c>
      <c r="AD97" s="53">
        <f t="shared" si="10"/>
        <v>0</v>
      </c>
      <c r="AE97" s="55">
        <f t="shared" si="11"/>
        <v>0</v>
      </c>
      <c r="AF97" s="54"/>
      <c r="AG97" s="56">
        <f t="shared" si="12"/>
        <v>0</v>
      </c>
      <c r="AH97" s="29"/>
      <c r="AI97" s="63"/>
      <c r="AJ97" s="23"/>
      <c r="AK97" s="58"/>
      <c r="AY97" s="65"/>
      <c r="AZ97" s="3"/>
      <c r="BA97" s="3"/>
      <c r="BB97" s="14"/>
    </row>
    <row r="98" ht="16.5" customHeight="1">
      <c r="A98" s="48">
        <v>94.0</v>
      </c>
      <c r="B98" s="49"/>
      <c r="C98" s="50"/>
      <c r="D98" s="51"/>
      <c r="E98" s="51"/>
      <c r="F98" s="51"/>
      <c r="G98" s="52">
        <f t="shared" si="1"/>
        <v>0</v>
      </c>
      <c r="H98" s="53">
        <f t="shared" si="2"/>
        <v>0</v>
      </c>
      <c r="I98" s="51"/>
      <c r="J98" s="51"/>
      <c r="K98" s="51"/>
      <c r="L98" s="52">
        <f t="shared" si="3"/>
        <v>0</v>
      </c>
      <c r="M98" s="53">
        <f t="shared" si="4"/>
        <v>0</v>
      </c>
      <c r="N98" s="51"/>
      <c r="O98" s="51"/>
      <c r="P98" s="51"/>
      <c r="Q98" s="51"/>
      <c r="R98" s="51"/>
      <c r="S98" s="52">
        <f t="shared" si="5"/>
        <v>0</v>
      </c>
      <c r="T98" s="53">
        <f t="shared" si="6"/>
        <v>0</v>
      </c>
      <c r="U98" s="54"/>
      <c r="V98" s="54"/>
      <c r="W98" s="54"/>
      <c r="X98" s="52">
        <f t="shared" si="7"/>
        <v>0</v>
      </c>
      <c r="Y98" s="53">
        <f t="shared" si="8"/>
        <v>0</v>
      </c>
      <c r="Z98" s="54"/>
      <c r="AA98" s="54"/>
      <c r="AB98" s="54"/>
      <c r="AC98" s="52">
        <f t="shared" si="9"/>
        <v>0</v>
      </c>
      <c r="AD98" s="53">
        <f t="shared" si="10"/>
        <v>0</v>
      </c>
      <c r="AE98" s="55">
        <f t="shared" si="11"/>
        <v>0</v>
      </c>
      <c r="AF98" s="54"/>
      <c r="AG98" s="56">
        <f t="shared" si="12"/>
        <v>0</v>
      </c>
      <c r="AH98" s="29"/>
      <c r="AI98" s="63"/>
      <c r="AJ98" s="23"/>
      <c r="AK98" s="58"/>
      <c r="AY98" s="65"/>
      <c r="AZ98" s="3"/>
      <c r="BA98" s="3"/>
      <c r="BB98" s="14"/>
    </row>
    <row r="99" ht="16.5" customHeight="1">
      <c r="A99" s="48">
        <v>95.0</v>
      </c>
      <c r="B99" s="49"/>
      <c r="C99" s="50"/>
      <c r="D99" s="51"/>
      <c r="E99" s="51"/>
      <c r="F99" s="51"/>
      <c r="G99" s="52">
        <f t="shared" si="1"/>
        <v>0</v>
      </c>
      <c r="H99" s="53">
        <f t="shared" si="2"/>
        <v>0</v>
      </c>
      <c r="I99" s="51"/>
      <c r="J99" s="51"/>
      <c r="K99" s="51"/>
      <c r="L99" s="52">
        <f t="shared" si="3"/>
        <v>0</v>
      </c>
      <c r="M99" s="53">
        <f t="shared" si="4"/>
        <v>0</v>
      </c>
      <c r="N99" s="51"/>
      <c r="O99" s="51"/>
      <c r="P99" s="51"/>
      <c r="Q99" s="51"/>
      <c r="R99" s="51"/>
      <c r="S99" s="52">
        <f t="shared" si="5"/>
        <v>0</v>
      </c>
      <c r="T99" s="53">
        <f t="shared" si="6"/>
        <v>0</v>
      </c>
      <c r="U99" s="54"/>
      <c r="V99" s="54"/>
      <c r="W99" s="54"/>
      <c r="X99" s="52">
        <f t="shared" si="7"/>
        <v>0</v>
      </c>
      <c r="Y99" s="53">
        <f t="shared" si="8"/>
        <v>0</v>
      </c>
      <c r="Z99" s="54"/>
      <c r="AA99" s="54"/>
      <c r="AB99" s="54"/>
      <c r="AC99" s="52">
        <f t="shared" si="9"/>
        <v>0</v>
      </c>
      <c r="AD99" s="53">
        <f t="shared" si="10"/>
        <v>0</v>
      </c>
      <c r="AE99" s="55">
        <f t="shared" si="11"/>
        <v>0</v>
      </c>
      <c r="AF99" s="54"/>
      <c r="AG99" s="56">
        <f t="shared" si="12"/>
        <v>0</v>
      </c>
      <c r="AH99" s="29"/>
      <c r="AI99" s="63"/>
      <c r="AJ99" s="23"/>
      <c r="AK99" s="58"/>
      <c r="AY99" s="65"/>
      <c r="AZ99" s="3"/>
      <c r="BA99" s="3"/>
      <c r="BB99" s="14"/>
    </row>
    <row r="100" ht="16.5" customHeight="1">
      <c r="A100" s="48">
        <v>96.0</v>
      </c>
      <c r="B100" s="49"/>
      <c r="C100" s="50"/>
      <c r="D100" s="51"/>
      <c r="E100" s="51"/>
      <c r="F100" s="51"/>
      <c r="G100" s="52">
        <f t="shared" si="1"/>
        <v>0</v>
      </c>
      <c r="H100" s="53">
        <f t="shared" si="2"/>
        <v>0</v>
      </c>
      <c r="I100" s="51"/>
      <c r="J100" s="51"/>
      <c r="K100" s="51"/>
      <c r="L100" s="52">
        <f t="shared" si="3"/>
        <v>0</v>
      </c>
      <c r="M100" s="53">
        <f t="shared" si="4"/>
        <v>0</v>
      </c>
      <c r="N100" s="51"/>
      <c r="O100" s="51"/>
      <c r="P100" s="51"/>
      <c r="Q100" s="51"/>
      <c r="R100" s="51"/>
      <c r="S100" s="52">
        <f t="shared" si="5"/>
        <v>0</v>
      </c>
      <c r="T100" s="53">
        <f t="shared" si="6"/>
        <v>0</v>
      </c>
      <c r="U100" s="54"/>
      <c r="V100" s="54"/>
      <c r="W100" s="54"/>
      <c r="X100" s="52">
        <f t="shared" si="7"/>
        <v>0</v>
      </c>
      <c r="Y100" s="53">
        <f t="shared" si="8"/>
        <v>0</v>
      </c>
      <c r="Z100" s="54"/>
      <c r="AA100" s="54"/>
      <c r="AB100" s="54"/>
      <c r="AC100" s="52">
        <f t="shared" si="9"/>
        <v>0</v>
      </c>
      <c r="AD100" s="53">
        <f t="shared" si="10"/>
        <v>0</v>
      </c>
      <c r="AE100" s="55">
        <f t="shared" si="11"/>
        <v>0</v>
      </c>
      <c r="AF100" s="54"/>
      <c r="AG100" s="56">
        <f t="shared" si="12"/>
        <v>0</v>
      </c>
      <c r="AH100" s="29"/>
      <c r="AI100" s="63"/>
      <c r="AJ100" s="23"/>
      <c r="AK100" s="58"/>
      <c r="AY100" s="65"/>
      <c r="AZ100" s="3"/>
      <c r="BA100" s="3"/>
      <c r="BB100" s="14"/>
    </row>
    <row r="101" ht="16.5" customHeight="1">
      <c r="A101" s="48">
        <v>97.0</v>
      </c>
      <c r="B101" s="49"/>
      <c r="C101" s="50"/>
      <c r="D101" s="51"/>
      <c r="E101" s="51"/>
      <c r="F101" s="51"/>
      <c r="G101" s="52">
        <f t="shared" si="1"/>
        <v>0</v>
      </c>
      <c r="H101" s="53">
        <f t="shared" si="2"/>
        <v>0</v>
      </c>
      <c r="I101" s="51"/>
      <c r="J101" s="51"/>
      <c r="K101" s="51"/>
      <c r="L101" s="52">
        <f t="shared" si="3"/>
        <v>0</v>
      </c>
      <c r="M101" s="53">
        <f t="shared" si="4"/>
        <v>0</v>
      </c>
      <c r="N101" s="51"/>
      <c r="O101" s="51"/>
      <c r="P101" s="51"/>
      <c r="Q101" s="51"/>
      <c r="R101" s="51"/>
      <c r="S101" s="52">
        <f t="shared" si="5"/>
        <v>0</v>
      </c>
      <c r="T101" s="53">
        <f t="shared" si="6"/>
        <v>0</v>
      </c>
      <c r="U101" s="54"/>
      <c r="V101" s="54"/>
      <c r="W101" s="54"/>
      <c r="X101" s="52">
        <f t="shared" si="7"/>
        <v>0</v>
      </c>
      <c r="Y101" s="53">
        <f t="shared" si="8"/>
        <v>0</v>
      </c>
      <c r="Z101" s="54"/>
      <c r="AA101" s="54"/>
      <c r="AB101" s="54"/>
      <c r="AC101" s="52">
        <f t="shared" si="9"/>
        <v>0</v>
      </c>
      <c r="AD101" s="53">
        <f t="shared" si="10"/>
        <v>0</v>
      </c>
      <c r="AE101" s="55">
        <f t="shared" si="11"/>
        <v>0</v>
      </c>
      <c r="AF101" s="54"/>
      <c r="AG101" s="56">
        <f t="shared" si="12"/>
        <v>0</v>
      </c>
      <c r="AH101" s="29"/>
      <c r="AI101" s="63"/>
      <c r="AJ101" s="23"/>
      <c r="AK101" s="58"/>
      <c r="AY101" s="65"/>
      <c r="AZ101" s="3"/>
      <c r="BA101" s="3"/>
      <c r="BB101" s="14"/>
    </row>
    <row r="102" ht="16.5" customHeight="1">
      <c r="A102" s="48">
        <v>98.0</v>
      </c>
      <c r="B102" s="49"/>
      <c r="C102" s="50"/>
      <c r="D102" s="51"/>
      <c r="E102" s="51"/>
      <c r="F102" s="51"/>
      <c r="G102" s="52">
        <f t="shared" si="1"/>
        <v>0</v>
      </c>
      <c r="H102" s="53">
        <f t="shared" si="2"/>
        <v>0</v>
      </c>
      <c r="I102" s="51"/>
      <c r="J102" s="51"/>
      <c r="K102" s="51"/>
      <c r="L102" s="52">
        <f t="shared" si="3"/>
        <v>0</v>
      </c>
      <c r="M102" s="53">
        <f t="shared" si="4"/>
        <v>0</v>
      </c>
      <c r="N102" s="51"/>
      <c r="O102" s="51"/>
      <c r="P102" s="51"/>
      <c r="Q102" s="51"/>
      <c r="R102" s="51"/>
      <c r="S102" s="52">
        <f t="shared" si="5"/>
        <v>0</v>
      </c>
      <c r="T102" s="53">
        <f t="shared" si="6"/>
        <v>0</v>
      </c>
      <c r="U102" s="54"/>
      <c r="V102" s="54"/>
      <c r="W102" s="54"/>
      <c r="X102" s="52">
        <f t="shared" si="7"/>
        <v>0</v>
      </c>
      <c r="Y102" s="53">
        <f t="shared" si="8"/>
        <v>0</v>
      </c>
      <c r="Z102" s="54"/>
      <c r="AA102" s="54"/>
      <c r="AB102" s="54"/>
      <c r="AC102" s="52">
        <f t="shared" si="9"/>
        <v>0</v>
      </c>
      <c r="AD102" s="53">
        <f t="shared" si="10"/>
        <v>0</v>
      </c>
      <c r="AE102" s="55">
        <f t="shared" si="11"/>
        <v>0</v>
      </c>
      <c r="AF102" s="54"/>
      <c r="AG102" s="56">
        <f t="shared" si="12"/>
        <v>0</v>
      </c>
      <c r="AH102" s="29"/>
      <c r="AI102" s="63"/>
      <c r="AJ102" s="23"/>
      <c r="AK102" s="58"/>
      <c r="AY102" s="65"/>
      <c r="AZ102" s="3"/>
      <c r="BA102" s="3"/>
      <c r="BB102" s="14"/>
    </row>
    <row r="103" ht="16.5" customHeight="1">
      <c r="A103" s="48">
        <v>99.0</v>
      </c>
      <c r="B103" s="49"/>
      <c r="C103" s="50"/>
      <c r="D103" s="51"/>
      <c r="E103" s="51"/>
      <c r="F103" s="51"/>
      <c r="G103" s="52">
        <f t="shared" si="1"/>
        <v>0</v>
      </c>
      <c r="H103" s="53">
        <f t="shared" si="2"/>
        <v>0</v>
      </c>
      <c r="I103" s="51"/>
      <c r="J103" s="51"/>
      <c r="K103" s="51"/>
      <c r="L103" s="52">
        <f t="shared" si="3"/>
        <v>0</v>
      </c>
      <c r="M103" s="53">
        <f t="shared" si="4"/>
        <v>0</v>
      </c>
      <c r="N103" s="51"/>
      <c r="O103" s="51"/>
      <c r="P103" s="51"/>
      <c r="Q103" s="51"/>
      <c r="R103" s="51"/>
      <c r="S103" s="52">
        <f t="shared" si="5"/>
        <v>0</v>
      </c>
      <c r="T103" s="53">
        <f t="shared" si="6"/>
        <v>0</v>
      </c>
      <c r="U103" s="54"/>
      <c r="V103" s="54"/>
      <c r="W103" s="54"/>
      <c r="X103" s="52">
        <f t="shared" si="7"/>
        <v>0</v>
      </c>
      <c r="Y103" s="53">
        <f t="shared" si="8"/>
        <v>0</v>
      </c>
      <c r="Z103" s="54"/>
      <c r="AA103" s="54"/>
      <c r="AB103" s="54"/>
      <c r="AC103" s="52">
        <f t="shared" si="9"/>
        <v>0</v>
      </c>
      <c r="AD103" s="53">
        <f t="shared" si="10"/>
        <v>0</v>
      </c>
      <c r="AE103" s="55">
        <f t="shared" si="11"/>
        <v>0</v>
      </c>
      <c r="AF103" s="54"/>
      <c r="AG103" s="56">
        <f t="shared" si="12"/>
        <v>0</v>
      </c>
      <c r="AH103" s="29"/>
      <c r="AI103" s="63"/>
      <c r="AJ103" s="23"/>
      <c r="AK103" s="58"/>
      <c r="AY103" s="65"/>
      <c r="AZ103" s="3"/>
      <c r="BA103" s="3"/>
      <c r="BB103" s="14"/>
    </row>
    <row r="104" ht="16.5" customHeight="1">
      <c r="A104" s="48">
        <v>100.0</v>
      </c>
      <c r="B104" s="49"/>
      <c r="C104" s="50"/>
      <c r="D104" s="51"/>
      <c r="E104" s="51"/>
      <c r="F104" s="51"/>
      <c r="G104" s="52">
        <f t="shared" si="1"/>
        <v>0</v>
      </c>
      <c r="H104" s="53">
        <f t="shared" si="2"/>
        <v>0</v>
      </c>
      <c r="I104" s="51"/>
      <c r="J104" s="51"/>
      <c r="K104" s="51"/>
      <c r="L104" s="52">
        <f t="shared" si="3"/>
        <v>0</v>
      </c>
      <c r="M104" s="53">
        <f t="shared" si="4"/>
        <v>0</v>
      </c>
      <c r="N104" s="51"/>
      <c r="O104" s="51"/>
      <c r="P104" s="51"/>
      <c r="Q104" s="51"/>
      <c r="R104" s="51"/>
      <c r="S104" s="52">
        <f t="shared" si="5"/>
        <v>0</v>
      </c>
      <c r="T104" s="53">
        <f t="shared" si="6"/>
        <v>0</v>
      </c>
      <c r="U104" s="54"/>
      <c r="V104" s="54"/>
      <c r="W104" s="54"/>
      <c r="X104" s="52">
        <f t="shared" si="7"/>
        <v>0</v>
      </c>
      <c r="Y104" s="53">
        <f t="shared" si="8"/>
        <v>0</v>
      </c>
      <c r="Z104" s="54"/>
      <c r="AA104" s="54"/>
      <c r="AB104" s="54"/>
      <c r="AC104" s="52">
        <f t="shared" si="9"/>
        <v>0</v>
      </c>
      <c r="AD104" s="53">
        <f t="shared" si="10"/>
        <v>0</v>
      </c>
      <c r="AE104" s="55">
        <f t="shared" si="11"/>
        <v>0</v>
      </c>
      <c r="AF104" s="54"/>
      <c r="AG104" s="56">
        <f t="shared" si="12"/>
        <v>0</v>
      </c>
      <c r="AH104" s="29"/>
      <c r="AI104" s="63"/>
      <c r="AJ104" s="23"/>
      <c r="AK104" s="58"/>
      <c r="AY104" s="65"/>
      <c r="AZ104" s="3"/>
      <c r="BA104" s="3"/>
      <c r="BB104" s="14"/>
    </row>
    <row r="105" ht="16.5" customHeight="1">
      <c r="A105" s="48">
        <v>101.0</v>
      </c>
      <c r="B105" s="49"/>
      <c r="C105" s="50"/>
      <c r="D105" s="51"/>
      <c r="E105" s="51"/>
      <c r="F105" s="51"/>
      <c r="G105" s="52">
        <f t="shared" si="1"/>
        <v>0</v>
      </c>
      <c r="H105" s="53">
        <f t="shared" si="2"/>
        <v>0</v>
      </c>
      <c r="I105" s="51"/>
      <c r="J105" s="51"/>
      <c r="K105" s="51"/>
      <c r="L105" s="52">
        <f t="shared" si="3"/>
        <v>0</v>
      </c>
      <c r="M105" s="53">
        <f t="shared" si="4"/>
        <v>0</v>
      </c>
      <c r="N105" s="51"/>
      <c r="O105" s="51"/>
      <c r="P105" s="51"/>
      <c r="Q105" s="51"/>
      <c r="R105" s="51"/>
      <c r="S105" s="52">
        <f t="shared" si="5"/>
        <v>0</v>
      </c>
      <c r="T105" s="53">
        <f t="shared" si="6"/>
        <v>0</v>
      </c>
      <c r="U105" s="54"/>
      <c r="V105" s="54"/>
      <c r="W105" s="54"/>
      <c r="X105" s="52">
        <f t="shared" si="7"/>
        <v>0</v>
      </c>
      <c r="Y105" s="53">
        <f t="shared" si="8"/>
        <v>0</v>
      </c>
      <c r="Z105" s="54"/>
      <c r="AA105" s="54"/>
      <c r="AB105" s="54"/>
      <c r="AC105" s="52">
        <f t="shared" si="9"/>
        <v>0</v>
      </c>
      <c r="AD105" s="53">
        <f t="shared" si="10"/>
        <v>0</v>
      </c>
      <c r="AE105" s="55">
        <f t="shared" si="11"/>
        <v>0</v>
      </c>
      <c r="AF105" s="54"/>
      <c r="AG105" s="56">
        <f t="shared" si="12"/>
        <v>0</v>
      </c>
      <c r="AH105" s="29"/>
      <c r="AI105" s="63"/>
      <c r="AJ105" s="23"/>
      <c r="AK105" s="58"/>
      <c r="AY105" s="65"/>
      <c r="AZ105" s="3"/>
      <c r="BA105" s="3"/>
      <c r="BB105" s="14"/>
    </row>
    <row r="106" ht="16.5" customHeight="1">
      <c r="A106" s="48">
        <v>102.0</v>
      </c>
      <c r="B106" s="49"/>
      <c r="C106" s="50"/>
      <c r="D106" s="51"/>
      <c r="E106" s="51"/>
      <c r="F106" s="51"/>
      <c r="G106" s="52">
        <f t="shared" si="1"/>
        <v>0</v>
      </c>
      <c r="H106" s="53">
        <f t="shared" si="2"/>
        <v>0</v>
      </c>
      <c r="I106" s="51"/>
      <c r="J106" s="51"/>
      <c r="K106" s="51"/>
      <c r="L106" s="52">
        <f t="shared" si="3"/>
        <v>0</v>
      </c>
      <c r="M106" s="53">
        <f t="shared" si="4"/>
        <v>0</v>
      </c>
      <c r="N106" s="51"/>
      <c r="O106" s="51"/>
      <c r="P106" s="51"/>
      <c r="Q106" s="51"/>
      <c r="R106" s="51"/>
      <c r="S106" s="52">
        <f t="shared" si="5"/>
        <v>0</v>
      </c>
      <c r="T106" s="53">
        <f t="shared" si="6"/>
        <v>0</v>
      </c>
      <c r="U106" s="54"/>
      <c r="V106" s="54"/>
      <c r="W106" s="54"/>
      <c r="X106" s="52">
        <f t="shared" si="7"/>
        <v>0</v>
      </c>
      <c r="Y106" s="53">
        <f t="shared" si="8"/>
        <v>0</v>
      </c>
      <c r="Z106" s="54"/>
      <c r="AA106" s="54"/>
      <c r="AB106" s="54"/>
      <c r="AC106" s="52">
        <f t="shared" si="9"/>
        <v>0</v>
      </c>
      <c r="AD106" s="53">
        <f t="shared" si="10"/>
        <v>0</v>
      </c>
      <c r="AE106" s="55">
        <f t="shared" si="11"/>
        <v>0</v>
      </c>
      <c r="AF106" s="54"/>
      <c r="AG106" s="56">
        <f t="shared" si="12"/>
        <v>0</v>
      </c>
      <c r="AH106" s="29"/>
      <c r="AI106" s="63"/>
      <c r="AJ106" s="23"/>
      <c r="AK106" s="58"/>
      <c r="AY106" s="65"/>
      <c r="AZ106" s="3"/>
      <c r="BA106" s="3"/>
      <c r="BB106" s="14"/>
    </row>
    <row r="107" ht="16.5" customHeight="1">
      <c r="A107" s="48">
        <v>103.0</v>
      </c>
      <c r="B107" s="49"/>
      <c r="C107" s="50"/>
      <c r="D107" s="51"/>
      <c r="E107" s="51"/>
      <c r="F107" s="51"/>
      <c r="G107" s="52">
        <f t="shared" si="1"/>
        <v>0</v>
      </c>
      <c r="H107" s="53">
        <f t="shared" si="2"/>
        <v>0</v>
      </c>
      <c r="I107" s="51"/>
      <c r="J107" s="51"/>
      <c r="K107" s="51"/>
      <c r="L107" s="52">
        <f t="shared" si="3"/>
        <v>0</v>
      </c>
      <c r="M107" s="53">
        <f t="shared" si="4"/>
        <v>0</v>
      </c>
      <c r="N107" s="51"/>
      <c r="O107" s="51"/>
      <c r="P107" s="51"/>
      <c r="Q107" s="51"/>
      <c r="R107" s="51"/>
      <c r="S107" s="52">
        <f t="shared" si="5"/>
        <v>0</v>
      </c>
      <c r="T107" s="53">
        <f t="shared" si="6"/>
        <v>0</v>
      </c>
      <c r="U107" s="54"/>
      <c r="V107" s="54"/>
      <c r="W107" s="54"/>
      <c r="X107" s="52">
        <f t="shared" si="7"/>
        <v>0</v>
      </c>
      <c r="Y107" s="53">
        <f t="shared" si="8"/>
        <v>0</v>
      </c>
      <c r="Z107" s="54"/>
      <c r="AA107" s="54"/>
      <c r="AB107" s="54"/>
      <c r="AC107" s="52">
        <f t="shared" si="9"/>
        <v>0</v>
      </c>
      <c r="AD107" s="53">
        <f t="shared" si="10"/>
        <v>0</v>
      </c>
      <c r="AE107" s="55">
        <f t="shared" si="11"/>
        <v>0</v>
      </c>
      <c r="AF107" s="54"/>
      <c r="AG107" s="56">
        <f t="shared" si="12"/>
        <v>0</v>
      </c>
      <c r="AH107" s="29"/>
      <c r="AI107" s="63"/>
      <c r="AJ107" s="23"/>
      <c r="AK107" s="58"/>
      <c r="AY107" s="65"/>
      <c r="AZ107" s="3"/>
      <c r="BA107" s="3"/>
      <c r="BB107" s="14"/>
    </row>
    <row r="108" ht="16.5" customHeight="1">
      <c r="A108" s="48">
        <v>104.0</v>
      </c>
      <c r="B108" s="49"/>
      <c r="C108" s="50"/>
      <c r="D108" s="51"/>
      <c r="E108" s="51"/>
      <c r="F108" s="51"/>
      <c r="G108" s="52">
        <f t="shared" si="1"/>
        <v>0</v>
      </c>
      <c r="H108" s="53">
        <f t="shared" si="2"/>
        <v>0</v>
      </c>
      <c r="I108" s="51"/>
      <c r="J108" s="51"/>
      <c r="K108" s="51"/>
      <c r="L108" s="52">
        <f t="shared" si="3"/>
        <v>0</v>
      </c>
      <c r="M108" s="53">
        <f t="shared" si="4"/>
        <v>0</v>
      </c>
      <c r="N108" s="51"/>
      <c r="O108" s="51"/>
      <c r="P108" s="51"/>
      <c r="Q108" s="51"/>
      <c r="R108" s="51"/>
      <c r="S108" s="52">
        <f t="shared" si="5"/>
        <v>0</v>
      </c>
      <c r="T108" s="53">
        <f t="shared" si="6"/>
        <v>0</v>
      </c>
      <c r="U108" s="54"/>
      <c r="V108" s="54"/>
      <c r="W108" s="54"/>
      <c r="X108" s="52">
        <f t="shared" si="7"/>
        <v>0</v>
      </c>
      <c r="Y108" s="53">
        <f t="shared" si="8"/>
        <v>0</v>
      </c>
      <c r="Z108" s="54"/>
      <c r="AA108" s="54"/>
      <c r="AB108" s="54"/>
      <c r="AC108" s="52">
        <f t="shared" si="9"/>
        <v>0</v>
      </c>
      <c r="AD108" s="53">
        <f t="shared" si="10"/>
        <v>0</v>
      </c>
      <c r="AE108" s="55">
        <f t="shared" si="11"/>
        <v>0</v>
      </c>
      <c r="AF108" s="54"/>
      <c r="AG108" s="56">
        <f t="shared" si="12"/>
        <v>0</v>
      </c>
      <c r="AH108" s="29"/>
      <c r="AI108" s="63"/>
      <c r="AJ108" s="23"/>
      <c r="AK108" s="58"/>
      <c r="AY108" s="65"/>
      <c r="AZ108" s="3"/>
      <c r="BA108" s="3"/>
      <c r="BB108" s="14"/>
    </row>
    <row r="109" ht="16.5" customHeight="1">
      <c r="A109" s="48">
        <v>105.0</v>
      </c>
      <c r="B109" s="49"/>
      <c r="C109" s="50"/>
      <c r="D109" s="51"/>
      <c r="E109" s="51"/>
      <c r="F109" s="51"/>
      <c r="G109" s="52">
        <f t="shared" si="1"/>
        <v>0</v>
      </c>
      <c r="H109" s="53">
        <f t="shared" si="2"/>
        <v>0</v>
      </c>
      <c r="I109" s="51"/>
      <c r="J109" s="51"/>
      <c r="K109" s="51"/>
      <c r="L109" s="52">
        <f t="shared" si="3"/>
        <v>0</v>
      </c>
      <c r="M109" s="53">
        <f t="shared" si="4"/>
        <v>0</v>
      </c>
      <c r="N109" s="51"/>
      <c r="O109" s="51"/>
      <c r="P109" s="51"/>
      <c r="Q109" s="51"/>
      <c r="R109" s="51"/>
      <c r="S109" s="52">
        <f t="shared" si="5"/>
        <v>0</v>
      </c>
      <c r="T109" s="53">
        <f t="shared" si="6"/>
        <v>0</v>
      </c>
      <c r="U109" s="54"/>
      <c r="V109" s="54"/>
      <c r="W109" s="54"/>
      <c r="X109" s="52">
        <f t="shared" si="7"/>
        <v>0</v>
      </c>
      <c r="Y109" s="53">
        <f t="shared" si="8"/>
        <v>0</v>
      </c>
      <c r="Z109" s="54"/>
      <c r="AA109" s="54"/>
      <c r="AB109" s="54"/>
      <c r="AC109" s="52">
        <f t="shared" si="9"/>
        <v>0</v>
      </c>
      <c r="AD109" s="53">
        <f t="shared" si="10"/>
        <v>0</v>
      </c>
      <c r="AE109" s="55">
        <f t="shared" si="11"/>
        <v>0</v>
      </c>
      <c r="AF109" s="54"/>
      <c r="AG109" s="56">
        <f t="shared" si="12"/>
        <v>0</v>
      </c>
      <c r="AH109" s="29"/>
      <c r="AI109" s="63"/>
      <c r="AJ109" s="23"/>
      <c r="AK109" s="58"/>
      <c r="AY109" s="65"/>
      <c r="AZ109" s="3"/>
      <c r="BA109" s="3"/>
      <c r="BB109" s="14"/>
    </row>
    <row r="110" ht="16.5" customHeight="1">
      <c r="A110" s="48">
        <v>106.0</v>
      </c>
      <c r="B110" s="49"/>
      <c r="C110" s="50"/>
      <c r="D110" s="51"/>
      <c r="E110" s="51"/>
      <c r="F110" s="51"/>
      <c r="G110" s="52">
        <f t="shared" si="1"/>
        <v>0</v>
      </c>
      <c r="H110" s="53">
        <f t="shared" si="2"/>
        <v>0</v>
      </c>
      <c r="I110" s="51"/>
      <c r="J110" s="51"/>
      <c r="K110" s="51"/>
      <c r="L110" s="52">
        <f t="shared" si="3"/>
        <v>0</v>
      </c>
      <c r="M110" s="53">
        <f t="shared" si="4"/>
        <v>0</v>
      </c>
      <c r="N110" s="51"/>
      <c r="O110" s="51"/>
      <c r="P110" s="51"/>
      <c r="Q110" s="51"/>
      <c r="R110" s="51"/>
      <c r="S110" s="52">
        <f t="shared" si="5"/>
        <v>0</v>
      </c>
      <c r="T110" s="53">
        <f t="shared" si="6"/>
        <v>0</v>
      </c>
      <c r="U110" s="54"/>
      <c r="V110" s="54"/>
      <c r="W110" s="54"/>
      <c r="X110" s="52">
        <f t="shared" si="7"/>
        <v>0</v>
      </c>
      <c r="Y110" s="53">
        <f t="shared" si="8"/>
        <v>0</v>
      </c>
      <c r="Z110" s="54"/>
      <c r="AA110" s="54"/>
      <c r="AB110" s="54"/>
      <c r="AC110" s="52">
        <f t="shared" si="9"/>
        <v>0</v>
      </c>
      <c r="AD110" s="53">
        <f t="shared" si="10"/>
        <v>0</v>
      </c>
      <c r="AE110" s="55">
        <f t="shared" si="11"/>
        <v>0</v>
      </c>
      <c r="AF110" s="54"/>
      <c r="AG110" s="56">
        <f t="shared" si="12"/>
        <v>0</v>
      </c>
      <c r="AH110" s="29"/>
      <c r="AI110" s="63"/>
      <c r="AJ110" s="23"/>
      <c r="AK110" s="58"/>
      <c r="AY110" s="65"/>
      <c r="AZ110" s="3"/>
      <c r="BA110" s="3"/>
      <c r="BB110" s="14"/>
    </row>
    <row r="111" ht="16.5" customHeight="1">
      <c r="A111" s="48">
        <v>107.0</v>
      </c>
      <c r="B111" s="49"/>
      <c r="C111" s="50"/>
      <c r="D111" s="51"/>
      <c r="E111" s="51"/>
      <c r="F111" s="51"/>
      <c r="G111" s="52">
        <f t="shared" si="1"/>
        <v>0</v>
      </c>
      <c r="H111" s="53">
        <f t="shared" si="2"/>
        <v>0</v>
      </c>
      <c r="I111" s="51"/>
      <c r="J111" s="51"/>
      <c r="K111" s="51"/>
      <c r="L111" s="52">
        <f t="shared" si="3"/>
        <v>0</v>
      </c>
      <c r="M111" s="53">
        <f t="shared" si="4"/>
        <v>0</v>
      </c>
      <c r="N111" s="51"/>
      <c r="O111" s="51"/>
      <c r="P111" s="51"/>
      <c r="Q111" s="51"/>
      <c r="R111" s="51"/>
      <c r="S111" s="52">
        <f t="shared" si="5"/>
        <v>0</v>
      </c>
      <c r="T111" s="53">
        <f t="shared" si="6"/>
        <v>0</v>
      </c>
      <c r="U111" s="54"/>
      <c r="V111" s="54"/>
      <c r="W111" s="54"/>
      <c r="X111" s="52">
        <f t="shared" si="7"/>
        <v>0</v>
      </c>
      <c r="Y111" s="53">
        <f t="shared" si="8"/>
        <v>0</v>
      </c>
      <c r="Z111" s="54"/>
      <c r="AA111" s="54"/>
      <c r="AB111" s="54"/>
      <c r="AC111" s="52">
        <f t="shared" si="9"/>
        <v>0</v>
      </c>
      <c r="AD111" s="53">
        <f t="shared" si="10"/>
        <v>0</v>
      </c>
      <c r="AE111" s="55">
        <f t="shared" si="11"/>
        <v>0</v>
      </c>
      <c r="AF111" s="54"/>
      <c r="AG111" s="56">
        <f t="shared" si="12"/>
        <v>0</v>
      </c>
      <c r="AH111" s="29"/>
      <c r="AI111" s="63"/>
      <c r="AJ111" s="23"/>
      <c r="AK111" s="58"/>
      <c r="AY111" s="65"/>
      <c r="AZ111" s="3"/>
      <c r="BA111" s="3"/>
      <c r="BB111" s="14"/>
    </row>
    <row r="112" ht="16.5" customHeight="1">
      <c r="A112" s="48">
        <v>108.0</v>
      </c>
      <c r="B112" s="49"/>
      <c r="C112" s="50"/>
      <c r="D112" s="51"/>
      <c r="E112" s="51"/>
      <c r="F112" s="51"/>
      <c r="G112" s="52">
        <f t="shared" si="1"/>
        <v>0</v>
      </c>
      <c r="H112" s="53">
        <f t="shared" si="2"/>
        <v>0</v>
      </c>
      <c r="I112" s="51"/>
      <c r="J112" s="51"/>
      <c r="K112" s="51"/>
      <c r="L112" s="52">
        <f t="shared" si="3"/>
        <v>0</v>
      </c>
      <c r="M112" s="53">
        <f t="shared" si="4"/>
        <v>0</v>
      </c>
      <c r="N112" s="51"/>
      <c r="O112" s="51"/>
      <c r="P112" s="51"/>
      <c r="Q112" s="51"/>
      <c r="R112" s="51"/>
      <c r="S112" s="52">
        <f t="shared" si="5"/>
        <v>0</v>
      </c>
      <c r="T112" s="53">
        <f t="shared" si="6"/>
        <v>0</v>
      </c>
      <c r="U112" s="54"/>
      <c r="V112" s="54"/>
      <c r="W112" s="54"/>
      <c r="X112" s="52">
        <f t="shared" si="7"/>
        <v>0</v>
      </c>
      <c r="Y112" s="53">
        <f t="shared" si="8"/>
        <v>0</v>
      </c>
      <c r="Z112" s="54"/>
      <c r="AA112" s="54"/>
      <c r="AB112" s="54"/>
      <c r="AC112" s="52">
        <f t="shared" si="9"/>
        <v>0</v>
      </c>
      <c r="AD112" s="53">
        <f t="shared" si="10"/>
        <v>0</v>
      </c>
      <c r="AE112" s="55">
        <f t="shared" si="11"/>
        <v>0</v>
      </c>
      <c r="AF112" s="54"/>
      <c r="AG112" s="56">
        <f t="shared" si="12"/>
        <v>0</v>
      </c>
      <c r="AH112" s="29"/>
      <c r="AI112" s="63"/>
      <c r="AJ112" s="23"/>
      <c r="AK112" s="58"/>
      <c r="AY112" s="65"/>
      <c r="AZ112" s="3"/>
      <c r="BA112" s="3"/>
      <c r="BB112" s="14"/>
    </row>
    <row r="113" ht="16.5" customHeight="1">
      <c r="A113" s="48">
        <v>109.0</v>
      </c>
      <c r="B113" s="49"/>
      <c r="C113" s="50"/>
      <c r="D113" s="51"/>
      <c r="E113" s="51"/>
      <c r="F113" s="51"/>
      <c r="G113" s="52">
        <f t="shared" si="1"/>
        <v>0</v>
      </c>
      <c r="H113" s="53">
        <f t="shared" si="2"/>
        <v>0</v>
      </c>
      <c r="I113" s="51"/>
      <c r="J113" s="51"/>
      <c r="K113" s="51"/>
      <c r="L113" s="52">
        <f t="shared" si="3"/>
        <v>0</v>
      </c>
      <c r="M113" s="53">
        <f t="shared" si="4"/>
        <v>0</v>
      </c>
      <c r="N113" s="51"/>
      <c r="O113" s="51"/>
      <c r="P113" s="51"/>
      <c r="Q113" s="51"/>
      <c r="R113" s="51"/>
      <c r="S113" s="52">
        <f t="shared" si="5"/>
        <v>0</v>
      </c>
      <c r="T113" s="53">
        <f t="shared" si="6"/>
        <v>0</v>
      </c>
      <c r="U113" s="54"/>
      <c r="V113" s="54"/>
      <c r="W113" s="54"/>
      <c r="X113" s="52">
        <f t="shared" si="7"/>
        <v>0</v>
      </c>
      <c r="Y113" s="53">
        <f t="shared" si="8"/>
        <v>0</v>
      </c>
      <c r="Z113" s="54"/>
      <c r="AA113" s="54"/>
      <c r="AB113" s="54"/>
      <c r="AC113" s="52">
        <f t="shared" si="9"/>
        <v>0</v>
      </c>
      <c r="AD113" s="53">
        <f t="shared" si="10"/>
        <v>0</v>
      </c>
      <c r="AE113" s="55">
        <f t="shared" si="11"/>
        <v>0</v>
      </c>
      <c r="AF113" s="54"/>
      <c r="AG113" s="56">
        <f t="shared" si="12"/>
        <v>0</v>
      </c>
      <c r="AH113" s="29"/>
      <c r="AI113" s="63"/>
      <c r="AJ113" s="23"/>
      <c r="AK113" s="58"/>
      <c r="AY113" s="65"/>
      <c r="AZ113" s="3"/>
      <c r="BA113" s="3"/>
      <c r="BB113" s="14"/>
    </row>
    <row r="114" ht="16.5" customHeight="1">
      <c r="A114" s="48">
        <v>110.0</v>
      </c>
      <c r="B114" s="49"/>
      <c r="C114" s="50"/>
      <c r="D114" s="51"/>
      <c r="E114" s="51"/>
      <c r="F114" s="51"/>
      <c r="G114" s="52">
        <f t="shared" si="1"/>
        <v>0</v>
      </c>
      <c r="H114" s="53">
        <f t="shared" si="2"/>
        <v>0</v>
      </c>
      <c r="I114" s="51"/>
      <c r="J114" s="51"/>
      <c r="K114" s="51"/>
      <c r="L114" s="52">
        <f t="shared" si="3"/>
        <v>0</v>
      </c>
      <c r="M114" s="53">
        <f t="shared" si="4"/>
        <v>0</v>
      </c>
      <c r="N114" s="51"/>
      <c r="O114" s="51"/>
      <c r="P114" s="51"/>
      <c r="Q114" s="51"/>
      <c r="R114" s="51"/>
      <c r="S114" s="52">
        <f t="shared" si="5"/>
        <v>0</v>
      </c>
      <c r="T114" s="53">
        <f t="shared" si="6"/>
        <v>0</v>
      </c>
      <c r="U114" s="54"/>
      <c r="V114" s="54"/>
      <c r="W114" s="54"/>
      <c r="X114" s="52">
        <f t="shared" si="7"/>
        <v>0</v>
      </c>
      <c r="Y114" s="53">
        <f t="shared" si="8"/>
        <v>0</v>
      </c>
      <c r="Z114" s="54"/>
      <c r="AA114" s="54"/>
      <c r="AB114" s="54"/>
      <c r="AC114" s="52">
        <f t="shared" si="9"/>
        <v>0</v>
      </c>
      <c r="AD114" s="53">
        <f t="shared" si="10"/>
        <v>0</v>
      </c>
      <c r="AE114" s="55">
        <f t="shared" si="11"/>
        <v>0</v>
      </c>
      <c r="AF114" s="54"/>
      <c r="AG114" s="56">
        <f t="shared" si="12"/>
        <v>0</v>
      </c>
      <c r="AH114" s="29"/>
      <c r="AI114" s="63"/>
      <c r="AJ114" s="23"/>
      <c r="AK114" s="58"/>
      <c r="AY114" s="65"/>
      <c r="AZ114" s="3"/>
      <c r="BA114" s="3"/>
      <c r="BB114" s="14"/>
    </row>
    <row r="115" ht="16.5" customHeight="1">
      <c r="A115" s="48">
        <v>111.0</v>
      </c>
      <c r="B115" s="49"/>
      <c r="C115" s="50"/>
      <c r="D115" s="51"/>
      <c r="E115" s="51"/>
      <c r="F115" s="51"/>
      <c r="G115" s="52">
        <f t="shared" si="1"/>
        <v>0</v>
      </c>
      <c r="H115" s="53">
        <f t="shared" si="2"/>
        <v>0</v>
      </c>
      <c r="I115" s="51"/>
      <c r="J115" s="51"/>
      <c r="K115" s="51"/>
      <c r="L115" s="52">
        <f t="shared" si="3"/>
        <v>0</v>
      </c>
      <c r="M115" s="53">
        <f t="shared" si="4"/>
        <v>0</v>
      </c>
      <c r="N115" s="51"/>
      <c r="O115" s="51"/>
      <c r="P115" s="51"/>
      <c r="Q115" s="51"/>
      <c r="R115" s="51"/>
      <c r="S115" s="52">
        <f t="shared" si="5"/>
        <v>0</v>
      </c>
      <c r="T115" s="53">
        <f t="shared" si="6"/>
        <v>0</v>
      </c>
      <c r="U115" s="54"/>
      <c r="V115" s="54"/>
      <c r="W115" s="54"/>
      <c r="X115" s="52">
        <f t="shared" si="7"/>
        <v>0</v>
      </c>
      <c r="Y115" s="53">
        <f t="shared" si="8"/>
        <v>0</v>
      </c>
      <c r="Z115" s="54"/>
      <c r="AA115" s="54"/>
      <c r="AB115" s="54"/>
      <c r="AC115" s="52">
        <f t="shared" si="9"/>
        <v>0</v>
      </c>
      <c r="AD115" s="53">
        <f t="shared" si="10"/>
        <v>0</v>
      </c>
      <c r="AE115" s="55">
        <f t="shared" si="11"/>
        <v>0</v>
      </c>
      <c r="AF115" s="54"/>
      <c r="AG115" s="56">
        <f t="shared" si="12"/>
        <v>0</v>
      </c>
      <c r="AH115" s="29"/>
      <c r="AI115" s="63"/>
      <c r="AJ115" s="23"/>
      <c r="AK115" s="58"/>
      <c r="AY115" s="65"/>
      <c r="AZ115" s="3"/>
      <c r="BA115" s="3"/>
      <c r="BB115" s="14"/>
    </row>
    <row r="116" ht="16.5" customHeight="1">
      <c r="A116" s="48">
        <v>112.0</v>
      </c>
      <c r="B116" s="49"/>
      <c r="C116" s="50"/>
      <c r="D116" s="51"/>
      <c r="E116" s="51"/>
      <c r="F116" s="51"/>
      <c r="G116" s="52">
        <f t="shared" si="1"/>
        <v>0</v>
      </c>
      <c r="H116" s="53">
        <f t="shared" si="2"/>
        <v>0</v>
      </c>
      <c r="I116" s="51"/>
      <c r="J116" s="51"/>
      <c r="K116" s="51"/>
      <c r="L116" s="52">
        <f t="shared" si="3"/>
        <v>0</v>
      </c>
      <c r="M116" s="53">
        <f t="shared" si="4"/>
        <v>0</v>
      </c>
      <c r="N116" s="51"/>
      <c r="O116" s="51"/>
      <c r="P116" s="51"/>
      <c r="Q116" s="51"/>
      <c r="R116" s="51"/>
      <c r="S116" s="52">
        <f t="shared" si="5"/>
        <v>0</v>
      </c>
      <c r="T116" s="53">
        <f t="shared" si="6"/>
        <v>0</v>
      </c>
      <c r="U116" s="54"/>
      <c r="V116" s="54"/>
      <c r="W116" s="54"/>
      <c r="X116" s="52">
        <f t="shared" si="7"/>
        <v>0</v>
      </c>
      <c r="Y116" s="53">
        <f t="shared" si="8"/>
        <v>0</v>
      </c>
      <c r="Z116" s="54"/>
      <c r="AA116" s="54"/>
      <c r="AB116" s="54"/>
      <c r="AC116" s="52">
        <f t="shared" si="9"/>
        <v>0</v>
      </c>
      <c r="AD116" s="53">
        <f t="shared" si="10"/>
        <v>0</v>
      </c>
      <c r="AE116" s="55">
        <f t="shared" si="11"/>
        <v>0</v>
      </c>
      <c r="AF116" s="54"/>
      <c r="AG116" s="56">
        <f t="shared" si="12"/>
        <v>0</v>
      </c>
      <c r="AH116" s="29"/>
      <c r="AI116" s="63"/>
      <c r="AJ116" s="23"/>
      <c r="AK116" s="58"/>
      <c r="AY116" s="65"/>
      <c r="AZ116" s="3"/>
      <c r="BA116" s="3"/>
      <c r="BB116" s="14"/>
    </row>
    <row r="117" ht="16.5" customHeight="1">
      <c r="A117" s="48">
        <v>113.0</v>
      </c>
      <c r="B117" s="49"/>
      <c r="C117" s="50"/>
      <c r="D117" s="51"/>
      <c r="E117" s="51"/>
      <c r="F117" s="51"/>
      <c r="G117" s="52">
        <f t="shared" si="1"/>
        <v>0</v>
      </c>
      <c r="H117" s="53">
        <f t="shared" si="2"/>
        <v>0</v>
      </c>
      <c r="I117" s="51"/>
      <c r="J117" s="51"/>
      <c r="K117" s="51"/>
      <c r="L117" s="52">
        <f t="shared" si="3"/>
        <v>0</v>
      </c>
      <c r="M117" s="53">
        <f t="shared" si="4"/>
        <v>0</v>
      </c>
      <c r="N117" s="51"/>
      <c r="O117" s="51"/>
      <c r="P117" s="51"/>
      <c r="Q117" s="51"/>
      <c r="R117" s="51"/>
      <c r="S117" s="52">
        <f t="shared" si="5"/>
        <v>0</v>
      </c>
      <c r="T117" s="53">
        <f t="shared" si="6"/>
        <v>0</v>
      </c>
      <c r="U117" s="54"/>
      <c r="V117" s="54"/>
      <c r="W117" s="54"/>
      <c r="X117" s="52">
        <f t="shared" si="7"/>
        <v>0</v>
      </c>
      <c r="Y117" s="53">
        <f t="shared" si="8"/>
        <v>0</v>
      </c>
      <c r="Z117" s="54"/>
      <c r="AA117" s="54"/>
      <c r="AB117" s="54"/>
      <c r="AC117" s="52">
        <f t="shared" si="9"/>
        <v>0</v>
      </c>
      <c r="AD117" s="53">
        <f t="shared" si="10"/>
        <v>0</v>
      </c>
      <c r="AE117" s="55">
        <f t="shared" si="11"/>
        <v>0</v>
      </c>
      <c r="AF117" s="54"/>
      <c r="AG117" s="56">
        <f t="shared" si="12"/>
        <v>0</v>
      </c>
      <c r="AH117" s="29"/>
      <c r="AI117" s="63"/>
      <c r="AJ117" s="23"/>
      <c r="AK117" s="58"/>
      <c r="AY117" s="65"/>
      <c r="AZ117" s="3"/>
      <c r="BA117" s="3"/>
      <c r="BB117" s="14"/>
    </row>
    <row r="118" ht="16.5" customHeight="1">
      <c r="A118" s="48">
        <v>114.0</v>
      </c>
      <c r="B118" s="49"/>
      <c r="C118" s="50"/>
      <c r="D118" s="51"/>
      <c r="E118" s="51"/>
      <c r="F118" s="51"/>
      <c r="G118" s="52">
        <f t="shared" si="1"/>
        <v>0</v>
      </c>
      <c r="H118" s="53">
        <f t="shared" si="2"/>
        <v>0</v>
      </c>
      <c r="I118" s="51"/>
      <c r="J118" s="51"/>
      <c r="K118" s="51"/>
      <c r="L118" s="52">
        <f t="shared" si="3"/>
        <v>0</v>
      </c>
      <c r="M118" s="53">
        <f t="shared" si="4"/>
        <v>0</v>
      </c>
      <c r="N118" s="51"/>
      <c r="O118" s="51"/>
      <c r="P118" s="51"/>
      <c r="Q118" s="51"/>
      <c r="R118" s="51"/>
      <c r="S118" s="52">
        <f t="shared" si="5"/>
        <v>0</v>
      </c>
      <c r="T118" s="53">
        <f t="shared" si="6"/>
        <v>0</v>
      </c>
      <c r="U118" s="54"/>
      <c r="V118" s="54"/>
      <c r="W118" s="54"/>
      <c r="X118" s="52">
        <f t="shared" si="7"/>
        <v>0</v>
      </c>
      <c r="Y118" s="53">
        <f t="shared" si="8"/>
        <v>0</v>
      </c>
      <c r="Z118" s="54"/>
      <c r="AA118" s="54"/>
      <c r="AB118" s="54"/>
      <c r="AC118" s="52">
        <f t="shared" si="9"/>
        <v>0</v>
      </c>
      <c r="AD118" s="53">
        <f t="shared" si="10"/>
        <v>0</v>
      </c>
      <c r="AE118" s="55">
        <f t="shared" si="11"/>
        <v>0</v>
      </c>
      <c r="AF118" s="54"/>
      <c r="AG118" s="56">
        <f t="shared" si="12"/>
        <v>0</v>
      </c>
      <c r="AH118" s="29"/>
      <c r="AI118" s="63"/>
      <c r="AJ118" s="23"/>
      <c r="AK118" s="58"/>
      <c r="AY118" s="65"/>
      <c r="AZ118" s="3"/>
      <c r="BA118" s="3"/>
      <c r="BB118" s="14"/>
    </row>
    <row r="119" ht="16.5" customHeight="1">
      <c r="A119" s="48">
        <v>115.0</v>
      </c>
      <c r="B119" s="49"/>
      <c r="C119" s="50"/>
      <c r="D119" s="51"/>
      <c r="E119" s="51"/>
      <c r="F119" s="51"/>
      <c r="G119" s="52">
        <f t="shared" si="1"/>
        <v>0</v>
      </c>
      <c r="H119" s="53">
        <f t="shared" si="2"/>
        <v>0</v>
      </c>
      <c r="I119" s="51"/>
      <c r="J119" s="51"/>
      <c r="K119" s="51"/>
      <c r="L119" s="52">
        <f t="shared" si="3"/>
        <v>0</v>
      </c>
      <c r="M119" s="53">
        <f t="shared" si="4"/>
        <v>0</v>
      </c>
      <c r="N119" s="51"/>
      <c r="O119" s="51"/>
      <c r="P119" s="51"/>
      <c r="Q119" s="51"/>
      <c r="R119" s="51"/>
      <c r="S119" s="52">
        <f t="shared" si="5"/>
        <v>0</v>
      </c>
      <c r="T119" s="53">
        <f t="shared" si="6"/>
        <v>0</v>
      </c>
      <c r="U119" s="54"/>
      <c r="V119" s="54"/>
      <c r="W119" s="54"/>
      <c r="X119" s="52">
        <f t="shared" si="7"/>
        <v>0</v>
      </c>
      <c r="Y119" s="53">
        <f t="shared" si="8"/>
        <v>0</v>
      </c>
      <c r="Z119" s="54"/>
      <c r="AA119" s="54"/>
      <c r="AB119" s="54"/>
      <c r="AC119" s="52">
        <f t="shared" si="9"/>
        <v>0</v>
      </c>
      <c r="AD119" s="53">
        <f t="shared" si="10"/>
        <v>0</v>
      </c>
      <c r="AE119" s="55">
        <f t="shared" si="11"/>
        <v>0</v>
      </c>
      <c r="AF119" s="54"/>
      <c r="AG119" s="56">
        <f t="shared" si="12"/>
        <v>0</v>
      </c>
      <c r="AH119" s="29"/>
      <c r="AI119" s="63"/>
      <c r="AJ119" s="23"/>
      <c r="AK119" s="58"/>
      <c r="AY119" s="65"/>
      <c r="AZ119" s="3"/>
      <c r="BA119" s="3"/>
      <c r="BB119" s="14"/>
    </row>
    <row r="120" ht="16.5" customHeight="1">
      <c r="A120" s="48">
        <v>116.0</v>
      </c>
      <c r="B120" s="49"/>
      <c r="C120" s="50"/>
      <c r="D120" s="51"/>
      <c r="E120" s="51"/>
      <c r="F120" s="51"/>
      <c r="G120" s="52">
        <f t="shared" si="1"/>
        <v>0</v>
      </c>
      <c r="H120" s="53">
        <f t="shared" si="2"/>
        <v>0</v>
      </c>
      <c r="I120" s="51"/>
      <c r="J120" s="51"/>
      <c r="K120" s="51"/>
      <c r="L120" s="52">
        <f t="shared" si="3"/>
        <v>0</v>
      </c>
      <c r="M120" s="53">
        <f t="shared" si="4"/>
        <v>0</v>
      </c>
      <c r="N120" s="51"/>
      <c r="O120" s="51"/>
      <c r="P120" s="51"/>
      <c r="Q120" s="51"/>
      <c r="R120" s="51"/>
      <c r="S120" s="52">
        <f t="shared" si="5"/>
        <v>0</v>
      </c>
      <c r="T120" s="53">
        <f t="shared" si="6"/>
        <v>0</v>
      </c>
      <c r="U120" s="54"/>
      <c r="V120" s="54"/>
      <c r="W120" s="54"/>
      <c r="X120" s="52">
        <f t="shared" si="7"/>
        <v>0</v>
      </c>
      <c r="Y120" s="53">
        <f t="shared" si="8"/>
        <v>0</v>
      </c>
      <c r="Z120" s="54"/>
      <c r="AA120" s="54"/>
      <c r="AB120" s="54"/>
      <c r="AC120" s="52">
        <f t="shared" si="9"/>
        <v>0</v>
      </c>
      <c r="AD120" s="53">
        <f t="shared" si="10"/>
        <v>0</v>
      </c>
      <c r="AE120" s="55">
        <f t="shared" si="11"/>
        <v>0</v>
      </c>
      <c r="AF120" s="54"/>
      <c r="AG120" s="56">
        <f t="shared" si="12"/>
        <v>0</v>
      </c>
      <c r="AH120" s="29"/>
      <c r="AI120" s="63"/>
      <c r="AJ120" s="23"/>
      <c r="AK120" s="58"/>
      <c r="AY120" s="65"/>
      <c r="AZ120" s="3"/>
      <c r="BA120" s="3"/>
      <c r="BB120" s="14"/>
    </row>
    <row r="121" ht="16.5" customHeight="1">
      <c r="A121" s="48">
        <v>117.0</v>
      </c>
      <c r="B121" s="49"/>
      <c r="C121" s="50"/>
      <c r="D121" s="51"/>
      <c r="E121" s="51"/>
      <c r="F121" s="51"/>
      <c r="G121" s="52">
        <f t="shared" si="1"/>
        <v>0</v>
      </c>
      <c r="H121" s="53">
        <f t="shared" si="2"/>
        <v>0</v>
      </c>
      <c r="I121" s="51"/>
      <c r="J121" s="51"/>
      <c r="K121" s="51"/>
      <c r="L121" s="52">
        <f t="shared" si="3"/>
        <v>0</v>
      </c>
      <c r="M121" s="53">
        <f t="shared" si="4"/>
        <v>0</v>
      </c>
      <c r="N121" s="51"/>
      <c r="O121" s="51"/>
      <c r="P121" s="51"/>
      <c r="Q121" s="51"/>
      <c r="R121" s="51"/>
      <c r="S121" s="52">
        <f t="shared" si="5"/>
        <v>0</v>
      </c>
      <c r="T121" s="53">
        <f t="shared" si="6"/>
        <v>0</v>
      </c>
      <c r="U121" s="54"/>
      <c r="V121" s="54"/>
      <c r="W121" s="54"/>
      <c r="X121" s="52">
        <f t="shared" si="7"/>
        <v>0</v>
      </c>
      <c r="Y121" s="53">
        <f t="shared" si="8"/>
        <v>0</v>
      </c>
      <c r="Z121" s="54"/>
      <c r="AA121" s="54"/>
      <c r="AB121" s="54"/>
      <c r="AC121" s="52">
        <f t="shared" si="9"/>
        <v>0</v>
      </c>
      <c r="AD121" s="53">
        <f t="shared" si="10"/>
        <v>0</v>
      </c>
      <c r="AE121" s="55">
        <f t="shared" si="11"/>
        <v>0</v>
      </c>
      <c r="AF121" s="54"/>
      <c r="AG121" s="56">
        <f t="shared" si="12"/>
        <v>0</v>
      </c>
      <c r="AH121" s="29"/>
      <c r="AI121" s="63"/>
      <c r="AJ121" s="23"/>
      <c r="AK121" s="58"/>
      <c r="AY121" s="65"/>
      <c r="AZ121" s="3"/>
      <c r="BA121" s="3"/>
      <c r="BB121" s="14"/>
    </row>
    <row r="122" ht="16.5" customHeight="1">
      <c r="A122" s="48">
        <v>118.0</v>
      </c>
      <c r="B122" s="49"/>
      <c r="C122" s="50"/>
      <c r="D122" s="51"/>
      <c r="E122" s="51"/>
      <c r="F122" s="51"/>
      <c r="G122" s="52">
        <f t="shared" si="1"/>
        <v>0</v>
      </c>
      <c r="H122" s="53">
        <f t="shared" si="2"/>
        <v>0</v>
      </c>
      <c r="I122" s="51"/>
      <c r="J122" s="51"/>
      <c r="K122" s="51"/>
      <c r="L122" s="52">
        <f t="shared" si="3"/>
        <v>0</v>
      </c>
      <c r="M122" s="53">
        <f t="shared" si="4"/>
        <v>0</v>
      </c>
      <c r="N122" s="51"/>
      <c r="O122" s="51"/>
      <c r="P122" s="51"/>
      <c r="Q122" s="51"/>
      <c r="R122" s="51"/>
      <c r="S122" s="52">
        <f t="shared" si="5"/>
        <v>0</v>
      </c>
      <c r="T122" s="53">
        <f t="shared" si="6"/>
        <v>0</v>
      </c>
      <c r="U122" s="54"/>
      <c r="V122" s="54"/>
      <c r="W122" s="54"/>
      <c r="X122" s="52">
        <f t="shared" si="7"/>
        <v>0</v>
      </c>
      <c r="Y122" s="53">
        <f t="shared" si="8"/>
        <v>0</v>
      </c>
      <c r="Z122" s="54"/>
      <c r="AA122" s="54"/>
      <c r="AB122" s="54"/>
      <c r="AC122" s="52">
        <f t="shared" si="9"/>
        <v>0</v>
      </c>
      <c r="AD122" s="53">
        <f t="shared" si="10"/>
        <v>0</v>
      </c>
      <c r="AE122" s="55">
        <f t="shared" si="11"/>
        <v>0</v>
      </c>
      <c r="AF122" s="54"/>
      <c r="AG122" s="56">
        <f t="shared" si="12"/>
        <v>0</v>
      </c>
      <c r="AH122" s="29"/>
      <c r="AI122" s="63"/>
      <c r="AJ122" s="23"/>
      <c r="AK122" s="58"/>
      <c r="AY122" s="65"/>
      <c r="AZ122" s="3"/>
      <c r="BA122" s="3"/>
      <c r="BB122" s="14"/>
    </row>
    <row r="123" ht="16.5" customHeight="1">
      <c r="A123" s="48">
        <v>119.0</v>
      </c>
      <c r="B123" s="49"/>
      <c r="C123" s="50"/>
      <c r="D123" s="51"/>
      <c r="E123" s="51"/>
      <c r="F123" s="51"/>
      <c r="G123" s="52">
        <f t="shared" si="1"/>
        <v>0</v>
      </c>
      <c r="H123" s="53">
        <f t="shared" si="2"/>
        <v>0</v>
      </c>
      <c r="I123" s="51"/>
      <c r="J123" s="51"/>
      <c r="K123" s="51"/>
      <c r="L123" s="52">
        <f t="shared" si="3"/>
        <v>0</v>
      </c>
      <c r="M123" s="53">
        <f t="shared" si="4"/>
        <v>0</v>
      </c>
      <c r="N123" s="51"/>
      <c r="O123" s="51"/>
      <c r="P123" s="51"/>
      <c r="Q123" s="51"/>
      <c r="R123" s="51"/>
      <c r="S123" s="52">
        <f t="shared" si="5"/>
        <v>0</v>
      </c>
      <c r="T123" s="53">
        <f t="shared" si="6"/>
        <v>0</v>
      </c>
      <c r="U123" s="54"/>
      <c r="V123" s="54"/>
      <c r="W123" s="54"/>
      <c r="X123" s="52">
        <f t="shared" si="7"/>
        <v>0</v>
      </c>
      <c r="Y123" s="53">
        <f t="shared" si="8"/>
        <v>0</v>
      </c>
      <c r="Z123" s="54"/>
      <c r="AA123" s="54"/>
      <c r="AB123" s="54"/>
      <c r="AC123" s="52">
        <f t="shared" si="9"/>
        <v>0</v>
      </c>
      <c r="AD123" s="53">
        <f t="shared" si="10"/>
        <v>0</v>
      </c>
      <c r="AE123" s="55">
        <f t="shared" si="11"/>
        <v>0</v>
      </c>
      <c r="AF123" s="54"/>
      <c r="AG123" s="56">
        <f t="shared" si="12"/>
        <v>0</v>
      </c>
      <c r="AH123" s="29"/>
      <c r="AI123" s="63"/>
      <c r="AJ123" s="23"/>
      <c r="AK123" s="58"/>
      <c r="AY123" s="65"/>
      <c r="AZ123" s="3"/>
      <c r="BA123" s="3"/>
      <c r="BB123" s="14"/>
    </row>
    <row r="124" ht="16.5" customHeight="1">
      <c r="A124" s="48">
        <v>120.0</v>
      </c>
      <c r="B124" s="49"/>
      <c r="C124" s="50"/>
      <c r="D124" s="51"/>
      <c r="E124" s="51"/>
      <c r="F124" s="51"/>
      <c r="G124" s="52">
        <f t="shared" si="1"/>
        <v>0</v>
      </c>
      <c r="H124" s="53">
        <f t="shared" si="2"/>
        <v>0</v>
      </c>
      <c r="I124" s="51"/>
      <c r="J124" s="51"/>
      <c r="K124" s="51"/>
      <c r="L124" s="52">
        <f t="shared" si="3"/>
        <v>0</v>
      </c>
      <c r="M124" s="53">
        <f t="shared" si="4"/>
        <v>0</v>
      </c>
      <c r="N124" s="51"/>
      <c r="O124" s="51"/>
      <c r="P124" s="51"/>
      <c r="Q124" s="51"/>
      <c r="R124" s="51"/>
      <c r="S124" s="52">
        <f t="shared" si="5"/>
        <v>0</v>
      </c>
      <c r="T124" s="53">
        <f t="shared" si="6"/>
        <v>0</v>
      </c>
      <c r="U124" s="54"/>
      <c r="V124" s="54"/>
      <c r="W124" s="54"/>
      <c r="X124" s="52">
        <f t="shared" si="7"/>
        <v>0</v>
      </c>
      <c r="Y124" s="53">
        <f t="shared" si="8"/>
        <v>0</v>
      </c>
      <c r="Z124" s="54"/>
      <c r="AA124" s="54"/>
      <c r="AB124" s="54"/>
      <c r="AC124" s="52">
        <f t="shared" si="9"/>
        <v>0</v>
      </c>
      <c r="AD124" s="53">
        <f t="shared" si="10"/>
        <v>0</v>
      </c>
      <c r="AE124" s="55">
        <f t="shared" si="11"/>
        <v>0</v>
      </c>
      <c r="AF124" s="54"/>
      <c r="AG124" s="56">
        <f t="shared" si="12"/>
        <v>0</v>
      </c>
      <c r="AH124" s="29"/>
      <c r="AI124" s="63"/>
      <c r="AJ124" s="23"/>
      <c r="AK124" s="58"/>
      <c r="AY124" s="65"/>
      <c r="AZ124" s="3"/>
      <c r="BA124" s="3"/>
      <c r="BB124" s="14"/>
    </row>
    <row r="125" ht="16.5" customHeight="1">
      <c r="A125" s="48">
        <v>121.0</v>
      </c>
      <c r="B125" s="49"/>
      <c r="C125" s="50"/>
      <c r="D125" s="51"/>
      <c r="E125" s="51"/>
      <c r="F125" s="51"/>
      <c r="G125" s="52">
        <f t="shared" si="1"/>
        <v>0</v>
      </c>
      <c r="H125" s="53">
        <f t="shared" si="2"/>
        <v>0</v>
      </c>
      <c r="I125" s="51"/>
      <c r="J125" s="51"/>
      <c r="K125" s="51"/>
      <c r="L125" s="52">
        <f t="shared" si="3"/>
        <v>0</v>
      </c>
      <c r="M125" s="53">
        <f t="shared" si="4"/>
        <v>0</v>
      </c>
      <c r="N125" s="51"/>
      <c r="O125" s="51"/>
      <c r="P125" s="51"/>
      <c r="Q125" s="51"/>
      <c r="R125" s="51"/>
      <c r="S125" s="52">
        <f t="shared" si="5"/>
        <v>0</v>
      </c>
      <c r="T125" s="53">
        <f t="shared" si="6"/>
        <v>0</v>
      </c>
      <c r="U125" s="54"/>
      <c r="V125" s="54"/>
      <c r="W125" s="54"/>
      <c r="X125" s="52">
        <f t="shared" si="7"/>
        <v>0</v>
      </c>
      <c r="Y125" s="53">
        <f t="shared" si="8"/>
        <v>0</v>
      </c>
      <c r="Z125" s="54"/>
      <c r="AA125" s="54"/>
      <c r="AB125" s="54"/>
      <c r="AC125" s="52">
        <f t="shared" si="9"/>
        <v>0</v>
      </c>
      <c r="AD125" s="53">
        <f t="shared" si="10"/>
        <v>0</v>
      </c>
      <c r="AE125" s="55">
        <f t="shared" si="11"/>
        <v>0</v>
      </c>
      <c r="AF125" s="54"/>
      <c r="AG125" s="56">
        <f t="shared" si="12"/>
        <v>0</v>
      </c>
      <c r="AH125" s="29"/>
      <c r="AI125" s="63"/>
      <c r="AJ125" s="23"/>
      <c r="AK125" s="58"/>
      <c r="AY125" s="65"/>
      <c r="AZ125" s="3"/>
      <c r="BA125" s="3"/>
      <c r="BB125" s="14"/>
    </row>
    <row r="126" ht="16.5" customHeight="1">
      <c r="A126" s="48">
        <v>122.0</v>
      </c>
      <c r="B126" s="49"/>
      <c r="C126" s="50"/>
      <c r="D126" s="51"/>
      <c r="E126" s="51"/>
      <c r="F126" s="51"/>
      <c r="G126" s="52">
        <f t="shared" si="1"/>
        <v>0</v>
      </c>
      <c r="H126" s="53">
        <f t="shared" si="2"/>
        <v>0</v>
      </c>
      <c r="I126" s="51"/>
      <c r="J126" s="51"/>
      <c r="K126" s="51"/>
      <c r="L126" s="52">
        <f t="shared" si="3"/>
        <v>0</v>
      </c>
      <c r="M126" s="53">
        <f t="shared" si="4"/>
        <v>0</v>
      </c>
      <c r="N126" s="51"/>
      <c r="O126" s="51"/>
      <c r="P126" s="51"/>
      <c r="Q126" s="51"/>
      <c r="R126" s="51"/>
      <c r="S126" s="52">
        <f t="shared" si="5"/>
        <v>0</v>
      </c>
      <c r="T126" s="53">
        <f t="shared" si="6"/>
        <v>0</v>
      </c>
      <c r="U126" s="54"/>
      <c r="V126" s="54"/>
      <c r="W126" s="54"/>
      <c r="X126" s="52">
        <f t="shared" si="7"/>
        <v>0</v>
      </c>
      <c r="Y126" s="53">
        <f t="shared" si="8"/>
        <v>0</v>
      </c>
      <c r="Z126" s="54"/>
      <c r="AA126" s="54"/>
      <c r="AB126" s="54"/>
      <c r="AC126" s="52">
        <f t="shared" si="9"/>
        <v>0</v>
      </c>
      <c r="AD126" s="53">
        <f t="shared" si="10"/>
        <v>0</v>
      </c>
      <c r="AE126" s="55">
        <f t="shared" si="11"/>
        <v>0</v>
      </c>
      <c r="AF126" s="54"/>
      <c r="AG126" s="56">
        <f t="shared" si="12"/>
        <v>0</v>
      </c>
      <c r="AH126" s="29"/>
      <c r="AI126" s="63"/>
      <c r="AJ126" s="23"/>
      <c r="AK126" s="58"/>
      <c r="AY126" s="65"/>
      <c r="AZ126" s="3"/>
      <c r="BA126" s="3"/>
      <c r="BB126" s="14"/>
    </row>
    <row r="127" ht="16.5" customHeight="1">
      <c r="A127" s="48">
        <v>123.0</v>
      </c>
      <c r="B127" s="49"/>
      <c r="C127" s="50"/>
      <c r="D127" s="51"/>
      <c r="E127" s="51"/>
      <c r="F127" s="51"/>
      <c r="G127" s="52">
        <f t="shared" si="1"/>
        <v>0</v>
      </c>
      <c r="H127" s="53">
        <f t="shared" si="2"/>
        <v>0</v>
      </c>
      <c r="I127" s="51"/>
      <c r="J127" s="51"/>
      <c r="K127" s="51"/>
      <c r="L127" s="52">
        <f t="shared" si="3"/>
        <v>0</v>
      </c>
      <c r="M127" s="53">
        <f t="shared" si="4"/>
        <v>0</v>
      </c>
      <c r="N127" s="51"/>
      <c r="O127" s="51"/>
      <c r="P127" s="51"/>
      <c r="Q127" s="51"/>
      <c r="R127" s="51"/>
      <c r="S127" s="52">
        <f t="shared" si="5"/>
        <v>0</v>
      </c>
      <c r="T127" s="53">
        <f t="shared" si="6"/>
        <v>0</v>
      </c>
      <c r="U127" s="54"/>
      <c r="V127" s="54"/>
      <c r="W127" s="54"/>
      <c r="X127" s="52">
        <f t="shared" si="7"/>
        <v>0</v>
      </c>
      <c r="Y127" s="53">
        <f t="shared" si="8"/>
        <v>0</v>
      </c>
      <c r="Z127" s="54"/>
      <c r="AA127" s="54"/>
      <c r="AB127" s="54"/>
      <c r="AC127" s="52">
        <f t="shared" si="9"/>
        <v>0</v>
      </c>
      <c r="AD127" s="53">
        <f t="shared" si="10"/>
        <v>0</v>
      </c>
      <c r="AE127" s="55">
        <f t="shared" si="11"/>
        <v>0</v>
      </c>
      <c r="AF127" s="54"/>
      <c r="AG127" s="56">
        <f t="shared" si="12"/>
        <v>0</v>
      </c>
      <c r="AH127" s="29"/>
      <c r="AI127" s="63"/>
      <c r="AJ127" s="23"/>
      <c r="AK127" s="58"/>
      <c r="AY127" s="65"/>
      <c r="AZ127" s="3"/>
      <c r="BA127" s="3"/>
      <c r="BB127" s="14"/>
    </row>
    <row r="128" ht="16.5" customHeight="1">
      <c r="A128" s="48">
        <v>124.0</v>
      </c>
      <c r="B128" s="49"/>
      <c r="C128" s="50"/>
      <c r="D128" s="51"/>
      <c r="E128" s="51"/>
      <c r="F128" s="51"/>
      <c r="G128" s="52">
        <f t="shared" si="1"/>
        <v>0</v>
      </c>
      <c r="H128" s="53">
        <f t="shared" si="2"/>
        <v>0</v>
      </c>
      <c r="I128" s="51"/>
      <c r="J128" s="51"/>
      <c r="K128" s="51"/>
      <c r="L128" s="52">
        <f t="shared" si="3"/>
        <v>0</v>
      </c>
      <c r="M128" s="53">
        <f t="shared" si="4"/>
        <v>0</v>
      </c>
      <c r="N128" s="51"/>
      <c r="O128" s="51"/>
      <c r="P128" s="51"/>
      <c r="Q128" s="51"/>
      <c r="R128" s="51"/>
      <c r="S128" s="52">
        <f t="shared" si="5"/>
        <v>0</v>
      </c>
      <c r="T128" s="53">
        <f t="shared" si="6"/>
        <v>0</v>
      </c>
      <c r="U128" s="54"/>
      <c r="V128" s="54"/>
      <c r="W128" s="54"/>
      <c r="X128" s="52">
        <f t="shared" si="7"/>
        <v>0</v>
      </c>
      <c r="Y128" s="53">
        <f t="shared" si="8"/>
        <v>0</v>
      </c>
      <c r="Z128" s="54"/>
      <c r="AA128" s="54"/>
      <c r="AB128" s="54"/>
      <c r="AC128" s="52">
        <f t="shared" si="9"/>
        <v>0</v>
      </c>
      <c r="AD128" s="53">
        <f t="shared" si="10"/>
        <v>0</v>
      </c>
      <c r="AE128" s="55">
        <f t="shared" si="11"/>
        <v>0</v>
      </c>
      <c r="AF128" s="54"/>
      <c r="AG128" s="56">
        <f t="shared" si="12"/>
        <v>0</v>
      </c>
      <c r="AH128" s="29"/>
      <c r="AI128" s="63"/>
      <c r="AJ128" s="23"/>
      <c r="AK128" s="58"/>
      <c r="AY128" s="65"/>
      <c r="AZ128" s="3"/>
      <c r="BA128" s="3"/>
      <c r="BB128" s="14"/>
    </row>
    <row r="129" ht="16.5" customHeight="1">
      <c r="A129" s="48">
        <v>125.0</v>
      </c>
      <c r="B129" s="49"/>
      <c r="C129" s="50"/>
      <c r="D129" s="51"/>
      <c r="E129" s="51"/>
      <c r="F129" s="51"/>
      <c r="G129" s="52">
        <f t="shared" si="1"/>
        <v>0</v>
      </c>
      <c r="H129" s="53">
        <f t="shared" si="2"/>
        <v>0</v>
      </c>
      <c r="I129" s="51"/>
      <c r="J129" s="51"/>
      <c r="K129" s="51"/>
      <c r="L129" s="52">
        <f t="shared" si="3"/>
        <v>0</v>
      </c>
      <c r="M129" s="53">
        <f t="shared" si="4"/>
        <v>0</v>
      </c>
      <c r="N129" s="51"/>
      <c r="O129" s="51"/>
      <c r="P129" s="51"/>
      <c r="Q129" s="51"/>
      <c r="R129" s="51"/>
      <c r="S129" s="52">
        <f t="shared" si="5"/>
        <v>0</v>
      </c>
      <c r="T129" s="53">
        <f t="shared" si="6"/>
        <v>0</v>
      </c>
      <c r="U129" s="54"/>
      <c r="V129" s="54"/>
      <c r="W129" s="54"/>
      <c r="X129" s="52">
        <f t="shared" si="7"/>
        <v>0</v>
      </c>
      <c r="Y129" s="53">
        <f t="shared" si="8"/>
        <v>0</v>
      </c>
      <c r="Z129" s="54"/>
      <c r="AA129" s="54"/>
      <c r="AB129" s="54"/>
      <c r="AC129" s="52">
        <f t="shared" si="9"/>
        <v>0</v>
      </c>
      <c r="AD129" s="53">
        <f t="shared" si="10"/>
        <v>0</v>
      </c>
      <c r="AE129" s="55">
        <f t="shared" si="11"/>
        <v>0</v>
      </c>
      <c r="AF129" s="54"/>
      <c r="AG129" s="56">
        <f t="shared" si="12"/>
        <v>0</v>
      </c>
      <c r="AH129" s="29"/>
      <c r="AI129" s="63"/>
      <c r="AJ129" s="23"/>
      <c r="AK129" s="58"/>
      <c r="AY129" s="65"/>
      <c r="AZ129" s="3"/>
      <c r="BA129" s="3"/>
      <c r="BB129" s="14"/>
    </row>
    <row r="130" ht="16.5" customHeight="1">
      <c r="A130" s="48">
        <v>126.0</v>
      </c>
      <c r="B130" s="49"/>
      <c r="C130" s="50"/>
      <c r="D130" s="51"/>
      <c r="E130" s="51"/>
      <c r="F130" s="51"/>
      <c r="G130" s="52">
        <f t="shared" si="1"/>
        <v>0</v>
      </c>
      <c r="H130" s="53">
        <f t="shared" si="2"/>
        <v>0</v>
      </c>
      <c r="I130" s="51"/>
      <c r="J130" s="51"/>
      <c r="K130" s="51"/>
      <c r="L130" s="52">
        <f t="shared" si="3"/>
        <v>0</v>
      </c>
      <c r="M130" s="53">
        <f t="shared" si="4"/>
        <v>0</v>
      </c>
      <c r="N130" s="51"/>
      <c r="O130" s="51"/>
      <c r="P130" s="51"/>
      <c r="Q130" s="51"/>
      <c r="R130" s="51"/>
      <c r="S130" s="52">
        <f t="shared" si="5"/>
        <v>0</v>
      </c>
      <c r="T130" s="53">
        <f t="shared" si="6"/>
        <v>0</v>
      </c>
      <c r="U130" s="54"/>
      <c r="V130" s="54"/>
      <c r="W130" s="54"/>
      <c r="X130" s="52">
        <f t="shared" si="7"/>
        <v>0</v>
      </c>
      <c r="Y130" s="53">
        <f t="shared" si="8"/>
        <v>0</v>
      </c>
      <c r="Z130" s="54"/>
      <c r="AA130" s="54"/>
      <c r="AB130" s="54"/>
      <c r="AC130" s="52">
        <f t="shared" si="9"/>
        <v>0</v>
      </c>
      <c r="AD130" s="53">
        <f t="shared" si="10"/>
        <v>0</v>
      </c>
      <c r="AE130" s="55">
        <f t="shared" si="11"/>
        <v>0</v>
      </c>
      <c r="AF130" s="54"/>
      <c r="AG130" s="56">
        <f t="shared" si="12"/>
        <v>0</v>
      </c>
      <c r="AH130" s="29"/>
      <c r="AI130" s="63"/>
      <c r="AJ130" s="23"/>
      <c r="AK130" s="58"/>
      <c r="AY130" s="65"/>
      <c r="AZ130" s="3"/>
      <c r="BA130" s="3"/>
      <c r="BB130" s="14"/>
    </row>
    <row r="131" ht="16.5" customHeight="1">
      <c r="A131" s="48">
        <v>127.0</v>
      </c>
      <c r="B131" s="49"/>
      <c r="C131" s="50"/>
      <c r="D131" s="51"/>
      <c r="E131" s="51"/>
      <c r="F131" s="51"/>
      <c r="G131" s="52">
        <f t="shared" si="1"/>
        <v>0</v>
      </c>
      <c r="H131" s="53">
        <f t="shared" si="2"/>
        <v>0</v>
      </c>
      <c r="I131" s="51"/>
      <c r="J131" s="51"/>
      <c r="K131" s="51"/>
      <c r="L131" s="52">
        <f t="shared" si="3"/>
        <v>0</v>
      </c>
      <c r="M131" s="53">
        <f t="shared" si="4"/>
        <v>0</v>
      </c>
      <c r="N131" s="51"/>
      <c r="O131" s="51"/>
      <c r="P131" s="51"/>
      <c r="Q131" s="51"/>
      <c r="R131" s="51"/>
      <c r="S131" s="52">
        <f t="shared" si="5"/>
        <v>0</v>
      </c>
      <c r="T131" s="53">
        <f t="shared" si="6"/>
        <v>0</v>
      </c>
      <c r="U131" s="54"/>
      <c r="V131" s="54"/>
      <c r="W131" s="54"/>
      <c r="X131" s="52">
        <f t="shared" si="7"/>
        <v>0</v>
      </c>
      <c r="Y131" s="53">
        <f t="shared" si="8"/>
        <v>0</v>
      </c>
      <c r="Z131" s="54"/>
      <c r="AA131" s="54"/>
      <c r="AB131" s="54"/>
      <c r="AC131" s="52">
        <f t="shared" si="9"/>
        <v>0</v>
      </c>
      <c r="AD131" s="53">
        <f t="shared" si="10"/>
        <v>0</v>
      </c>
      <c r="AE131" s="55">
        <f t="shared" si="11"/>
        <v>0</v>
      </c>
      <c r="AF131" s="54"/>
      <c r="AG131" s="56">
        <f t="shared" si="12"/>
        <v>0</v>
      </c>
      <c r="AH131" s="29"/>
      <c r="AI131" s="63"/>
      <c r="AJ131" s="23"/>
      <c r="AK131" s="58"/>
      <c r="AY131" s="65"/>
      <c r="AZ131" s="3"/>
      <c r="BA131" s="3"/>
      <c r="BB131" s="14"/>
    </row>
    <row r="132" ht="16.5" customHeight="1">
      <c r="A132" s="48">
        <v>128.0</v>
      </c>
      <c r="B132" s="49"/>
      <c r="C132" s="50"/>
      <c r="D132" s="51"/>
      <c r="E132" s="51"/>
      <c r="F132" s="51"/>
      <c r="G132" s="52">
        <f t="shared" si="1"/>
        <v>0</v>
      </c>
      <c r="H132" s="53">
        <f t="shared" si="2"/>
        <v>0</v>
      </c>
      <c r="I132" s="51"/>
      <c r="J132" s="51"/>
      <c r="K132" s="51"/>
      <c r="L132" s="52">
        <f t="shared" si="3"/>
        <v>0</v>
      </c>
      <c r="M132" s="53">
        <f t="shared" si="4"/>
        <v>0</v>
      </c>
      <c r="N132" s="51"/>
      <c r="O132" s="51"/>
      <c r="P132" s="51"/>
      <c r="Q132" s="51"/>
      <c r="R132" s="51"/>
      <c r="S132" s="52">
        <f t="shared" si="5"/>
        <v>0</v>
      </c>
      <c r="T132" s="53">
        <f t="shared" si="6"/>
        <v>0</v>
      </c>
      <c r="U132" s="54"/>
      <c r="V132" s="54"/>
      <c r="W132" s="54"/>
      <c r="X132" s="52">
        <f t="shared" si="7"/>
        <v>0</v>
      </c>
      <c r="Y132" s="53">
        <f t="shared" si="8"/>
        <v>0</v>
      </c>
      <c r="Z132" s="54"/>
      <c r="AA132" s="54"/>
      <c r="AB132" s="54"/>
      <c r="AC132" s="52">
        <f t="shared" si="9"/>
        <v>0</v>
      </c>
      <c r="AD132" s="53">
        <f t="shared" si="10"/>
        <v>0</v>
      </c>
      <c r="AE132" s="55">
        <f t="shared" si="11"/>
        <v>0</v>
      </c>
      <c r="AF132" s="54"/>
      <c r="AG132" s="56">
        <f t="shared" si="12"/>
        <v>0</v>
      </c>
      <c r="AH132" s="29"/>
      <c r="AI132" s="63" t="s">
        <v>57</v>
      </c>
      <c r="AJ132" s="23"/>
      <c r="AK132" s="58"/>
      <c r="AY132" s="65"/>
      <c r="AZ132" s="3"/>
      <c r="BA132" s="3"/>
      <c r="BB132" s="14"/>
    </row>
    <row r="133" ht="16.5" customHeight="1">
      <c r="A133" s="48">
        <v>129.0</v>
      </c>
      <c r="B133" s="49"/>
      <c r="C133" s="50"/>
      <c r="D133" s="51"/>
      <c r="E133" s="51"/>
      <c r="F133" s="51"/>
      <c r="G133" s="52">
        <f t="shared" si="1"/>
        <v>0</v>
      </c>
      <c r="H133" s="53">
        <f t="shared" si="2"/>
        <v>0</v>
      </c>
      <c r="I133" s="51"/>
      <c r="J133" s="51"/>
      <c r="K133" s="51"/>
      <c r="L133" s="52">
        <f t="shared" si="3"/>
        <v>0</v>
      </c>
      <c r="M133" s="53">
        <f t="shared" si="4"/>
        <v>0</v>
      </c>
      <c r="N133" s="51"/>
      <c r="O133" s="51"/>
      <c r="P133" s="51"/>
      <c r="Q133" s="51"/>
      <c r="R133" s="51"/>
      <c r="S133" s="52">
        <f t="shared" si="5"/>
        <v>0</v>
      </c>
      <c r="T133" s="53">
        <f t="shared" si="6"/>
        <v>0</v>
      </c>
      <c r="U133" s="54"/>
      <c r="V133" s="54"/>
      <c r="W133" s="54"/>
      <c r="X133" s="52">
        <f t="shared" si="7"/>
        <v>0</v>
      </c>
      <c r="Y133" s="53">
        <f t="shared" si="8"/>
        <v>0</v>
      </c>
      <c r="Z133" s="54"/>
      <c r="AA133" s="54"/>
      <c r="AB133" s="54"/>
      <c r="AC133" s="52">
        <f t="shared" si="9"/>
        <v>0</v>
      </c>
      <c r="AD133" s="53">
        <f t="shared" si="10"/>
        <v>0</v>
      </c>
      <c r="AE133" s="55">
        <f t="shared" si="11"/>
        <v>0</v>
      </c>
      <c r="AF133" s="54"/>
      <c r="AG133" s="56">
        <f t="shared" si="12"/>
        <v>0</v>
      </c>
      <c r="AH133" s="29"/>
      <c r="AI133" s="63" t="s">
        <v>57</v>
      </c>
      <c r="AJ133" s="23"/>
      <c r="AK133" s="58"/>
      <c r="AY133" s="65"/>
      <c r="AZ133" s="3"/>
      <c r="BA133" s="3"/>
      <c r="BB133" s="14"/>
    </row>
    <row r="134" ht="16.5" customHeight="1">
      <c r="A134" s="48">
        <v>130.0</v>
      </c>
      <c r="B134" s="49"/>
      <c r="C134" s="50"/>
      <c r="D134" s="51"/>
      <c r="E134" s="51"/>
      <c r="F134" s="51"/>
      <c r="G134" s="52">
        <f t="shared" si="1"/>
        <v>0</v>
      </c>
      <c r="H134" s="53">
        <f t="shared" si="2"/>
        <v>0</v>
      </c>
      <c r="I134" s="51"/>
      <c r="J134" s="51"/>
      <c r="K134" s="51"/>
      <c r="L134" s="52">
        <f t="shared" si="3"/>
        <v>0</v>
      </c>
      <c r="M134" s="53">
        <f t="shared" si="4"/>
        <v>0</v>
      </c>
      <c r="N134" s="51"/>
      <c r="O134" s="51"/>
      <c r="P134" s="51"/>
      <c r="Q134" s="51"/>
      <c r="R134" s="51"/>
      <c r="S134" s="52">
        <f t="shared" si="5"/>
        <v>0</v>
      </c>
      <c r="T134" s="53">
        <f t="shared" si="6"/>
        <v>0</v>
      </c>
      <c r="U134" s="54"/>
      <c r="V134" s="54"/>
      <c r="W134" s="54"/>
      <c r="X134" s="52">
        <f t="shared" si="7"/>
        <v>0</v>
      </c>
      <c r="Y134" s="53">
        <f t="shared" si="8"/>
        <v>0</v>
      </c>
      <c r="Z134" s="54"/>
      <c r="AA134" s="54"/>
      <c r="AB134" s="54"/>
      <c r="AC134" s="52">
        <f t="shared" si="9"/>
        <v>0</v>
      </c>
      <c r="AD134" s="53">
        <f t="shared" si="10"/>
        <v>0</v>
      </c>
      <c r="AE134" s="55">
        <f t="shared" si="11"/>
        <v>0</v>
      </c>
      <c r="AF134" s="54"/>
      <c r="AG134" s="56">
        <f t="shared" si="12"/>
        <v>0</v>
      </c>
      <c r="AH134" s="29"/>
      <c r="AI134" s="63" t="s">
        <v>57</v>
      </c>
      <c r="AJ134" s="23"/>
      <c r="AK134" s="58"/>
      <c r="AY134" s="65"/>
      <c r="AZ134" s="3"/>
      <c r="BA134" s="3"/>
      <c r="BB134" s="14"/>
    </row>
    <row r="135" ht="16.5" customHeight="1">
      <c r="A135" s="48">
        <v>131.0</v>
      </c>
      <c r="B135" s="49"/>
      <c r="C135" s="50"/>
      <c r="D135" s="51"/>
      <c r="E135" s="51"/>
      <c r="F135" s="51"/>
      <c r="G135" s="52">
        <f t="shared" si="1"/>
        <v>0</v>
      </c>
      <c r="H135" s="53">
        <f t="shared" si="2"/>
        <v>0</v>
      </c>
      <c r="I135" s="51"/>
      <c r="J135" s="51"/>
      <c r="K135" s="51"/>
      <c r="L135" s="52">
        <f t="shared" si="3"/>
        <v>0</v>
      </c>
      <c r="M135" s="53">
        <f t="shared" si="4"/>
        <v>0</v>
      </c>
      <c r="N135" s="51"/>
      <c r="O135" s="51"/>
      <c r="P135" s="51"/>
      <c r="Q135" s="51"/>
      <c r="R135" s="51"/>
      <c r="S135" s="52">
        <f t="shared" si="5"/>
        <v>0</v>
      </c>
      <c r="T135" s="53">
        <f t="shared" si="6"/>
        <v>0</v>
      </c>
      <c r="U135" s="54"/>
      <c r="V135" s="54"/>
      <c r="W135" s="54"/>
      <c r="X135" s="52">
        <f t="shared" si="7"/>
        <v>0</v>
      </c>
      <c r="Y135" s="53">
        <f t="shared" si="8"/>
        <v>0</v>
      </c>
      <c r="Z135" s="54"/>
      <c r="AA135" s="54"/>
      <c r="AB135" s="54"/>
      <c r="AC135" s="52">
        <f t="shared" si="9"/>
        <v>0</v>
      </c>
      <c r="AD135" s="53">
        <f t="shared" si="10"/>
        <v>0</v>
      </c>
      <c r="AE135" s="55">
        <f t="shared" si="11"/>
        <v>0</v>
      </c>
      <c r="AF135" s="54"/>
      <c r="AG135" s="56">
        <f t="shared" si="12"/>
        <v>0</v>
      </c>
      <c r="AH135" s="29"/>
      <c r="AI135" s="63" t="s">
        <v>57</v>
      </c>
      <c r="AJ135" s="23"/>
      <c r="AK135" s="58"/>
      <c r="AY135" s="65"/>
      <c r="AZ135" s="3"/>
      <c r="BA135" s="3"/>
      <c r="BB135" s="14"/>
    </row>
    <row r="136" ht="16.5" customHeight="1">
      <c r="A136" s="48">
        <v>132.0</v>
      </c>
      <c r="B136" s="49"/>
      <c r="C136" s="50"/>
      <c r="D136" s="51"/>
      <c r="E136" s="51"/>
      <c r="F136" s="51"/>
      <c r="G136" s="52">
        <f t="shared" si="1"/>
        <v>0</v>
      </c>
      <c r="H136" s="53">
        <f t="shared" si="2"/>
        <v>0</v>
      </c>
      <c r="I136" s="51"/>
      <c r="J136" s="51"/>
      <c r="K136" s="51"/>
      <c r="L136" s="52">
        <f t="shared" si="3"/>
        <v>0</v>
      </c>
      <c r="M136" s="53">
        <f t="shared" si="4"/>
        <v>0</v>
      </c>
      <c r="N136" s="51"/>
      <c r="O136" s="51"/>
      <c r="P136" s="51"/>
      <c r="Q136" s="51"/>
      <c r="R136" s="51"/>
      <c r="S136" s="52">
        <f t="shared" si="5"/>
        <v>0</v>
      </c>
      <c r="T136" s="53">
        <f t="shared" si="6"/>
        <v>0</v>
      </c>
      <c r="U136" s="54"/>
      <c r="V136" s="54"/>
      <c r="W136" s="54"/>
      <c r="X136" s="52">
        <f t="shared" si="7"/>
        <v>0</v>
      </c>
      <c r="Y136" s="53">
        <f t="shared" si="8"/>
        <v>0</v>
      </c>
      <c r="Z136" s="54"/>
      <c r="AA136" s="54"/>
      <c r="AB136" s="54"/>
      <c r="AC136" s="52">
        <f t="shared" si="9"/>
        <v>0</v>
      </c>
      <c r="AD136" s="53">
        <f t="shared" si="10"/>
        <v>0</v>
      </c>
      <c r="AE136" s="55">
        <f t="shared" si="11"/>
        <v>0</v>
      </c>
      <c r="AF136" s="54"/>
      <c r="AG136" s="56">
        <f t="shared" si="12"/>
        <v>0</v>
      </c>
      <c r="AH136" s="29"/>
      <c r="AI136" s="63" t="s">
        <v>57</v>
      </c>
      <c r="AJ136" s="23"/>
      <c r="AK136" s="58"/>
      <c r="AY136" s="65"/>
      <c r="AZ136" s="3"/>
      <c r="BA136" s="3"/>
      <c r="BB136" s="14"/>
    </row>
    <row r="137" ht="16.5" customHeight="1">
      <c r="A137" s="48">
        <v>133.0</v>
      </c>
      <c r="B137" s="49"/>
      <c r="C137" s="50"/>
      <c r="D137" s="51"/>
      <c r="E137" s="51"/>
      <c r="F137" s="51"/>
      <c r="G137" s="52">
        <f t="shared" si="1"/>
        <v>0</v>
      </c>
      <c r="H137" s="53">
        <f t="shared" si="2"/>
        <v>0</v>
      </c>
      <c r="I137" s="51"/>
      <c r="J137" s="51"/>
      <c r="K137" s="51"/>
      <c r="L137" s="52">
        <f t="shared" si="3"/>
        <v>0</v>
      </c>
      <c r="M137" s="53">
        <f t="shared" si="4"/>
        <v>0</v>
      </c>
      <c r="N137" s="51"/>
      <c r="O137" s="51"/>
      <c r="P137" s="51"/>
      <c r="Q137" s="51"/>
      <c r="R137" s="51"/>
      <c r="S137" s="52">
        <f t="shared" si="5"/>
        <v>0</v>
      </c>
      <c r="T137" s="53">
        <f t="shared" si="6"/>
        <v>0</v>
      </c>
      <c r="U137" s="54"/>
      <c r="V137" s="54"/>
      <c r="W137" s="54"/>
      <c r="X137" s="52">
        <f t="shared" si="7"/>
        <v>0</v>
      </c>
      <c r="Y137" s="53">
        <f t="shared" si="8"/>
        <v>0</v>
      </c>
      <c r="Z137" s="54"/>
      <c r="AA137" s="54"/>
      <c r="AB137" s="54"/>
      <c r="AC137" s="52">
        <f t="shared" si="9"/>
        <v>0</v>
      </c>
      <c r="AD137" s="53">
        <f t="shared" si="10"/>
        <v>0</v>
      </c>
      <c r="AE137" s="55">
        <f t="shared" si="11"/>
        <v>0</v>
      </c>
      <c r="AF137" s="54"/>
      <c r="AG137" s="56">
        <f t="shared" si="12"/>
        <v>0</v>
      </c>
      <c r="AH137" s="29"/>
      <c r="AI137" s="63" t="s">
        <v>58</v>
      </c>
      <c r="AJ137" s="23"/>
      <c r="AK137" s="58"/>
      <c r="AY137" s="65"/>
      <c r="AZ137" s="3"/>
      <c r="BA137" s="3"/>
      <c r="BB137" s="14"/>
    </row>
    <row r="138" ht="16.5" customHeight="1">
      <c r="A138" s="48">
        <v>134.0</v>
      </c>
      <c r="B138" s="49"/>
      <c r="C138" s="50"/>
      <c r="D138" s="51"/>
      <c r="E138" s="51"/>
      <c r="F138" s="51"/>
      <c r="G138" s="52">
        <f t="shared" si="1"/>
        <v>0</v>
      </c>
      <c r="H138" s="53">
        <f t="shared" si="2"/>
        <v>0</v>
      </c>
      <c r="I138" s="51"/>
      <c r="J138" s="51"/>
      <c r="K138" s="51"/>
      <c r="L138" s="52">
        <f t="shared" si="3"/>
        <v>0</v>
      </c>
      <c r="M138" s="53">
        <f t="shared" si="4"/>
        <v>0</v>
      </c>
      <c r="N138" s="51"/>
      <c r="O138" s="51"/>
      <c r="P138" s="51"/>
      <c r="Q138" s="51"/>
      <c r="R138" s="51"/>
      <c r="S138" s="52">
        <f t="shared" si="5"/>
        <v>0</v>
      </c>
      <c r="T138" s="53">
        <f t="shared" si="6"/>
        <v>0</v>
      </c>
      <c r="U138" s="54"/>
      <c r="V138" s="54"/>
      <c r="W138" s="54"/>
      <c r="X138" s="52">
        <f t="shared" si="7"/>
        <v>0</v>
      </c>
      <c r="Y138" s="53">
        <f t="shared" si="8"/>
        <v>0</v>
      </c>
      <c r="Z138" s="54"/>
      <c r="AA138" s="54"/>
      <c r="AB138" s="54"/>
      <c r="AC138" s="52">
        <f t="shared" si="9"/>
        <v>0</v>
      </c>
      <c r="AD138" s="53">
        <f t="shared" si="10"/>
        <v>0</v>
      </c>
      <c r="AE138" s="55">
        <f t="shared" si="11"/>
        <v>0</v>
      </c>
      <c r="AF138" s="54"/>
      <c r="AG138" s="56">
        <f t="shared" si="12"/>
        <v>0</v>
      </c>
      <c r="AH138" s="29"/>
      <c r="AI138" s="63" t="s">
        <v>57</v>
      </c>
      <c r="AJ138" s="23"/>
      <c r="AK138" s="58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65"/>
      <c r="AZ138" s="3"/>
      <c r="BA138" s="3"/>
      <c r="BB138" s="14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8">
        <v>135.0</v>
      </c>
      <c r="B139" s="49"/>
      <c r="C139" s="50"/>
      <c r="D139" s="51"/>
      <c r="E139" s="51"/>
      <c r="F139" s="51"/>
      <c r="G139" s="52">
        <f t="shared" si="1"/>
        <v>0</v>
      </c>
      <c r="H139" s="53">
        <f t="shared" si="2"/>
        <v>0</v>
      </c>
      <c r="I139" s="51"/>
      <c r="J139" s="51"/>
      <c r="K139" s="51"/>
      <c r="L139" s="52">
        <f t="shared" si="3"/>
        <v>0</v>
      </c>
      <c r="M139" s="53">
        <f t="shared" si="4"/>
        <v>0</v>
      </c>
      <c r="N139" s="51"/>
      <c r="O139" s="51"/>
      <c r="P139" s="51"/>
      <c r="Q139" s="51"/>
      <c r="R139" s="51"/>
      <c r="S139" s="52">
        <f t="shared" si="5"/>
        <v>0</v>
      </c>
      <c r="T139" s="53">
        <f t="shared" si="6"/>
        <v>0</v>
      </c>
      <c r="U139" s="54"/>
      <c r="V139" s="54"/>
      <c r="W139" s="54"/>
      <c r="X139" s="52">
        <f t="shared" si="7"/>
        <v>0</v>
      </c>
      <c r="Y139" s="53">
        <f t="shared" si="8"/>
        <v>0</v>
      </c>
      <c r="Z139" s="54"/>
      <c r="AA139" s="54"/>
      <c r="AB139" s="54"/>
      <c r="AC139" s="52">
        <f t="shared" si="9"/>
        <v>0</v>
      </c>
      <c r="AD139" s="53">
        <f t="shared" si="10"/>
        <v>0</v>
      </c>
      <c r="AE139" s="55">
        <f t="shared" si="11"/>
        <v>0</v>
      </c>
      <c r="AF139" s="54"/>
      <c r="AG139" s="56">
        <f t="shared" si="12"/>
        <v>0</v>
      </c>
      <c r="AH139" s="29"/>
      <c r="AI139" s="63" t="s">
        <v>59</v>
      </c>
      <c r="AJ139" s="23"/>
      <c r="AK139" s="58"/>
      <c r="AY139" s="65"/>
      <c r="AZ139" s="3"/>
      <c r="BA139" s="3"/>
      <c r="BB139" s="14"/>
    </row>
    <row r="140" ht="16.5" customHeight="1">
      <c r="A140" s="48">
        <v>136.0</v>
      </c>
      <c r="B140" s="49"/>
      <c r="C140" s="50"/>
      <c r="D140" s="51"/>
      <c r="E140" s="51"/>
      <c r="F140" s="51"/>
      <c r="G140" s="52">
        <f t="shared" si="1"/>
        <v>0</v>
      </c>
      <c r="H140" s="53">
        <f t="shared" si="2"/>
        <v>0</v>
      </c>
      <c r="I140" s="51"/>
      <c r="J140" s="51"/>
      <c r="K140" s="51"/>
      <c r="L140" s="52">
        <f t="shared" si="3"/>
        <v>0</v>
      </c>
      <c r="M140" s="53">
        <f t="shared" si="4"/>
        <v>0</v>
      </c>
      <c r="N140" s="51"/>
      <c r="O140" s="51"/>
      <c r="P140" s="51"/>
      <c r="Q140" s="51"/>
      <c r="R140" s="51"/>
      <c r="S140" s="52">
        <f t="shared" si="5"/>
        <v>0</v>
      </c>
      <c r="T140" s="53">
        <f t="shared" si="6"/>
        <v>0</v>
      </c>
      <c r="U140" s="54"/>
      <c r="V140" s="54"/>
      <c r="W140" s="54"/>
      <c r="X140" s="52">
        <f t="shared" si="7"/>
        <v>0</v>
      </c>
      <c r="Y140" s="53">
        <f t="shared" si="8"/>
        <v>0</v>
      </c>
      <c r="Z140" s="54"/>
      <c r="AA140" s="54"/>
      <c r="AB140" s="54"/>
      <c r="AC140" s="52">
        <f t="shared" si="9"/>
        <v>0</v>
      </c>
      <c r="AD140" s="53">
        <f t="shared" si="10"/>
        <v>0</v>
      </c>
      <c r="AE140" s="55">
        <f t="shared" si="11"/>
        <v>0</v>
      </c>
      <c r="AF140" s="54"/>
      <c r="AG140" s="56">
        <f t="shared" si="12"/>
        <v>0</v>
      </c>
      <c r="AH140" s="29"/>
      <c r="AI140" s="63" t="s">
        <v>57</v>
      </c>
      <c r="AJ140" s="23"/>
      <c r="AK140" s="58"/>
      <c r="AY140" s="65"/>
      <c r="AZ140" s="3"/>
      <c r="BA140" s="3"/>
      <c r="BB140" s="14"/>
    </row>
    <row r="141" ht="16.5" customHeight="1">
      <c r="A141" s="48">
        <v>137.0</v>
      </c>
      <c r="B141" s="49"/>
      <c r="C141" s="50"/>
      <c r="D141" s="51"/>
      <c r="E141" s="51"/>
      <c r="F141" s="51"/>
      <c r="G141" s="52">
        <f t="shared" si="1"/>
        <v>0</v>
      </c>
      <c r="H141" s="53">
        <f t="shared" si="2"/>
        <v>0</v>
      </c>
      <c r="I141" s="51"/>
      <c r="J141" s="51"/>
      <c r="K141" s="51"/>
      <c r="L141" s="52">
        <f t="shared" si="3"/>
        <v>0</v>
      </c>
      <c r="M141" s="53">
        <f t="shared" si="4"/>
        <v>0</v>
      </c>
      <c r="N141" s="51"/>
      <c r="O141" s="51"/>
      <c r="P141" s="51"/>
      <c r="Q141" s="51"/>
      <c r="R141" s="51"/>
      <c r="S141" s="52">
        <f t="shared" si="5"/>
        <v>0</v>
      </c>
      <c r="T141" s="53">
        <f t="shared" si="6"/>
        <v>0</v>
      </c>
      <c r="U141" s="54"/>
      <c r="V141" s="54"/>
      <c r="W141" s="54"/>
      <c r="X141" s="52">
        <f t="shared" si="7"/>
        <v>0</v>
      </c>
      <c r="Y141" s="53">
        <f t="shared" si="8"/>
        <v>0</v>
      </c>
      <c r="Z141" s="54"/>
      <c r="AA141" s="54"/>
      <c r="AB141" s="54"/>
      <c r="AC141" s="52">
        <f t="shared" si="9"/>
        <v>0</v>
      </c>
      <c r="AD141" s="53">
        <f t="shared" si="10"/>
        <v>0</v>
      </c>
      <c r="AE141" s="55">
        <f t="shared" si="11"/>
        <v>0</v>
      </c>
      <c r="AF141" s="54"/>
      <c r="AG141" s="56">
        <f t="shared" si="12"/>
        <v>0</v>
      </c>
      <c r="AH141" s="29"/>
      <c r="AI141" s="63" t="s">
        <v>58</v>
      </c>
      <c r="AJ141" s="23"/>
      <c r="AK141" s="58"/>
      <c r="AY141" s="65"/>
      <c r="AZ141" s="3"/>
      <c r="BA141" s="3"/>
      <c r="BB141" s="14"/>
    </row>
    <row r="142" ht="16.5" customHeight="1">
      <c r="A142" s="48"/>
      <c r="B142" s="100" t="s">
        <v>60</v>
      </c>
      <c r="C142" s="25"/>
      <c r="D142" s="110" t="s">
        <v>5</v>
      </c>
      <c r="E142" s="111"/>
      <c r="F142" s="111"/>
      <c r="G142" s="112"/>
      <c r="H142" s="113">
        <v>70.0</v>
      </c>
      <c r="I142" s="110" t="s">
        <v>6</v>
      </c>
      <c r="J142" s="111"/>
      <c r="K142" s="111"/>
      <c r="L142" s="112"/>
      <c r="M142" s="113">
        <v>70.0</v>
      </c>
      <c r="N142" s="110" t="s">
        <v>7</v>
      </c>
      <c r="O142" s="111"/>
      <c r="P142" s="111"/>
      <c r="Q142" s="111"/>
      <c r="R142" s="111"/>
      <c r="S142" s="112"/>
      <c r="T142" s="113">
        <v>70.0</v>
      </c>
      <c r="U142" s="110" t="s">
        <v>8</v>
      </c>
      <c r="V142" s="111"/>
      <c r="W142" s="111"/>
      <c r="X142" s="112"/>
      <c r="Y142" s="113">
        <v>70.0</v>
      </c>
      <c r="Z142" s="110" t="s">
        <v>9</v>
      </c>
      <c r="AA142" s="111"/>
      <c r="AB142" s="111"/>
      <c r="AC142" s="112"/>
      <c r="AD142" s="113">
        <v>70.0</v>
      </c>
      <c r="AE142" s="114"/>
      <c r="AF142" s="111"/>
      <c r="AG142" s="112"/>
      <c r="AH142" s="29"/>
      <c r="AI142" s="115" t="s">
        <v>57</v>
      </c>
      <c r="AJ142" s="23"/>
      <c r="AK142" s="58"/>
      <c r="AL142" s="58"/>
      <c r="AM142" s="58"/>
      <c r="AN142" s="58"/>
      <c r="AO142" s="58"/>
      <c r="AR142" s="66"/>
      <c r="AS142" s="66"/>
      <c r="AT142" s="67"/>
      <c r="AU142" s="68"/>
      <c r="AV142" s="68"/>
      <c r="AW142" s="68"/>
      <c r="AX142" s="68"/>
      <c r="AY142" s="65"/>
      <c r="AZ142" s="3"/>
      <c r="BA142" s="3"/>
      <c r="BB142" s="14"/>
    </row>
    <row r="143" ht="16.5" customHeight="1">
      <c r="A143" s="116"/>
      <c r="B143" s="117" t="s">
        <v>61</v>
      </c>
      <c r="C143" s="25"/>
      <c r="D143" s="118"/>
      <c r="G143" s="74"/>
      <c r="H143" s="119">
        <f>COUNTIF(H7:H141,"&gt;="&amp;H5*(H142/100))</f>
        <v>1</v>
      </c>
      <c r="I143" s="118"/>
      <c r="L143" s="74"/>
      <c r="M143" s="119">
        <f>COUNTIF(M7:M141,"&gt;="&amp;M5*(M142/100))</f>
        <v>1</v>
      </c>
      <c r="N143" s="118"/>
      <c r="S143" s="74"/>
      <c r="T143" s="119">
        <f>COUNTIF(T7:T141,"&gt;="&amp;T5*(T142/100))</f>
        <v>1</v>
      </c>
      <c r="U143" s="118"/>
      <c r="X143" s="74"/>
      <c r="Y143" s="119">
        <f>COUNTIF(Y7:Y141,"&gt;="&amp;Y5*(Y142/100))</f>
        <v>1</v>
      </c>
      <c r="Z143" s="118"/>
      <c r="AC143" s="74"/>
      <c r="AD143" s="119">
        <f>COUNTIF(AD7:AD141,"&gt;="&amp;AD5*(AD142/100))</f>
        <v>1</v>
      </c>
      <c r="AE143" s="118"/>
      <c r="AG143" s="74"/>
      <c r="AH143" s="29"/>
      <c r="AI143" s="120">
        <f>COUNTA(AI7:AI141)-(COUNTIF(AI7:AI141,"=U*")+COUNTIF(AI7:AI141,"=R*")+COUNTIF(AI7:AI141,"=WH*")+COUNTIF(AI7:AI141,"=B"))</f>
        <v>7</v>
      </c>
      <c r="AJ143" s="23"/>
      <c r="AK143" s="58"/>
      <c r="AL143" s="58"/>
      <c r="AN143" s="3"/>
      <c r="AO143" s="3"/>
      <c r="AP143" s="3"/>
      <c r="AQ143" s="3"/>
      <c r="AR143" s="3"/>
      <c r="AS143" s="67"/>
      <c r="AT143" s="3"/>
      <c r="AU143" s="3"/>
      <c r="AV143" s="3"/>
      <c r="AW143" s="3"/>
      <c r="AX143" s="121"/>
      <c r="AY143" s="3"/>
      <c r="AZ143" s="3"/>
      <c r="BA143" s="14"/>
    </row>
    <row r="144" ht="16.5" customHeight="1">
      <c r="A144" s="116"/>
      <c r="B144" s="103" t="s">
        <v>62</v>
      </c>
      <c r="C144" s="25"/>
      <c r="D144" s="118"/>
      <c r="G144" s="74"/>
      <c r="H144" s="122">
        <f>H143/(COUNTA(H7:H141))*100</f>
        <v>0.7407407407</v>
      </c>
      <c r="I144" s="118"/>
      <c r="L144" s="74"/>
      <c r="M144" s="122">
        <f>M143/(COUNTA(M7:M141))*100</f>
        <v>0.7407407407</v>
      </c>
      <c r="N144" s="118"/>
      <c r="S144" s="74"/>
      <c r="T144" s="122">
        <f>T143/(COUNTA(T7:T141))*100</f>
        <v>0.7407407407</v>
      </c>
      <c r="U144" s="118"/>
      <c r="X144" s="74"/>
      <c r="Y144" s="122">
        <f>Y143/(COUNTA(Y7:Y141))*100</f>
        <v>0.7407407407</v>
      </c>
      <c r="Z144" s="118"/>
      <c r="AC144" s="74"/>
      <c r="AD144" s="122">
        <f>AD143/(COUNTA(AD7:AD141))*100</f>
        <v>0.7407407407</v>
      </c>
      <c r="AE144" s="118"/>
      <c r="AG144" s="74"/>
      <c r="AH144" s="29"/>
      <c r="AI144" s="123">
        <f>IFERROR(AI143/(COUNTA(AI7:AI141))*100,0)</f>
        <v>70</v>
      </c>
      <c r="AJ144" s="23"/>
      <c r="AK144" s="58"/>
      <c r="AL144" s="58"/>
      <c r="AM144" s="124"/>
      <c r="AO144" s="3"/>
      <c r="AP144" s="3"/>
      <c r="AQ144" s="3"/>
      <c r="AR144" s="3"/>
      <c r="AT144" s="3"/>
      <c r="AU144" s="3"/>
      <c r="AV144" s="3"/>
      <c r="AW144" s="3"/>
      <c r="AX144" s="121"/>
      <c r="AY144" s="125"/>
    </row>
    <row r="145" ht="16.5" customHeight="1">
      <c r="A145" s="116"/>
      <c r="B145" s="103" t="s">
        <v>63</v>
      </c>
      <c r="C145" s="25"/>
      <c r="D145" s="126"/>
      <c r="E145" s="127"/>
      <c r="F145" s="127"/>
      <c r="G145" s="128"/>
      <c r="H145" s="129">
        <f>IF(H144&gt;=$AO$17,3,(IF(H144&gt;=$AO$16,2,(IF(H144&gt;=$AO$15,1,0)))))</f>
        <v>0</v>
      </c>
      <c r="I145" s="126"/>
      <c r="J145" s="127"/>
      <c r="K145" s="127"/>
      <c r="L145" s="128"/>
      <c r="M145" s="129">
        <f>IF(M144&gt;=$AO$17,3,(IF(M144&gt;=$AO$16,2,(IF(M144&gt;=$AO$15,1,0)))))</f>
        <v>0</v>
      </c>
      <c r="N145" s="126"/>
      <c r="O145" s="127"/>
      <c r="P145" s="127"/>
      <c r="Q145" s="127"/>
      <c r="R145" s="127"/>
      <c r="S145" s="128"/>
      <c r="T145" s="129">
        <f>IF(T144&gt;=$AO$17,3,(IF(T144&gt;=$AO$16,2,(IF(T144&gt;=$AO$15,1,0)))))</f>
        <v>0</v>
      </c>
      <c r="U145" s="126"/>
      <c r="V145" s="127"/>
      <c r="W145" s="127"/>
      <c r="X145" s="128"/>
      <c r="Y145" s="129">
        <f>IF(Y144&gt;=$AO$17,3,(IF(Y144&gt;=$AO$16,2,(IF(Y144&gt;=$AO$15,1,0)))))</f>
        <v>0</v>
      </c>
      <c r="Z145" s="126"/>
      <c r="AA145" s="127"/>
      <c r="AB145" s="127"/>
      <c r="AC145" s="128"/>
      <c r="AD145" s="129">
        <f>IF(AD144&gt;=$AO$17,3,(IF(AD144&gt;=$AO$16,2,(IF(AD144&gt;=$AO$15,1,0)))))</f>
        <v>0</v>
      </c>
      <c r="AE145" s="126"/>
      <c r="AF145" s="127"/>
      <c r="AG145" s="128"/>
      <c r="AH145" s="130"/>
      <c r="AI145" s="129">
        <f>IF(AI144&gt;=$AO$17,3,(IF(AI144&gt;=$AO$16,2,(IF(AI144&gt;=$AO$15,1,0)))))</f>
        <v>2</v>
      </c>
      <c r="AJ145" s="91"/>
      <c r="AK145" s="58"/>
      <c r="AL145" s="131"/>
      <c r="AY145" s="14"/>
      <c r="AZ145" s="14"/>
      <c r="BA145" s="14"/>
    </row>
    <row r="146" ht="15.75" customHeight="1">
      <c r="A146" s="40"/>
      <c r="B146" s="132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Y146" s="14"/>
      <c r="AZ146" s="14"/>
      <c r="BA146" s="14"/>
    </row>
    <row r="147" ht="24.0" customHeight="1">
      <c r="A147" s="40"/>
      <c r="F147" s="13"/>
      <c r="K147" s="13"/>
      <c r="P147" s="13"/>
      <c r="Q147" s="13"/>
      <c r="R147" s="13"/>
      <c r="U147" s="13"/>
      <c r="W147" s="13"/>
      <c r="X147" s="13"/>
      <c r="Z147" s="13"/>
      <c r="AB147" s="13"/>
      <c r="AC147" s="13"/>
      <c r="AE147" s="13"/>
      <c r="AF147" s="13"/>
      <c r="AG147" s="13"/>
      <c r="AH147" s="13"/>
      <c r="AI147" s="40"/>
      <c r="AJ147" s="40"/>
      <c r="AK147" s="133"/>
      <c r="AL147" s="133"/>
      <c r="AM147" s="134"/>
      <c r="AZ147" s="14"/>
      <c r="BA147" s="14"/>
      <c r="BB147" s="14"/>
    </row>
    <row r="148" ht="27.0" customHeight="1">
      <c r="A148" s="40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L148" s="137"/>
      <c r="AM148" s="134"/>
      <c r="AZ148" s="14"/>
      <c r="BA148" s="14"/>
      <c r="BB148" s="14"/>
    </row>
    <row r="149" ht="17.25" customHeight="1">
      <c r="A149" s="40"/>
      <c r="B149" s="138"/>
      <c r="C149" s="138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137"/>
      <c r="AM149" s="134"/>
      <c r="AZ149" s="14"/>
      <c r="BA149" s="14"/>
      <c r="BB149" s="14"/>
    </row>
    <row r="150" ht="15.75" customHeight="1">
      <c r="A150" s="40"/>
      <c r="F150" s="13"/>
      <c r="K150" s="13"/>
      <c r="P150" s="13"/>
      <c r="Q150" s="13"/>
      <c r="R150" s="13"/>
      <c r="U150" s="13"/>
      <c r="W150" s="13"/>
      <c r="X150" s="13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Z150" s="14"/>
      <c r="BA150" s="14"/>
      <c r="BB150" s="14"/>
    </row>
    <row r="151" ht="15.0" customHeight="1">
      <c r="A151" s="40"/>
      <c r="F151" s="13"/>
      <c r="K151" s="13"/>
      <c r="P151" s="13"/>
      <c r="Q151" s="13"/>
      <c r="R151" s="13"/>
      <c r="U151" s="13"/>
      <c r="W151" s="13"/>
      <c r="X151" s="13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Z151" s="14"/>
      <c r="BA151" s="14"/>
      <c r="BB151" s="14"/>
    </row>
    <row r="152" ht="15.0" customHeight="1">
      <c r="A152" s="40"/>
      <c r="F152" s="13"/>
      <c r="K152" s="13"/>
      <c r="P152" s="13"/>
      <c r="Q152" s="13"/>
      <c r="R152" s="13"/>
      <c r="U152" s="13"/>
      <c r="W152" s="13"/>
      <c r="X152" s="13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Z152" s="14"/>
      <c r="BA152" s="14"/>
      <c r="BB152" s="14"/>
    </row>
    <row r="153" ht="15.0" customHeight="1">
      <c r="A153" s="40"/>
      <c r="F153" s="13"/>
      <c r="K153" s="13"/>
      <c r="P153" s="13"/>
      <c r="Q153" s="13"/>
      <c r="R153" s="13"/>
      <c r="U153" s="13"/>
      <c r="W153" s="13"/>
      <c r="X153" s="13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Z153" s="14"/>
      <c r="BA153" s="14"/>
      <c r="BB153" s="14"/>
    </row>
    <row r="154" ht="15.75" customHeight="1">
      <c r="A154" s="40"/>
      <c r="F154" s="13"/>
      <c r="K154" s="13"/>
      <c r="P154" s="13"/>
      <c r="Q154" s="13"/>
      <c r="R154" s="13"/>
      <c r="U154" s="13"/>
      <c r="W154" s="13"/>
      <c r="X154" s="13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Z154" s="14"/>
      <c r="BA154" s="14"/>
      <c r="BB154" s="14"/>
    </row>
    <row r="155" ht="15.75" customHeight="1">
      <c r="A155" s="40"/>
      <c r="B155" s="132"/>
      <c r="C155" s="40"/>
      <c r="D155" s="40"/>
      <c r="E155" s="40"/>
      <c r="F155" s="40"/>
      <c r="G155" s="40"/>
      <c r="H155" s="40"/>
      <c r="I155" s="139"/>
      <c r="J155" s="139"/>
      <c r="K155" s="139"/>
      <c r="L155" s="139"/>
      <c r="M155" s="39"/>
      <c r="N155" s="39"/>
      <c r="O155" s="39"/>
      <c r="P155" s="39"/>
      <c r="Q155" s="39"/>
      <c r="R155" s="39"/>
      <c r="S155" s="39"/>
      <c r="U155" s="13"/>
      <c r="W155" s="13"/>
      <c r="X155" s="13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Z155" s="14"/>
      <c r="BA155" s="14"/>
      <c r="BB155" s="14"/>
    </row>
    <row r="156" ht="15.75" customHeight="1">
      <c r="A156" s="40"/>
      <c r="B156" s="140"/>
      <c r="C156" s="140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K156" s="141"/>
      <c r="AL156" s="136"/>
      <c r="AZ156" s="14"/>
      <c r="BA156" s="14"/>
      <c r="BB156" s="14"/>
    </row>
    <row r="157" ht="15.75" customHeight="1">
      <c r="A157" s="40"/>
      <c r="B157" s="140"/>
      <c r="C157" s="140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K157" s="141"/>
      <c r="AL157" s="136"/>
      <c r="AZ157" s="14"/>
      <c r="BA157" s="14"/>
      <c r="BB157" s="14"/>
    </row>
    <row r="158" ht="15.75" customHeight="1">
      <c r="A158" s="40"/>
      <c r="B158" s="140"/>
      <c r="C158" s="140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K158" s="141"/>
      <c r="AL158" s="136"/>
      <c r="AZ158" s="14"/>
      <c r="BA158" s="14"/>
      <c r="BB158" s="14"/>
    </row>
    <row r="159" ht="15.75" customHeight="1">
      <c r="A159" s="40"/>
      <c r="B159" s="140"/>
      <c r="C159" s="140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K159" s="141"/>
      <c r="AL159" s="136"/>
      <c r="AZ159" s="14"/>
      <c r="BA159" s="14"/>
      <c r="BB159" s="14"/>
    </row>
    <row r="160" ht="15.75" customHeight="1">
      <c r="A160" s="40"/>
      <c r="B160" s="140"/>
      <c r="C160" s="140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K160" s="141"/>
      <c r="AL160" s="136"/>
      <c r="AZ160" s="14"/>
      <c r="BA160" s="14"/>
      <c r="BB160" s="14"/>
    </row>
    <row r="161" ht="15.75" customHeight="1">
      <c r="A161" s="40"/>
      <c r="B161" s="140"/>
      <c r="C161" s="140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K161" s="141"/>
      <c r="AL161" s="136"/>
      <c r="AZ161" s="14"/>
      <c r="BA161" s="14"/>
      <c r="BB161" s="14"/>
    </row>
    <row r="162" ht="15.75" customHeight="1">
      <c r="A162" s="40"/>
      <c r="F162" s="13"/>
      <c r="K162" s="13"/>
      <c r="P162" s="13"/>
      <c r="Q162" s="13"/>
      <c r="R162" s="13"/>
      <c r="U162" s="13"/>
      <c r="W162" s="13"/>
      <c r="X162" s="13"/>
      <c r="Z162" s="13"/>
      <c r="AB162" s="13"/>
      <c r="AC162" s="13"/>
      <c r="AE162" s="13"/>
      <c r="AF162" s="13"/>
      <c r="AG162" s="13"/>
      <c r="AH162" s="13"/>
      <c r="AL162" s="136"/>
      <c r="AZ162" s="14"/>
      <c r="BA162" s="14"/>
      <c r="BB162" s="14"/>
    </row>
    <row r="163" ht="15.0" customHeight="1">
      <c r="A163" s="40"/>
      <c r="F163" s="13"/>
      <c r="K163" s="13"/>
      <c r="P163" s="13"/>
      <c r="Q163" s="13"/>
      <c r="R163" s="13"/>
      <c r="U163" s="13"/>
      <c r="W163" s="13"/>
      <c r="X163" s="13"/>
      <c r="Z163" s="13"/>
      <c r="AB163" s="13"/>
      <c r="AC163" s="13"/>
      <c r="AE163" s="13"/>
      <c r="AF163" s="13"/>
      <c r="AG163" s="13"/>
      <c r="AH163" s="13"/>
      <c r="AL163" s="40"/>
      <c r="AZ163" s="14"/>
      <c r="BA163" s="14"/>
      <c r="BB163" s="14"/>
    </row>
    <row r="164" ht="15.75" customHeight="1">
      <c r="A164" s="40"/>
      <c r="B164" s="142" t="s">
        <v>64</v>
      </c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Z164" s="14"/>
      <c r="BA164" s="14"/>
      <c r="BB164" s="14"/>
    </row>
    <row r="165" ht="15.75" customHeight="1">
      <c r="A165" s="40"/>
      <c r="B165" s="132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Z165" s="14"/>
      <c r="BA165" s="14"/>
      <c r="BB165" s="14"/>
    </row>
    <row r="166" ht="15.75" customHeight="1">
      <c r="A166" s="40"/>
      <c r="B166" s="39"/>
      <c r="C166" s="39"/>
      <c r="D166" s="143"/>
      <c r="E166" s="143"/>
      <c r="F166" s="143"/>
      <c r="G166" s="143"/>
      <c r="H166" s="143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Z166" s="14"/>
      <c r="BA166" s="14"/>
      <c r="BB166" s="14"/>
    </row>
    <row r="167" ht="15.75" customHeight="1">
      <c r="A167" s="40"/>
      <c r="B167" s="144"/>
      <c r="C167" s="144"/>
      <c r="D167" s="2"/>
      <c r="E167" s="2"/>
      <c r="F167" s="2"/>
      <c r="G167" s="2"/>
      <c r="H167" s="2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Z167" s="14"/>
      <c r="BA167" s="14"/>
      <c r="BB167" s="14"/>
    </row>
    <row r="168" ht="15.75" customHeight="1">
      <c r="A168" s="40"/>
      <c r="B168" s="144"/>
      <c r="C168" s="144"/>
      <c r="D168" s="2"/>
      <c r="E168" s="2"/>
      <c r="F168" s="2"/>
      <c r="G168" s="2"/>
      <c r="H168" s="2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Z168" s="14"/>
      <c r="BA168" s="14"/>
      <c r="BB168" s="14"/>
    </row>
    <row r="169" ht="15.75" customHeight="1">
      <c r="A169" s="40"/>
      <c r="B169" s="144"/>
      <c r="C169" s="144"/>
      <c r="D169" s="2"/>
      <c r="E169" s="2"/>
      <c r="F169" s="2"/>
      <c r="G169" s="2"/>
      <c r="H169" s="2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Z169" s="14"/>
      <c r="BA169" s="14"/>
      <c r="BB169" s="14"/>
    </row>
    <row r="170" ht="15.75" customHeight="1">
      <c r="A170" s="40"/>
      <c r="B170" s="144"/>
      <c r="C170" s="144"/>
      <c r="D170" s="2"/>
      <c r="E170" s="2"/>
      <c r="F170" s="2"/>
      <c r="G170" s="2"/>
      <c r="H170" s="2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Z170" s="14"/>
      <c r="BA170" s="14"/>
      <c r="BB170" s="14"/>
    </row>
    <row r="171" ht="15.75" customHeight="1">
      <c r="A171" s="40"/>
      <c r="B171" s="132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Z171" s="14"/>
      <c r="BA171" s="14"/>
      <c r="BB171" s="14"/>
    </row>
    <row r="172" ht="15.75" customHeight="1">
      <c r="A172" s="40"/>
      <c r="B172" s="39"/>
      <c r="C172" s="39"/>
      <c r="D172" s="143"/>
      <c r="E172" s="143"/>
      <c r="F172" s="143"/>
      <c r="G172" s="143"/>
      <c r="H172" s="143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Z172" s="14"/>
      <c r="BA172" s="14"/>
      <c r="BB172" s="14"/>
    </row>
    <row r="173" ht="15.75" customHeight="1">
      <c r="A173" s="40"/>
      <c r="B173" s="144"/>
      <c r="C173" s="144"/>
      <c r="D173" s="2"/>
      <c r="E173" s="2"/>
      <c r="F173" s="2"/>
      <c r="G173" s="2"/>
      <c r="H173" s="2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Z173" s="14"/>
      <c r="BA173" s="14"/>
      <c r="BB173" s="14"/>
    </row>
    <row r="174" ht="15.75" customHeight="1">
      <c r="A174" s="40"/>
      <c r="B174" s="144"/>
      <c r="C174" s="144"/>
      <c r="D174" s="2"/>
      <c r="E174" s="2"/>
      <c r="F174" s="2"/>
      <c r="G174" s="2"/>
      <c r="H174" s="2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Z174" s="14"/>
      <c r="BA174" s="14"/>
      <c r="BB174" s="14"/>
    </row>
    <row r="175" ht="15.75" customHeight="1">
      <c r="A175" s="40"/>
      <c r="B175" s="144"/>
      <c r="C175" s="144"/>
      <c r="D175" s="2"/>
      <c r="E175" s="2"/>
      <c r="F175" s="2"/>
      <c r="G175" s="2"/>
      <c r="H175" s="2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Z175" s="14"/>
      <c r="BA175" s="14"/>
      <c r="BB175" s="14"/>
    </row>
    <row r="176" ht="15.75" customHeight="1">
      <c r="A176" s="40"/>
      <c r="B176" s="144"/>
      <c r="C176" s="144"/>
      <c r="D176" s="2"/>
      <c r="E176" s="2"/>
      <c r="F176" s="2"/>
      <c r="G176" s="2"/>
      <c r="H176" s="2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Z176" s="14"/>
      <c r="BA176" s="14"/>
      <c r="BB176" s="14"/>
    </row>
    <row r="177" ht="15.75" customHeight="1">
      <c r="A177" s="40"/>
      <c r="B177" s="132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Z177" s="14"/>
      <c r="BA177" s="14"/>
      <c r="BB177" s="14"/>
    </row>
    <row r="178" ht="15.75" customHeight="1">
      <c r="A178" s="40"/>
      <c r="B178" s="132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Z178" s="14"/>
      <c r="BA178" s="14"/>
      <c r="BB178" s="14"/>
    </row>
    <row r="179" ht="15.75" customHeight="1">
      <c r="A179" s="40"/>
      <c r="B179" s="132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Z179" s="14"/>
      <c r="BA179" s="14"/>
      <c r="BB179" s="14"/>
    </row>
    <row r="180" ht="15.75" customHeight="1">
      <c r="A180" s="40"/>
      <c r="B180" s="132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Z180" s="14"/>
      <c r="BA180" s="14"/>
      <c r="BB180" s="14"/>
    </row>
    <row r="181" ht="15.75" customHeight="1">
      <c r="A181" s="40"/>
      <c r="B181" s="132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Z181" s="14"/>
      <c r="BA181" s="14"/>
      <c r="BB181" s="14"/>
    </row>
    <row r="182" ht="15.75" customHeight="1">
      <c r="A182" s="40"/>
      <c r="B182" s="132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Z182" s="14"/>
      <c r="BA182" s="14"/>
      <c r="BB182" s="14"/>
    </row>
    <row r="183" ht="15.75" customHeight="1">
      <c r="A183" s="40"/>
      <c r="B183" s="132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Z183" s="14"/>
      <c r="BA183" s="14"/>
      <c r="BB183" s="14"/>
    </row>
    <row r="184" ht="15.75" customHeight="1">
      <c r="A184" s="40"/>
      <c r="B184" s="145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Z184" s="14"/>
      <c r="BA184" s="14"/>
      <c r="BB184" s="14"/>
    </row>
    <row r="185" ht="15.75" customHeight="1">
      <c r="A185" s="40"/>
      <c r="B185" s="132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Z185" s="14"/>
      <c r="BA185" s="14"/>
      <c r="BB185" s="14"/>
    </row>
    <row r="186" ht="29.25" customHeight="1">
      <c r="A186" s="40"/>
      <c r="B186" s="145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Z186" s="14"/>
      <c r="BA186" s="14"/>
      <c r="BB186" s="14"/>
    </row>
    <row r="187" ht="29.25" customHeight="1">
      <c r="A187" s="40"/>
      <c r="B187" s="66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Z187" s="14"/>
      <c r="BA187" s="14"/>
      <c r="BB187" s="14"/>
    </row>
    <row r="188" ht="30.0" customHeight="1">
      <c r="A188" s="40"/>
      <c r="B188" s="132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Z188" s="14"/>
      <c r="BA188" s="14"/>
      <c r="BB188" s="14"/>
    </row>
    <row r="189" ht="15.75" customHeight="1">
      <c r="A189" s="40"/>
      <c r="B189" s="66"/>
      <c r="C189" s="40"/>
      <c r="D189" s="133"/>
      <c r="E189" s="133"/>
      <c r="F189" s="133"/>
      <c r="G189" s="133"/>
      <c r="H189" s="133"/>
      <c r="I189" s="133"/>
      <c r="J189" s="133"/>
      <c r="K189" s="133"/>
      <c r="L189" s="133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Z189" s="14"/>
      <c r="BA189" s="14"/>
      <c r="BB189" s="14"/>
    </row>
    <row r="190" ht="15.75" customHeight="1">
      <c r="A190" s="13"/>
      <c r="B190" s="14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Z190" s="14"/>
      <c r="BA190" s="14"/>
      <c r="BB190" s="14"/>
    </row>
    <row r="191" ht="15.75" customHeight="1">
      <c r="A191" s="13"/>
      <c r="B191" s="14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Z191" s="14"/>
      <c r="BA191" s="14"/>
      <c r="BB191" s="14"/>
    </row>
    <row r="192" ht="15.75" customHeight="1">
      <c r="B192" s="146"/>
      <c r="F192" s="13"/>
      <c r="K192" s="13"/>
      <c r="P192" s="13"/>
      <c r="Q192" s="13"/>
      <c r="R192" s="13"/>
      <c r="U192" s="13"/>
      <c r="W192" s="13"/>
      <c r="X192" s="13"/>
      <c r="Z192" s="13"/>
      <c r="AB192" s="13"/>
      <c r="AC192" s="13"/>
      <c r="AE192" s="13"/>
      <c r="AF192" s="13"/>
      <c r="AG192" s="13"/>
      <c r="AH192" s="13"/>
      <c r="AZ192" s="14"/>
      <c r="BA192" s="14"/>
      <c r="BB192" s="14"/>
    </row>
    <row r="193" ht="15.75" customHeight="1">
      <c r="B193" s="146"/>
      <c r="F193" s="13"/>
      <c r="K193" s="13"/>
      <c r="P193" s="13"/>
      <c r="Q193" s="13"/>
      <c r="R193" s="13"/>
      <c r="U193" s="13"/>
      <c r="W193" s="13"/>
      <c r="X193" s="13"/>
      <c r="Z193" s="13"/>
      <c r="AB193" s="13"/>
      <c r="AC193" s="13"/>
      <c r="AE193" s="13"/>
      <c r="AF193" s="13"/>
      <c r="AG193" s="13"/>
      <c r="AH193" s="13"/>
      <c r="AZ193" s="14"/>
      <c r="BA193" s="14"/>
      <c r="BB193" s="14"/>
    </row>
    <row r="194" ht="15.75" customHeight="1">
      <c r="B194" s="146"/>
      <c r="F194" s="13"/>
      <c r="K194" s="13"/>
      <c r="P194" s="13"/>
      <c r="Q194" s="13"/>
      <c r="R194" s="13"/>
      <c r="U194" s="13"/>
      <c r="W194" s="13"/>
      <c r="X194" s="13"/>
      <c r="Z194" s="13"/>
      <c r="AB194" s="13"/>
      <c r="AC194" s="13"/>
      <c r="AE194" s="13"/>
      <c r="AF194" s="13"/>
      <c r="AG194" s="13"/>
      <c r="AH194" s="13"/>
      <c r="AZ194" s="14"/>
      <c r="BA194" s="14"/>
      <c r="BB194" s="14"/>
    </row>
    <row r="195" ht="15.75" customHeight="1">
      <c r="B195" s="146"/>
      <c r="F195" s="13"/>
      <c r="K195" s="13"/>
      <c r="P195" s="13"/>
      <c r="Q195" s="13"/>
      <c r="R195" s="13"/>
      <c r="U195" s="13"/>
      <c r="W195" s="13"/>
      <c r="X195" s="13"/>
      <c r="Z195" s="13"/>
      <c r="AB195" s="13"/>
      <c r="AC195" s="13"/>
      <c r="AE195" s="13"/>
      <c r="AF195" s="13"/>
      <c r="AG195" s="13"/>
      <c r="AH195" s="13"/>
      <c r="AZ195" s="14"/>
      <c r="BA195" s="14"/>
      <c r="BB195" s="14"/>
    </row>
    <row r="196" ht="15.75" customHeight="1">
      <c r="B196" s="146"/>
      <c r="F196" s="13"/>
      <c r="K196" s="13"/>
      <c r="P196" s="13"/>
      <c r="Q196" s="13"/>
      <c r="R196" s="13"/>
      <c r="U196" s="13"/>
      <c r="W196" s="13"/>
      <c r="X196" s="13"/>
      <c r="Z196" s="13"/>
      <c r="AB196" s="13"/>
      <c r="AC196" s="13"/>
      <c r="AE196" s="13"/>
      <c r="AF196" s="13"/>
      <c r="AG196" s="13"/>
      <c r="AH196" s="13"/>
      <c r="AZ196" s="14"/>
      <c r="BA196" s="14"/>
      <c r="BB196" s="14"/>
    </row>
    <row r="197" ht="15.75" customHeight="1">
      <c r="B197" s="146"/>
      <c r="F197" s="13"/>
      <c r="K197" s="13"/>
      <c r="P197" s="13"/>
      <c r="Q197" s="13"/>
      <c r="R197" s="13"/>
      <c r="U197" s="13"/>
      <c r="W197" s="13"/>
      <c r="X197" s="13"/>
      <c r="Z197" s="13"/>
      <c r="AB197" s="13"/>
      <c r="AC197" s="13"/>
      <c r="AE197" s="13"/>
      <c r="AF197" s="13"/>
      <c r="AG197" s="13"/>
      <c r="AH197" s="13"/>
      <c r="AZ197" s="14"/>
      <c r="BA197" s="14"/>
      <c r="BB197" s="14"/>
    </row>
    <row r="198" ht="15.75" customHeight="1">
      <c r="B198" s="146"/>
      <c r="F198" s="13"/>
      <c r="K198" s="13"/>
      <c r="P198" s="13"/>
      <c r="Q198" s="13"/>
      <c r="R198" s="13"/>
      <c r="U198" s="13"/>
      <c r="W198" s="13"/>
      <c r="X198" s="13"/>
      <c r="Z198" s="13"/>
      <c r="AB198" s="13"/>
      <c r="AC198" s="13"/>
      <c r="AE198" s="13"/>
      <c r="AF198" s="13"/>
      <c r="AG198" s="13"/>
      <c r="AH198" s="13"/>
      <c r="AZ198" s="14"/>
      <c r="BA198" s="14"/>
      <c r="BB198" s="14"/>
    </row>
    <row r="199" ht="15.75" customHeight="1">
      <c r="B199" s="146"/>
      <c r="F199" s="13"/>
      <c r="K199" s="13"/>
      <c r="P199" s="13"/>
      <c r="Q199" s="13"/>
      <c r="R199" s="13"/>
      <c r="U199" s="13"/>
      <c r="W199" s="13"/>
      <c r="X199" s="13"/>
      <c r="Z199" s="13"/>
      <c r="AB199" s="13"/>
      <c r="AC199" s="13"/>
      <c r="AE199" s="13"/>
      <c r="AF199" s="13"/>
      <c r="AG199" s="13"/>
      <c r="AH199" s="13"/>
      <c r="AZ199" s="14"/>
      <c r="BA199" s="14"/>
      <c r="BB199" s="14"/>
    </row>
    <row r="200" ht="15.75" customHeight="1">
      <c r="B200" s="146"/>
      <c r="F200" s="13"/>
      <c r="K200" s="13"/>
      <c r="P200" s="13"/>
      <c r="Q200" s="13"/>
      <c r="R200" s="13"/>
      <c r="U200" s="13"/>
      <c r="W200" s="13"/>
      <c r="X200" s="13"/>
      <c r="Z200" s="13"/>
      <c r="AB200" s="13"/>
      <c r="AC200" s="13"/>
      <c r="AE200" s="13"/>
      <c r="AF200" s="13"/>
      <c r="AG200" s="13"/>
      <c r="AH200" s="13"/>
      <c r="AZ200" s="14"/>
      <c r="BA200" s="14"/>
      <c r="BB200" s="14"/>
    </row>
    <row r="201" ht="15.75" customHeight="1">
      <c r="B201" s="146"/>
      <c r="F201" s="13"/>
      <c r="K201" s="13"/>
      <c r="P201" s="13"/>
      <c r="Q201" s="13"/>
      <c r="R201" s="13"/>
      <c r="U201" s="13"/>
      <c r="W201" s="13"/>
      <c r="X201" s="13"/>
      <c r="Z201" s="13"/>
      <c r="AB201" s="13"/>
      <c r="AC201" s="13"/>
      <c r="AE201" s="13"/>
      <c r="AF201" s="13"/>
      <c r="AG201" s="13"/>
      <c r="AH201" s="13"/>
      <c r="AZ201" s="14"/>
      <c r="BA201" s="14"/>
      <c r="BB201" s="14"/>
    </row>
    <row r="202" ht="15.75" customHeight="1">
      <c r="B202" s="146"/>
      <c r="F202" s="13"/>
      <c r="K202" s="13"/>
      <c r="P202" s="13"/>
      <c r="Q202" s="13"/>
      <c r="R202" s="13"/>
      <c r="U202" s="13"/>
      <c r="W202" s="13"/>
      <c r="X202" s="13"/>
      <c r="Z202" s="13"/>
      <c r="AB202" s="13"/>
      <c r="AC202" s="13"/>
      <c r="AE202" s="13"/>
      <c r="AF202" s="13"/>
      <c r="AG202" s="13"/>
      <c r="AH202" s="13"/>
      <c r="AZ202" s="14"/>
      <c r="BA202" s="14"/>
      <c r="BB202" s="14"/>
    </row>
    <row r="203" ht="15.75" customHeight="1">
      <c r="B203" s="146"/>
      <c r="F203" s="13"/>
      <c r="K203" s="13"/>
      <c r="P203" s="13"/>
      <c r="Q203" s="13"/>
      <c r="R203" s="13"/>
      <c r="U203" s="13"/>
      <c r="W203" s="13"/>
      <c r="X203" s="13"/>
      <c r="Z203" s="13"/>
      <c r="AB203" s="13"/>
      <c r="AC203" s="13"/>
      <c r="AE203" s="13"/>
      <c r="AF203" s="13"/>
      <c r="AG203" s="13"/>
      <c r="AH203" s="13"/>
      <c r="AZ203" s="14"/>
      <c r="BA203" s="14"/>
      <c r="BB203" s="14"/>
    </row>
    <row r="204" ht="15.75" customHeight="1">
      <c r="B204" s="146"/>
      <c r="F204" s="13"/>
      <c r="K204" s="13"/>
      <c r="P204" s="13"/>
      <c r="Q204" s="13"/>
      <c r="R204" s="13"/>
      <c r="U204" s="13"/>
      <c r="W204" s="13"/>
      <c r="X204" s="13"/>
      <c r="Z204" s="13"/>
      <c r="AB204" s="13"/>
      <c r="AC204" s="13"/>
      <c r="AE204" s="13"/>
      <c r="AF204" s="13"/>
      <c r="AG204" s="13"/>
      <c r="AH204" s="13"/>
      <c r="AZ204" s="14"/>
      <c r="BA204" s="14"/>
      <c r="BB204" s="14"/>
    </row>
    <row r="205" ht="15.75" customHeight="1">
      <c r="B205" s="146"/>
      <c r="F205" s="13"/>
      <c r="K205" s="13"/>
      <c r="P205" s="13"/>
      <c r="Q205" s="13"/>
      <c r="R205" s="13"/>
      <c r="U205" s="13"/>
      <c r="W205" s="13"/>
      <c r="X205" s="13"/>
      <c r="Z205" s="13"/>
      <c r="AB205" s="13"/>
      <c r="AC205" s="13"/>
      <c r="AE205" s="13"/>
      <c r="AF205" s="13"/>
      <c r="AG205" s="13"/>
      <c r="AH205" s="13"/>
      <c r="AZ205" s="14"/>
      <c r="BA205" s="14"/>
      <c r="BB205" s="14"/>
    </row>
    <row r="206" ht="15.75" customHeight="1">
      <c r="B206" s="146"/>
      <c r="F206" s="13"/>
      <c r="K206" s="13"/>
      <c r="P206" s="13"/>
      <c r="Q206" s="13"/>
      <c r="R206" s="13"/>
      <c r="U206" s="13"/>
      <c r="W206" s="13"/>
      <c r="X206" s="13"/>
      <c r="Z206" s="13"/>
      <c r="AB206" s="13"/>
      <c r="AC206" s="13"/>
      <c r="AE206" s="13"/>
      <c r="AF206" s="13"/>
      <c r="AG206" s="13"/>
      <c r="AH206" s="13"/>
      <c r="AZ206" s="14"/>
      <c r="BA206" s="14"/>
      <c r="BB206" s="14"/>
    </row>
    <row r="207" ht="15.75" customHeight="1">
      <c r="B207" s="146"/>
      <c r="F207" s="13"/>
      <c r="K207" s="13"/>
      <c r="P207" s="13"/>
      <c r="Q207" s="13"/>
      <c r="R207" s="13"/>
      <c r="U207" s="13"/>
      <c r="W207" s="13"/>
      <c r="X207" s="13"/>
      <c r="Z207" s="13"/>
      <c r="AB207" s="13"/>
      <c r="AC207" s="13"/>
      <c r="AE207" s="13"/>
      <c r="AF207" s="13"/>
      <c r="AG207" s="13"/>
      <c r="AH207" s="13"/>
      <c r="AZ207" s="14"/>
      <c r="BA207" s="14"/>
      <c r="BB207" s="14"/>
    </row>
    <row r="208" ht="15.75" customHeight="1">
      <c r="B208" s="146"/>
      <c r="F208" s="13"/>
      <c r="K208" s="13"/>
      <c r="P208" s="13"/>
      <c r="Q208" s="13"/>
      <c r="R208" s="13"/>
      <c r="U208" s="13"/>
      <c r="W208" s="13"/>
      <c r="X208" s="13"/>
      <c r="Z208" s="13"/>
      <c r="AB208" s="13"/>
      <c r="AC208" s="13"/>
      <c r="AE208" s="13"/>
      <c r="AF208" s="13"/>
      <c r="AG208" s="13"/>
      <c r="AH208" s="13"/>
      <c r="AZ208" s="14"/>
      <c r="BA208" s="14"/>
      <c r="BB208" s="14"/>
    </row>
    <row r="209" ht="15.75" customHeight="1">
      <c r="B209" s="146"/>
      <c r="F209" s="13"/>
      <c r="K209" s="13"/>
      <c r="P209" s="13"/>
      <c r="Q209" s="13"/>
      <c r="R209" s="13"/>
      <c r="U209" s="13"/>
      <c r="W209" s="13"/>
      <c r="X209" s="13"/>
      <c r="Z209" s="13"/>
      <c r="AB209" s="13"/>
      <c r="AC209" s="13"/>
      <c r="AE209" s="13"/>
      <c r="AF209" s="13"/>
      <c r="AG209" s="13"/>
      <c r="AH209" s="13"/>
      <c r="AZ209" s="14"/>
      <c r="BA209" s="14"/>
      <c r="BB209" s="14"/>
    </row>
    <row r="210" ht="15.75" customHeight="1">
      <c r="B210" s="146"/>
      <c r="F210" s="13"/>
      <c r="K210" s="13"/>
      <c r="P210" s="13"/>
      <c r="Q210" s="13"/>
      <c r="R210" s="13"/>
      <c r="U210" s="13"/>
      <c r="W210" s="13"/>
      <c r="X210" s="13"/>
      <c r="Z210" s="13"/>
      <c r="AB210" s="13"/>
      <c r="AC210" s="13"/>
      <c r="AE210" s="13"/>
      <c r="AF210" s="13"/>
      <c r="AG210" s="13"/>
      <c r="AH210" s="13"/>
      <c r="AZ210" s="14"/>
      <c r="BA210" s="14"/>
      <c r="BB210" s="14"/>
    </row>
    <row r="211" ht="15.75" customHeight="1">
      <c r="B211" s="146"/>
      <c r="F211" s="13"/>
      <c r="K211" s="13"/>
      <c r="P211" s="13"/>
      <c r="Q211" s="13"/>
      <c r="R211" s="13"/>
      <c r="U211" s="13"/>
      <c r="W211" s="13"/>
      <c r="X211" s="13"/>
      <c r="Z211" s="13"/>
      <c r="AB211" s="13"/>
      <c r="AC211" s="13"/>
      <c r="AE211" s="13"/>
      <c r="AF211" s="13"/>
      <c r="AG211" s="13"/>
      <c r="AH211" s="13"/>
      <c r="AZ211" s="14"/>
      <c r="BA211" s="14"/>
      <c r="BB211" s="14"/>
    </row>
    <row r="212" ht="15.75" customHeight="1">
      <c r="B212" s="146"/>
      <c r="F212" s="13"/>
      <c r="K212" s="13"/>
      <c r="P212" s="13"/>
      <c r="Q212" s="13"/>
      <c r="R212" s="13"/>
      <c r="U212" s="13"/>
      <c r="W212" s="13"/>
      <c r="X212" s="13"/>
      <c r="Z212" s="13"/>
      <c r="AB212" s="13"/>
      <c r="AC212" s="13"/>
      <c r="AE212" s="13"/>
      <c r="AF212" s="13"/>
      <c r="AG212" s="13"/>
      <c r="AH212" s="13"/>
      <c r="AZ212" s="14"/>
      <c r="BA212" s="14"/>
      <c r="BB212" s="14"/>
    </row>
    <row r="213" ht="15.75" customHeight="1">
      <c r="B213" s="146"/>
      <c r="F213" s="13"/>
      <c r="K213" s="13"/>
      <c r="P213" s="13"/>
      <c r="Q213" s="13"/>
      <c r="R213" s="13"/>
      <c r="U213" s="13"/>
      <c r="W213" s="13"/>
      <c r="X213" s="13"/>
      <c r="Z213" s="13"/>
      <c r="AB213" s="13"/>
      <c r="AC213" s="13"/>
      <c r="AE213" s="13"/>
      <c r="AF213" s="13"/>
      <c r="AG213" s="13"/>
      <c r="AH213" s="13"/>
      <c r="AZ213" s="14"/>
      <c r="BA213" s="14"/>
      <c r="BB213" s="14"/>
    </row>
    <row r="214" ht="15.75" customHeight="1">
      <c r="B214" s="146"/>
      <c r="F214" s="13"/>
      <c r="K214" s="13"/>
      <c r="P214" s="13"/>
      <c r="Q214" s="13"/>
      <c r="R214" s="13"/>
      <c r="U214" s="13"/>
      <c r="W214" s="13"/>
      <c r="X214" s="13"/>
      <c r="Z214" s="13"/>
      <c r="AB214" s="13"/>
      <c r="AC214" s="13"/>
      <c r="AE214" s="13"/>
      <c r="AF214" s="13"/>
      <c r="AG214" s="13"/>
      <c r="AH214" s="13"/>
      <c r="AZ214" s="14"/>
      <c r="BA214" s="14"/>
      <c r="BB214" s="14"/>
    </row>
    <row r="215" ht="15.75" customHeight="1">
      <c r="B215" s="146"/>
      <c r="F215" s="13"/>
      <c r="K215" s="13"/>
      <c r="P215" s="13"/>
      <c r="Q215" s="13"/>
      <c r="R215" s="13"/>
      <c r="U215" s="13"/>
      <c r="W215" s="13"/>
      <c r="X215" s="13"/>
      <c r="Z215" s="13"/>
      <c r="AB215" s="13"/>
      <c r="AC215" s="13"/>
      <c r="AE215" s="13"/>
      <c r="AF215" s="13"/>
      <c r="AG215" s="13"/>
      <c r="AH215" s="13"/>
      <c r="AZ215" s="14"/>
      <c r="BA215" s="14"/>
      <c r="BB215" s="14"/>
    </row>
    <row r="216" ht="15.75" customHeight="1">
      <c r="B216" s="146"/>
      <c r="F216" s="13"/>
      <c r="K216" s="13"/>
      <c r="P216" s="13"/>
      <c r="Q216" s="13"/>
      <c r="R216" s="13"/>
      <c r="U216" s="13"/>
      <c r="W216" s="13"/>
      <c r="X216" s="13"/>
      <c r="Z216" s="13"/>
      <c r="AB216" s="13"/>
      <c r="AC216" s="13"/>
      <c r="AE216" s="13"/>
      <c r="AF216" s="13"/>
      <c r="AG216" s="13"/>
      <c r="AH216" s="13"/>
      <c r="AZ216" s="14"/>
      <c r="BA216" s="14"/>
      <c r="BB216" s="14"/>
    </row>
    <row r="217" ht="15.75" customHeight="1">
      <c r="B217" s="146"/>
      <c r="F217" s="13"/>
      <c r="K217" s="13"/>
      <c r="P217" s="13"/>
      <c r="Q217" s="13"/>
      <c r="R217" s="13"/>
      <c r="U217" s="13"/>
      <c r="W217" s="13"/>
      <c r="X217" s="13"/>
      <c r="Z217" s="13"/>
      <c r="AB217" s="13"/>
      <c r="AC217" s="13"/>
      <c r="AE217" s="13"/>
      <c r="AF217" s="13"/>
      <c r="AG217" s="13"/>
      <c r="AH217" s="13"/>
      <c r="AZ217" s="14"/>
      <c r="BA217" s="14"/>
      <c r="BB217" s="14"/>
    </row>
    <row r="218" ht="15.75" customHeight="1">
      <c r="B218" s="146"/>
      <c r="F218" s="13"/>
      <c r="K218" s="13"/>
      <c r="P218" s="13"/>
      <c r="Q218" s="13"/>
      <c r="R218" s="13"/>
      <c r="U218" s="13"/>
      <c r="W218" s="13"/>
      <c r="X218" s="13"/>
      <c r="Z218" s="13"/>
      <c r="AB218" s="13"/>
      <c r="AC218" s="13"/>
      <c r="AE218" s="13"/>
      <c r="AF218" s="13"/>
      <c r="AG218" s="13"/>
      <c r="AH218" s="13"/>
      <c r="AZ218" s="14"/>
      <c r="BA218" s="14"/>
      <c r="BB218" s="14"/>
    </row>
    <row r="219" ht="15.75" customHeight="1">
      <c r="B219" s="146"/>
      <c r="F219" s="13"/>
      <c r="K219" s="13"/>
      <c r="P219" s="13"/>
      <c r="Q219" s="13"/>
      <c r="R219" s="13"/>
      <c r="U219" s="13"/>
      <c r="W219" s="13"/>
      <c r="X219" s="13"/>
      <c r="Z219" s="13"/>
      <c r="AB219" s="13"/>
      <c r="AC219" s="13"/>
      <c r="AE219" s="13"/>
      <c r="AF219" s="13"/>
      <c r="AG219" s="13"/>
      <c r="AH219" s="13"/>
      <c r="AZ219" s="14"/>
      <c r="BA219" s="14"/>
      <c r="BB219" s="14"/>
    </row>
    <row r="220" ht="15.75" customHeight="1">
      <c r="B220" s="146"/>
      <c r="F220" s="13"/>
      <c r="K220" s="13"/>
      <c r="P220" s="13"/>
      <c r="Q220" s="13"/>
      <c r="R220" s="13"/>
      <c r="U220" s="13"/>
      <c r="W220" s="13"/>
      <c r="X220" s="13"/>
      <c r="Z220" s="13"/>
      <c r="AB220" s="13"/>
      <c r="AC220" s="13"/>
      <c r="AE220" s="13"/>
      <c r="AF220" s="13"/>
      <c r="AG220" s="13"/>
      <c r="AH220" s="13"/>
      <c r="AZ220" s="14"/>
      <c r="BA220" s="14"/>
      <c r="BB220" s="14"/>
    </row>
    <row r="221" ht="15.75" customHeight="1">
      <c r="B221" s="146"/>
      <c r="F221" s="13"/>
      <c r="K221" s="13"/>
      <c r="P221" s="13"/>
      <c r="Q221" s="13"/>
      <c r="R221" s="13"/>
      <c r="U221" s="13"/>
      <c r="W221" s="13"/>
      <c r="X221" s="13"/>
      <c r="Z221" s="13"/>
      <c r="AB221" s="13"/>
      <c r="AC221" s="13"/>
      <c r="AE221" s="13"/>
      <c r="AF221" s="13"/>
      <c r="AG221" s="13"/>
      <c r="AH221" s="13"/>
      <c r="AZ221" s="14"/>
      <c r="BA221" s="14"/>
      <c r="BB221" s="14"/>
    </row>
    <row r="222" ht="15.75" customHeight="1">
      <c r="B222" s="146"/>
      <c r="F222" s="13"/>
      <c r="K222" s="13"/>
      <c r="P222" s="13"/>
      <c r="Q222" s="13"/>
      <c r="R222" s="13"/>
      <c r="U222" s="13"/>
      <c r="W222" s="13"/>
      <c r="X222" s="13"/>
      <c r="Z222" s="13"/>
      <c r="AB222" s="13"/>
      <c r="AC222" s="13"/>
      <c r="AE222" s="13"/>
      <c r="AF222" s="13"/>
      <c r="AG222" s="13"/>
      <c r="AH222" s="13"/>
      <c r="AZ222" s="14"/>
      <c r="BA222" s="14"/>
      <c r="BB222" s="14"/>
    </row>
    <row r="223" ht="15.75" customHeight="1">
      <c r="B223" s="146"/>
      <c r="F223" s="13"/>
      <c r="K223" s="13"/>
      <c r="P223" s="13"/>
      <c r="Q223" s="13"/>
      <c r="R223" s="13"/>
      <c r="U223" s="13"/>
      <c r="W223" s="13"/>
      <c r="X223" s="13"/>
      <c r="Z223" s="13"/>
      <c r="AB223" s="13"/>
      <c r="AC223" s="13"/>
      <c r="AE223" s="13"/>
      <c r="AF223" s="13"/>
      <c r="AG223" s="13"/>
      <c r="AH223" s="13"/>
      <c r="AZ223" s="14"/>
      <c r="BA223" s="14"/>
      <c r="BB223" s="14"/>
    </row>
    <row r="224" ht="15.75" customHeight="1">
      <c r="B224" s="146"/>
      <c r="F224" s="13"/>
      <c r="K224" s="13"/>
      <c r="P224" s="13"/>
      <c r="Q224" s="13"/>
      <c r="R224" s="13"/>
      <c r="U224" s="13"/>
      <c r="W224" s="13"/>
      <c r="X224" s="13"/>
      <c r="Z224" s="13"/>
      <c r="AB224" s="13"/>
      <c r="AC224" s="13"/>
      <c r="AE224" s="13"/>
      <c r="AF224" s="13"/>
      <c r="AG224" s="13"/>
      <c r="AH224" s="13"/>
      <c r="AZ224" s="14"/>
      <c r="BA224" s="14"/>
      <c r="BB224" s="14"/>
    </row>
    <row r="225" ht="15.75" customHeight="1">
      <c r="B225" s="146"/>
      <c r="F225" s="13"/>
      <c r="K225" s="13"/>
      <c r="P225" s="13"/>
      <c r="Q225" s="13"/>
      <c r="R225" s="13"/>
      <c r="U225" s="13"/>
      <c r="W225" s="13"/>
      <c r="X225" s="13"/>
      <c r="Z225" s="13"/>
      <c r="AB225" s="13"/>
      <c r="AC225" s="13"/>
      <c r="AE225" s="13"/>
      <c r="AF225" s="13"/>
      <c r="AG225" s="13"/>
      <c r="AH225" s="13"/>
      <c r="AZ225" s="14"/>
      <c r="BA225" s="14"/>
      <c r="BB225" s="14"/>
    </row>
    <row r="226" ht="15.75" customHeight="1">
      <c r="B226" s="146"/>
      <c r="F226" s="13"/>
      <c r="K226" s="13"/>
      <c r="P226" s="13"/>
      <c r="Q226" s="13"/>
      <c r="R226" s="13"/>
      <c r="U226" s="13"/>
      <c r="W226" s="13"/>
      <c r="X226" s="13"/>
      <c r="Z226" s="13"/>
      <c r="AB226" s="13"/>
      <c r="AC226" s="13"/>
      <c r="AE226" s="13"/>
      <c r="AF226" s="13"/>
      <c r="AG226" s="13"/>
      <c r="AH226" s="13"/>
      <c r="AZ226" s="14"/>
      <c r="BA226" s="14"/>
      <c r="BB226" s="14"/>
    </row>
    <row r="227" ht="15.75" customHeight="1">
      <c r="B227" s="146"/>
      <c r="F227" s="13"/>
      <c r="K227" s="13"/>
      <c r="P227" s="13"/>
      <c r="Q227" s="13"/>
      <c r="R227" s="13"/>
      <c r="U227" s="13"/>
      <c r="W227" s="13"/>
      <c r="X227" s="13"/>
      <c r="Z227" s="13"/>
      <c r="AB227" s="13"/>
      <c r="AC227" s="13"/>
      <c r="AE227" s="13"/>
      <c r="AF227" s="13"/>
      <c r="AG227" s="13"/>
      <c r="AH227" s="13"/>
      <c r="AZ227" s="14"/>
      <c r="BA227" s="14"/>
      <c r="BB227" s="14"/>
    </row>
    <row r="228" ht="15.75" customHeight="1">
      <c r="B228" s="146"/>
      <c r="F228" s="13"/>
      <c r="K228" s="13"/>
      <c r="P228" s="13"/>
      <c r="Q228" s="13"/>
      <c r="R228" s="13"/>
      <c r="U228" s="13"/>
      <c r="W228" s="13"/>
      <c r="X228" s="13"/>
      <c r="Z228" s="13"/>
      <c r="AB228" s="13"/>
      <c r="AC228" s="13"/>
      <c r="AE228" s="13"/>
      <c r="AF228" s="13"/>
      <c r="AG228" s="13"/>
      <c r="AH228" s="13"/>
      <c r="AZ228" s="14"/>
      <c r="BA228" s="14"/>
      <c r="BB228" s="14"/>
    </row>
    <row r="229" ht="15.75" customHeight="1">
      <c r="B229" s="146"/>
      <c r="F229" s="13"/>
      <c r="K229" s="13"/>
      <c r="P229" s="13"/>
      <c r="Q229" s="13"/>
      <c r="R229" s="13"/>
      <c r="U229" s="13"/>
      <c r="W229" s="13"/>
      <c r="X229" s="13"/>
      <c r="Z229" s="13"/>
      <c r="AB229" s="13"/>
      <c r="AC229" s="13"/>
      <c r="AE229" s="13"/>
      <c r="AF229" s="13"/>
      <c r="AG229" s="13"/>
      <c r="AH229" s="13"/>
      <c r="AZ229" s="14"/>
      <c r="BA229" s="14"/>
      <c r="BB229" s="14"/>
    </row>
    <row r="230" ht="15.75" customHeight="1">
      <c r="B230" s="146"/>
      <c r="F230" s="13"/>
      <c r="K230" s="13"/>
      <c r="P230" s="13"/>
      <c r="Q230" s="13"/>
      <c r="R230" s="13"/>
      <c r="U230" s="13"/>
      <c r="W230" s="13"/>
      <c r="X230" s="13"/>
      <c r="Z230" s="13"/>
      <c r="AB230" s="13"/>
      <c r="AC230" s="13"/>
      <c r="AE230" s="13"/>
      <c r="AF230" s="13"/>
      <c r="AG230" s="13"/>
      <c r="AH230" s="13"/>
      <c r="AZ230" s="14"/>
      <c r="BA230" s="14"/>
      <c r="BB230" s="14"/>
    </row>
    <row r="231" ht="15.75" customHeight="1">
      <c r="B231" s="146"/>
      <c r="F231" s="13"/>
      <c r="K231" s="13"/>
      <c r="P231" s="13"/>
      <c r="Q231" s="13"/>
      <c r="R231" s="13"/>
      <c r="U231" s="13"/>
      <c r="W231" s="13"/>
      <c r="X231" s="13"/>
      <c r="Z231" s="13"/>
      <c r="AB231" s="13"/>
      <c r="AC231" s="13"/>
      <c r="AE231" s="13"/>
      <c r="AF231" s="13"/>
      <c r="AG231" s="13"/>
      <c r="AH231" s="13"/>
      <c r="AZ231" s="14"/>
      <c r="BA231" s="14"/>
      <c r="BB231" s="14"/>
    </row>
    <row r="232" ht="15.75" customHeight="1">
      <c r="B232" s="146"/>
      <c r="F232" s="13"/>
      <c r="K232" s="13"/>
      <c r="P232" s="13"/>
      <c r="Q232" s="13"/>
      <c r="R232" s="13"/>
      <c r="U232" s="13"/>
      <c r="W232" s="13"/>
      <c r="X232" s="13"/>
      <c r="Z232" s="13"/>
      <c r="AB232" s="13"/>
      <c r="AC232" s="13"/>
      <c r="AE232" s="13"/>
      <c r="AF232" s="13"/>
      <c r="AG232" s="13"/>
      <c r="AH232" s="13"/>
      <c r="AZ232" s="14"/>
      <c r="BA232" s="14"/>
      <c r="BB232" s="14"/>
    </row>
    <row r="233" ht="15.75" customHeight="1">
      <c r="B233" s="146"/>
      <c r="F233" s="13"/>
      <c r="K233" s="13"/>
      <c r="P233" s="13"/>
      <c r="Q233" s="13"/>
      <c r="R233" s="13"/>
      <c r="U233" s="13"/>
      <c r="W233" s="13"/>
      <c r="X233" s="13"/>
      <c r="Z233" s="13"/>
      <c r="AB233" s="13"/>
      <c r="AC233" s="13"/>
      <c r="AE233" s="13"/>
      <c r="AF233" s="13"/>
      <c r="AG233" s="13"/>
      <c r="AH233" s="13"/>
      <c r="AZ233" s="14"/>
      <c r="BA233" s="14"/>
      <c r="BB233" s="14"/>
    </row>
    <row r="234" ht="15.75" customHeight="1">
      <c r="B234" s="146"/>
      <c r="F234" s="13"/>
      <c r="K234" s="13"/>
      <c r="P234" s="13"/>
      <c r="Q234" s="13"/>
      <c r="R234" s="13"/>
      <c r="U234" s="13"/>
      <c r="W234" s="13"/>
      <c r="X234" s="13"/>
      <c r="Z234" s="13"/>
      <c r="AB234" s="13"/>
      <c r="AC234" s="13"/>
      <c r="AE234" s="13"/>
      <c r="AF234" s="13"/>
      <c r="AG234" s="13"/>
      <c r="AH234" s="13"/>
      <c r="AZ234" s="14"/>
      <c r="BA234" s="14"/>
      <c r="BB234" s="14"/>
    </row>
    <row r="235" ht="15.75" customHeight="1">
      <c r="B235" s="146"/>
      <c r="F235" s="13"/>
      <c r="K235" s="13"/>
      <c r="P235" s="13"/>
      <c r="Q235" s="13"/>
      <c r="R235" s="13"/>
      <c r="U235" s="13"/>
      <c r="W235" s="13"/>
      <c r="X235" s="13"/>
      <c r="Z235" s="13"/>
      <c r="AB235" s="13"/>
      <c r="AC235" s="13"/>
      <c r="AE235" s="13"/>
      <c r="AF235" s="13"/>
      <c r="AG235" s="13"/>
      <c r="AH235" s="13"/>
      <c r="AZ235" s="14"/>
      <c r="BA235" s="14"/>
      <c r="BB235" s="14"/>
    </row>
    <row r="236" ht="15.75" customHeight="1">
      <c r="B236" s="146"/>
      <c r="F236" s="13"/>
      <c r="K236" s="13"/>
      <c r="P236" s="13"/>
      <c r="Q236" s="13"/>
      <c r="R236" s="13"/>
      <c r="U236" s="13"/>
      <c r="W236" s="13"/>
      <c r="X236" s="13"/>
      <c r="Z236" s="13"/>
      <c r="AB236" s="13"/>
      <c r="AC236" s="13"/>
      <c r="AE236" s="13"/>
      <c r="AF236" s="13"/>
      <c r="AG236" s="13"/>
      <c r="AH236" s="13"/>
      <c r="AZ236" s="14"/>
      <c r="BA236" s="14"/>
      <c r="BB236" s="14"/>
    </row>
    <row r="237" ht="15.75" customHeight="1">
      <c r="B237" s="146"/>
      <c r="F237" s="13"/>
      <c r="K237" s="13"/>
      <c r="P237" s="13"/>
      <c r="Q237" s="13"/>
      <c r="R237" s="13"/>
      <c r="U237" s="13"/>
      <c r="W237" s="13"/>
      <c r="X237" s="13"/>
      <c r="Z237" s="13"/>
      <c r="AB237" s="13"/>
      <c r="AC237" s="13"/>
      <c r="AE237" s="13"/>
      <c r="AF237" s="13"/>
      <c r="AG237" s="13"/>
      <c r="AH237" s="13"/>
      <c r="AZ237" s="14"/>
      <c r="BA237" s="14"/>
      <c r="BB237" s="14"/>
    </row>
    <row r="238" ht="15.75" customHeight="1">
      <c r="B238" s="146"/>
      <c r="F238" s="13"/>
      <c r="K238" s="13"/>
      <c r="P238" s="13"/>
      <c r="Q238" s="13"/>
      <c r="R238" s="13"/>
      <c r="U238" s="13"/>
      <c r="W238" s="13"/>
      <c r="X238" s="13"/>
      <c r="Z238" s="13"/>
      <c r="AB238" s="13"/>
      <c r="AC238" s="13"/>
      <c r="AE238" s="13"/>
      <c r="AF238" s="13"/>
      <c r="AG238" s="13"/>
      <c r="AH238" s="13"/>
      <c r="AZ238" s="14"/>
      <c r="BA238" s="14"/>
      <c r="BB238" s="14"/>
    </row>
    <row r="239" ht="15.75" customHeight="1">
      <c r="B239" s="146"/>
      <c r="F239" s="13"/>
      <c r="K239" s="13"/>
      <c r="P239" s="13"/>
      <c r="Q239" s="13"/>
      <c r="R239" s="13"/>
      <c r="U239" s="13"/>
      <c r="W239" s="13"/>
      <c r="X239" s="13"/>
      <c r="Z239" s="13"/>
      <c r="AB239" s="13"/>
      <c r="AC239" s="13"/>
      <c r="AE239" s="13"/>
      <c r="AF239" s="13"/>
      <c r="AG239" s="13"/>
      <c r="AH239" s="13"/>
      <c r="AZ239" s="14"/>
      <c r="BA239" s="14"/>
      <c r="BB239" s="14"/>
    </row>
    <row r="240" ht="15.75" customHeight="1">
      <c r="B240" s="146"/>
      <c r="F240" s="13"/>
      <c r="K240" s="13"/>
      <c r="P240" s="13"/>
      <c r="Q240" s="13"/>
      <c r="R240" s="13"/>
      <c r="U240" s="13"/>
      <c r="W240" s="13"/>
      <c r="X240" s="13"/>
      <c r="Z240" s="13"/>
      <c r="AB240" s="13"/>
      <c r="AC240" s="13"/>
      <c r="AE240" s="13"/>
      <c r="AF240" s="13"/>
      <c r="AG240" s="13"/>
      <c r="AH240" s="13"/>
      <c r="AZ240" s="14"/>
      <c r="BA240" s="14"/>
      <c r="BB240" s="14"/>
    </row>
    <row r="241" ht="15.75" customHeight="1">
      <c r="B241" s="146"/>
      <c r="F241" s="13"/>
      <c r="K241" s="13"/>
      <c r="P241" s="13"/>
      <c r="Q241" s="13"/>
      <c r="R241" s="13"/>
      <c r="U241" s="13"/>
      <c r="W241" s="13"/>
      <c r="X241" s="13"/>
      <c r="Z241" s="13"/>
      <c r="AB241" s="13"/>
      <c r="AC241" s="13"/>
      <c r="AE241" s="13"/>
      <c r="AF241" s="13"/>
      <c r="AG241" s="13"/>
      <c r="AH241" s="13"/>
      <c r="AZ241" s="14"/>
      <c r="BA241" s="14"/>
      <c r="BB241" s="14"/>
    </row>
    <row r="242" ht="15.75" customHeight="1">
      <c r="B242" s="146"/>
      <c r="F242" s="13"/>
      <c r="K242" s="13"/>
      <c r="P242" s="13"/>
      <c r="Q242" s="13"/>
      <c r="R242" s="13"/>
      <c r="U242" s="13"/>
      <c r="W242" s="13"/>
      <c r="X242" s="13"/>
      <c r="Z242" s="13"/>
      <c r="AB242" s="13"/>
      <c r="AC242" s="13"/>
      <c r="AE242" s="13"/>
      <c r="AF242" s="13"/>
      <c r="AG242" s="13"/>
      <c r="AH242" s="13"/>
      <c r="AZ242" s="14"/>
      <c r="BA242" s="14"/>
      <c r="BB242" s="14"/>
    </row>
    <row r="243" ht="15.75" customHeight="1">
      <c r="B243" s="146"/>
      <c r="F243" s="13"/>
      <c r="K243" s="13"/>
      <c r="P243" s="13"/>
      <c r="Q243" s="13"/>
      <c r="R243" s="13"/>
      <c r="U243" s="13"/>
      <c r="W243" s="13"/>
      <c r="X243" s="13"/>
      <c r="Z243" s="13"/>
      <c r="AB243" s="13"/>
      <c r="AC243" s="13"/>
      <c r="AE243" s="13"/>
      <c r="AF243" s="13"/>
      <c r="AG243" s="13"/>
      <c r="AH243" s="13"/>
      <c r="AZ243" s="14"/>
      <c r="BA243" s="14"/>
      <c r="BB243" s="14"/>
    </row>
    <row r="244" ht="15.75" customHeight="1">
      <c r="B244" s="146"/>
      <c r="F244" s="13"/>
      <c r="K244" s="13"/>
      <c r="P244" s="13"/>
      <c r="Q244" s="13"/>
      <c r="R244" s="13"/>
      <c r="U244" s="13"/>
      <c r="W244" s="13"/>
      <c r="X244" s="13"/>
      <c r="Z244" s="13"/>
      <c r="AB244" s="13"/>
      <c r="AC244" s="13"/>
      <c r="AE244" s="13"/>
      <c r="AF244" s="13"/>
      <c r="AG244" s="13"/>
      <c r="AH244" s="13"/>
      <c r="AZ244" s="14"/>
      <c r="BA244" s="14"/>
      <c r="BB244" s="14"/>
    </row>
    <row r="245" ht="15.75" customHeight="1">
      <c r="B245" s="146"/>
      <c r="F245" s="13"/>
      <c r="K245" s="13"/>
      <c r="P245" s="13"/>
      <c r="Q245" s="13"/>
      <c r="R245" s="13"/>
      <c r="U245" s="13"/>
      <c r="W245" s="13"/>
      <c r="X245" s="13"/>
      <c r="Z245" s="13"/>
      <c r="AB245" s="13"/>
      <c r="AC245" s="13"/>
      <c r="AE245" s="13"/>
      <c r="AF245" s="13"/>
      <c r="AG245" s="13"/>
      <c r="AH245" s="13"/>
      <c r="AZ245" s="14"/>
      <c r="BA245" s="14"/>
      <c r="BB245" s="14"/>
    </row>
    <row r="246" ht="15.75" customHeight="1">
      <c r="B246" s="146"/>
      <c r="F246" s="13"/>
      <c r="K246" s="13"/>
      <c r="P246" s="13"/>
      <c r="Q246" s="13"/>
      <c r="R246" s="13"/>
      <c r="U246" s="13"/>
      <c r="W246" s="13"/>
      <c r="X246" s="13"/>
      <c r="Z246" s="13"/>
      <c r="AB246" s="13"/>
      <c r="AC246" s="13"/>
      <c r="AE246" s="13"/>
      <c r="AF246" s="13"/>
      <c r="AG246" s="13"/>
      <c r="AH246" s="13"/>
      <c r="AZ246" s="14"/>
      <c r="BA246" s="14"/>
      <c r="BB246" s="14"/>
    </row>
    <row r="247" ht="15.75" customHeight="1">
      <c r="B247" s="146"/>
      <c r="F247" s="13"/>
      <c r="K247" s="13"/>
      <c r="P247" s="13"/>
      <c r="Q247" s="13"/>
      <c r="R247" s="13"/>
      <c r="U247" s="13"/>
      <c r="W247" s="13"/>
      <c r="X247" s="13"/>
      <c r="Z247" s="13"/>
      <c r="AB247" s="13"/>
      <c r="AC247" s="13"/>
      <c r="AE247" s="13"/>
      <c r="AF247" s="13"/>
      <c r="AG247" s="13"/>
      <c r="AH247" s="13"/>
      <c r="AZ247" s="14"/>
      <c r="BA247" s="14"/>
      <c r="BB247" s="14"/>
    </row>
    <row r="248" ht="15.75" customHeight="1">
      <c r="B248" s="146"/>
      <c r="F248" s="13"/>
      <c r="K248" s="13"/>
      <c r="P248" s="13"/>
      <c r="Q248" s="13"/>
      <c r="R248" s="13"/>
      <c r="U248" s="13"/>
      <c r="W248" s="13"/>
      <c r="X248" s="13"/>
      <c r="Z248" s="13"/>
      <c r="AB248" s="13"/>
      <c r="AC248" s="13"/>
      <c r="AE248" s="13"/>
      <c r="AF248" s="13"/>
      <c r="AG248" s="13"/>
      <c r="AH248" s="13"/>
      <c r="AZ248" s="14"/>
      <c r="BA248" s="14"/>
      <c r="BB248" s="14"/>
    </row>
    <row r="249" ht="15.75" customHeight="1">
      <c r="B249" s="146"/>
      <c r="F249" s="13"/>
      <c r="K249" s="13"/>
      <c r="P249" s="13"/>
      <c r="Q249" s="13"/>
      <c r="R249" s="13"/>
      <c r="U249" s="13"/>
      <c r="W249" s="13"/>
      <c r="X249" s="13"/>
      <c r="Z249" s="13"/>
      <c r="AB249" s="13"/>
      <c r="AC249" s="13"/>
      <c r="AE249" s="13"/>
      <c r="AF249" s="13"/>
      <c r="AG249" s="13"/>
      <c r="AH249" s="13"/>
      <c r="AZ249" s="14"/>
      <c r="BA249" s="14"/>
      <c r="BB249" s="14"/>
    </row>
    <row r="250" ht="15.75" customHeight="1">
      <c r="B250" s="146"/>
      <c r="F250" s="13"/>
      <c r="K250" s="13"/>
      <c r="P250" s="13"/>
      <c r="Q250" s="13"/>
      <c r="R250" s="13"/>
      <c r="U250" s="13"/>
      <c r="W250" s="13"/>
      <c r="X250" s="13"/>
      <c r="Z250" s="13"/>
      <c r="AB250" s="13"/>
      <c r="AC250" s="13"/>
      <c r="AE250" s="13"/>
      <c r="AF250" s="13"/>
      <c r="AG250" s="13"/>
      <c r="AH250" s="13"/>
      <c r="AZ250" s="14"/>
      <c r="BA250" s="14"/>
      <c r="BB250" s="14"/>
    </row>
    <row r="251" ht="15.75" customHeight="1">
      <c r="B251" s="146"/>
      <c r="F251" s="13"/>
      <c r="K251" s="13"/>
      <c r="P251" s="13"/>
      <c r="Q251" s="13"/>
      <c r="R251" s="13"/>
      <c r="U251" s="13"/>
      <c r="W251" s="13"/>
      <c r="X251" s="13"/>
      <c r="Z251" s="13"/>
      <c r="AB251" s="13"/>
      <c r="AC251" s="13"/>
      <c r="AE251" s="13"/>
      <c r="AF251" s="13"/>
      <c r="AG251" s="13"/>
      <c r="AH251" s="13"/>
      <c r="AZ251" s="14"/>
      <c r="BA251" s="14"/>
      <c r="BB251" s="14"/>
    </row>
    <row r="252" ht="15.75" customHeight="1">
      <c r="B252" s="146"/>
      <c r="F252" s="13"/>
      <c r="K252" s="13"/>
      <c r="P252" s="13"/>
      <c r="Q252" s="13"/>
      <c r="R252" s="13"/>
      <c r="U252" s="13"/>
      <c r="W252" s="13"/>
      <c r="X252" s="13"/>
      <c r="Z252" s="13"/>
      <c r="AB252" s="13"/>
      <c r="AC252" s="13"/>
      <c r="AE252" s="13"/>
      <c r="AF252" s="13"/>
      <c r="AG252" s="13"/>
      <c r="AH252" s="13"/>
      <c r="AZ252" s="14"/>
      <c r="BA252" s="14"/>
      <c r="BB252" s="14"/>
    </row>
    <row r="253" ht="15.75" customHeight="1">
      <c r="B253" s="146"/>
      <c r="F253" s="13"/>
      <c r="K253" s="13"/>
      <c r="P253" s="13"/>
      <c r="Q253" s="13"/>
      <c r="R253" s="13"/>
      <c r="U253" s="13"/>
      <c r="W253" s="13"/>
      <c r="X253" s="13"/>
      <c r="Z253" s="13"/>
      <c r="AB253" s="13"/>
      <c r="AC253" s="13"/>
      <c r="AE253" s="13"/>
      <c r="AF253" s="13"/>
      <c r="AG253" s="13"/>
      <c r="AH253" s="13"/>
      <c r="AZ253" s="14"/>
      <c r="BA253" s="14"/>
      <c r="BB253" s="14"/>
    </row>
    <row r="254" ht="15.75" customHeight="1">
      <c r="B254" s="146"/>
      <c r="F254" s="13"/>
      <c r="K254" s="13"/>
      <c r="P254" s="13"/>
      <c r="Q254" s="13"/>
      <c r="R254" s="13"/>
      <c r="U254" s="13"/>
      <c r="W254" s="13"/>
      <c r="X254" s="13"/>
      <c r="Z254" s="13"/>
      <c r="AB254" s="13"/>
      <c r="AC254" s="13"/>
      <c r="AE254" s="13"/>
      <c r="AF254" s="13"/>
      <c r="AG254" s="13"/>
      <c r="AH254" s="13"/>
      <c r="AZ254" s="14"/>
      <c r="BA254" s="14"/>
      <c r="BB254" s="14"/>
    </row>
    <row r="255" ht="15.75" customHeight="1">
      <c r="B255" s="146"/>
      <c r="F255" s="13"/>
      <c r="K255" s="13"/>
      <c r="P255" s="13"/>
      <c r="Q255" s="13"/>
      <c r="R255" s="13"/>
      <c r="U255" s="13"/>
      <c r="W255" s="13"/>
      <c r="X255" s="13"/>
      <c r="Z255" s="13"/>
      <c r="AB255" s="13"/>
      <c r="AC255" s="13"/>
      <c r="AE255" s="13"/>
      <c r="AF255" s="13"/>
      <c r="AG255" s="13"/>
      <c r="AH255" s="13"/>
      <c r="AZ255" s="14"/>
      <c r="BA255" s="14"/>
      <c r="BB255" s="14"/>
    </row>
    <row r="256" ht="15.75" customHeight="1">
      <c r="B256" s="146"/>
      <c r="F256" s="13"/>
      <c r="K256" s="13"/>
      <c r="P256" s="13"/>
      <c r="Q256" s="13"/>
      <c r="R256" s="13"/>
      <c r="U256" s="13"/>
      <c r="W256" s="13"/>
      <c r="X256" s="13"/>
      <c r="Z256" s="13"/>
      <c r="AB256" s="13"/>
      <c r="AC256" s="13"/>
      <c r="AE256" s="13"/>
      <c r="AF256" s="13"/>
      <c r="AG256" s="13"/>
      <c r="AH256" s="13"/>
      <c r="AZ256" s="14"/>
      <c r="BA256" s="14"/>
      <c r="BB256" s="14"/>
    </row>
    <row r="257" ht="15.75" customHeight="1">
      <c r="B257" s="146"/>
      <c r="F257" s="13"/>
      <c r="K257" s="13"/>
      <c r="P257" s="13"/>
      <c r="Q257" s="13"/>
      <c r="R257" s="13"/>
      <c r="U257" s="13"/>
      <c r="W257" s="13"/>
      <c r="X257" s="13"/>
      <c r="Z257" s="13"/>
      <c r="AB257" s="13"/>
      <c r="AC257" s="13"/>
      <c r="AE257" s="13"/>
      <c r="AF257" s="13"/>
      <c r="AG257" s="13"/>
      <c r="AH257" s="13"/>
      <c r="AZ257" s="14"/>
      <c r="BA257" s="14"/>
      <c r="BB257" s="14"/>
    </row>
    <row r="258" ht="15.75" customHeight="1">
      <c r="B258" s="146"/>
      <c r="F258" s="13"/>
      <c r="K258" s="13"/>
      <c r="P258" s="13"/>
      <c r="Q258" s="13"/>
      <c r="R258" s="13"/>
      <c r="U258" s="13"/>
      <c r="W258" s="13"/>
      <c r="X258" s="13"/>
      <c r="Z258" s="13"/>
      <c r="AB258" s="13"/>
      <c r="AC258" s="13"/>
      <c r="AE258" s="13"/>
      <c r="AF258" s="13"/>
      <c r="AG258" s="13"/>
      <c r="AH258" s="13"/>
      <c r="AZ258" s="14"/>
      <c r="BA258" s="14"/>
      <c r="BB258" s="14"/>
    </row>
    <row r="259" ht="15.75" customHeight="1">
      <c r="B259" s="146"/>
      <c r="F259" s="13"/>
      <c r="K259" s="13"/>
      <c r="P259" s="13"/>
      <c r="Q259" s="13"/>
      <c r="R259" s="13"/>
      <c r="U259" s="13"/>
      <c r="W259" s="13"/>
      <c r="X259" s="13"/>
      <c r="Z259" s="13"/>
      <c r="AB259" s="13"/>
      <c r="AC259" s="13"/>
      <c r="AE259" s="13"/>
      <c r="AF259" s="13"/>
      <c r="AG259" s="13"/>
      <c r="AH259" s="13"/>
      <c r="AZ259" s="14"/>
      <c r="BA259" s="14"/>
      <c r="BB259" s="14"/>
    </row>
    <row r="260" ht="15.75" customHeight="1">
      <c r="B260" s="146"/>
      <c r="F260" s="13"/>
      <c r="K260" s="13"/>
      <c r="P260" s="13"/>
      <c r="Q260" s="13"/>
      <c r="R260" s="13"/>
      <c r="U260" s="13"/>
      <c r="W260" s="13"/>
      <c r="X260" s="13"/>
      <c r="Z260" s="13"/>
      <c r="AB260" s="13"/>
      <c r="AC260" s="13"/>
      <c r="AE260" s="13"/>
      <c r="AF260" s="13"/>
      <c r="AG260" s="13"/>
      <c r="AH260" s="13"/>
      <c r="AZ260" s="14"/>
      <c r="BA260" s="14"/>
      <c r="BB260" s="14"/>
    </row>
    <row r="261" ht="15.75" customHeight="1">
      <c r="B261" s="146"/>
      <c r="F261" s="13"/>
      <c r="K261" s="13"/>
      <c r="P261" s="13"/>
      <c r="Q261" s="13"/>
      <c r="R261" s="13"/>
      <c r="U261" s="13"/>
      <c r="W261" s="13"/>
      <c r="X261" s="13"/>
      <c r="Z261" s="13"/>
      <c r="AB261" s="13"/>
      <c r="AC261" s="13"/>
      <c r="AE261" s="13"/>
      <c r="AF261" s="13"/>
      <c r="AG261" s="13"/>
      <c r="AH261" s="13"/>
      <c r="AZ261" s="14"/>
      <c r="BA261" s="14"/>
      <c r="BB261" s="14"/>
    </row>
    <row r="262" ht="15.75" customHeight="1">
      <c r="B262" s="146"/>
      <c r="F262" s="13"/>
      <c r="K262" s="13"/>
      <c r="P262" s="13"/>
      <c r="Q262" s="13"/>
      <c r="R262" s="13"/>
      <c r="U262" s="13"/>
      <c r="W262" s="13"/>
      <c r="X262" s="13"/>
      <c r="Z262" s="13"/>
      <c r="AB262" s="13"/>
      <c r="AC262" s="13"/>
      <c r="AE262" s="13"/>
      <c r="AF262" s="13"/>
      <c r="AG262" s="13"/>
      <c r="AH262" s="13"/>
      <c r="AZ262" s="14"/>
      <c r="BA262" s="14"/>
      <c r="BB262" s="14"/>
    </row>
    <row r="263" ht="15.75" customHeight="1">
      <c r="B263" s="146"/>
      <c r="F263" s="13"/>
      <c r="K263" s="13"/>
      <c r="P263" s="13"/>
      <c r="Q263" s="13"/>
      <c r="R263" s="13"/>
      <c r="U263" s="13"/>
      <c r="W263" s="13"/>
      <c r="X263" s="13"/>
      <c r="Z263" s="13"/>
      <c r="AB263" s="13"/>
      <c r="AC263" s="13"/>
      <c r="AE263" s="13"/>
      <c r="AF263" s="13"/>
      <c r="AG263" s="13"/>
      <c r="AH263" s="13"/>
      <c r="AZ263" s="14"/>
      <c r="BA263" s="14"/>
      <c r="BB263" s="14"/>
    </row>
    <row r="264" ht="15.75" customHeight="1">
      <c r="B264" s="146"/>
      <c r="F264" s="13"/>
      <c r="K264" s="13"/>
      <c r="P264" s="13"/>
      <c r="Q264" s="13"/>
      <c r="R264" s="13"/>
      <c r="U264" s="13"/>
      <c r="W264" s="13"/>
      <c r="X264" s="13"/>
      <c r="Z264" s="13"/>
      <c r="AB264" s="13"/>
      <c r="AC264" s="13"/>
      <c r="AE264" s="13"/>
      <c r="AF264" s="13"/>
      <c r="AG264" s="13"/>
      <c r="AH264" s="13"/>
      <c r="AZ264" s="14"/>
      <c r="BA264" s="14"/>
      <c r="BB264" s="14"/>
    </row>
    <row r="265" ht="15.75" customHeight="1">
      <c r="B265" s="146"/>
      <c r="F265" s="13"/>
      <c r="K265" s="13"/>
      <c r="P265" s="13"/>
      <c r="Q265" s="13"/>
      <c r="R265" s="13"/>
      <c r="U265" s="13"/>
      <c r="W265" s="13"/>
      <c r="X265" s="13"/>
      <c r="Z265" s="13"/>
      <c r="AB265" s="13"/>
      <c r="AC265" s="13"/>
      <c r="AE265" s="13"/>
      <c r="AF265" s="13"/>
      <c r="AG265" s="13"/>
      <c r="AH265" s="13"/>
      <c r="AZ265" s="14"/>
      <c r="BA265" s="14"/>
      <c r="BB265" s="14"/>
    </row>
    <row r="266" ht="15.75" customHeight="1">
      <c r="B266" s="146"/>
      <c r="F266" s="13"/>
      <c r="K266" s="13"/>
      <c r="P266" s="13"/>
      <c r="Q266" s="13"/>
      <c r="R266" s="13"/>
      <c r="U266" s="13"/>
      <c r="W266" s="13"/>
      <c r="X266" s="13"/>
      <c r="Z266" s="13"/>
      <c r="AB266" s="13"/>
      <c r="AC266" s="13"/>
      <c r="AE266" s="13"/>
      <c r="AF266" s="13"/>
      <c r="AG266" s="13"/>
      <c r="AH266" s="13"/>
      <c r="AZ266" s="14"/>
      <c r="BA266" s="14"/>
      <c r="BB266" s="14"/>
    </row>
    <row r="267" ht="15.75" customHeight="1">
      <c r="B267" s="146"/>
      <c r="F267" s="13"/>
      <c r="K267" s="13"/>
      <c r="P267" s="13"/>
      <c r="Q267" s="13"/>
      <c r="R267" s="13"/>
      <c r="U267" s="13"/>
      <c r="W267" s="13"/>
      <c r="X267" s="13"/>
      <c r="Z267" s="13"/>
      <c r="AB267" s="13"/>
      <c r="AC267" s="13"/>
      <c r="AE267" s="13"/>
      <c r="AF267" s="13"/>
      <c r="AG267" s="13"/>
      <c r="AH267" s="13"/>
      <c r="AZ267" s="14"/>
      <c r="BA267" s="14"/>
      <c r="BB267" s="14"/>
    </row>
    <row r="268" ht="15.75" customHeight="1">
      <c r="B268" s="146"/>
      <c r="F268" s="13"/>
      <c r="K268" s="13"/>
      <c r="P268" s="13"/>
      <c r="Q268" s="13"/>
      <c r="R268" s="13"/>
      <c r="U268" s="13"/>
      <c r="W268" s="13"/>
      <c r="X268" s="13"/>
      <c r="Z268" s="13"/>
      <c r="AB268" s="13"/>
      <c r="AC268" s="13"/>
      <c r="AE268" s="13"/>
      <c r="AF268" s="13"/>
      <c r="AG268" s="13"/>
      <c r="AH268" s="13"/>
      <c r="AZ268" s="14"/>
      <c r="BA268" s="14"/>
      <c r="BB268" s="14"/>
    </row>
    <row r="269" ht="15.75" customHeight="1">
      <c r="B269" s="146"/>
      <c r="F269" s="13"/>
      <c r="K269" s="13"/>
      <c r="P269" s="13"/>
      <c r="Q269" s="13"/>
      <c r="R269" s="13"/>
      <c r="U269" s="13"/>
      <c r="W269" s="13"/>
      <c r="X269" s="13"/>
      <c r="Z269" s="13"/>
      <c r="AB269" s="13"/>
      <c r="AC269" s="13"/>
      <c r="AE269" s="13"/>
      <c r="AF269" s="13"/>
      <c r="AG269" s="13"/>
      <c r="AH269" s="13"/>
      <c r="AZ269" s="14"/>
      <c r="BA269" s="14"/>
      <c r="BB269" s="14"/>
    </row>
    <row r="270" ht="15.75" customHeight="1">
      <c r="B270" s="146"/>
      <c r="F270" s="13"/>
      <c r="K270" s="13"/>
      <c r="P270" s="13"/>
      <c r="Q270" s="13"/>
      <c r="R270" s="13"/>
      <c r="U270" s="13"/>
      <c r="W270" s="13"/>
      <c r="X270" s="13"/>
      <c r="Z270" s="13"/>
      <c r="AB270" s="13"/>
      <c r="AC270" s="13"/>
      <c r="AE270" s="13"/>
      <c r="AF270" s="13"/>
      <c r="AG270" s="13"/>
      <c r="AH270" s="13"/>
      <c r="AZ270" s="14"/>
      <c r="BA270" s="14"/>
      <c r="BB270" s="14"/>
    </row>
    <row r="271" ht="15.75" customHeight="1">
      <c r="B271" s="146"/>
      <c r="F271" s="13"/>
      <c r="K271" s="13"/>
      <c r="P271" s="13"/>
      <c r="Q271" s="13"/>
      <c r="R271" s="13"/>
      <c r="U271" s="13"/>
      <c r="W271" s="13"/>
      <c r="X271" s="13"/>
      <c r="Z271" s="13"/>
      <c r="AB271" s="13"/>
      <c r="AC271" s="13"/>
      <c r="AE271" s="13"/>
      <c r="AF271" s="13"/>
      <c r="AG271" s="13"/>
      <c r="AH271" s="13"/>
      <c r="AZ271" s="14"/>
      <c r="BA271" s="14"/>
      <c r="BB271" s="14"/>
    </row>
    <row r="272" ht="15.75" customHeight="1">
      <c r="B272" s="146"/>
      <c r="F272" s="13"/>
      <c r="K272" s="13"/>
      <c r="P272" s="13"/>
      <c r="Q272" s="13"/>
      <c r="R272" s="13"/>
      <c r="U272" s="13"/>
      <c r="W272" s="13"/>
      <c r="X272" s="13"/>
      <c r="Z272" s="13"/>
      <c r="AB272" s="13"/>
      <c r="AC272" s="13"/>
      <c r="AE272" s="13"/>
      <c r="AF272" s="13"/>
      <c r="AG272" s="13"/>
      <c r="AH272" s="13"/>
      <c r="AZ272" s="14"/>
      <c r="BA272" s="14"/>
      <c r="BB272" s="14"/>
    </row>
    <row r="273" ht="15.75" customHeight="1">
      <c r="B273" s="146"/>
      <c r="F273" s="13"/>
      <c r="K273" s="13"/>
      <c r="P273" s="13"/>
      <c r="Q273" s="13"/>
      <c r="R273" s="13"/>
      <c r="U273" s="13"/>
      <c r="W273" s="13"/>
      <c r="X273" s="13"/>
      <c r="Z273" s="13"/>
      <c r="AB273" s="13"/>
      <c r="AC273" s="13"/>
      <c r="AE273" s="13"/>
      <c r="AF273" s="13"/>
      <c r="AG273" s="13"/>
      <c r="AH273" s="13"/>
      <c r="AZ273" s="14"/>
      <c r="BA273" s="14"/>
      <c r="BB273" s="14"/>
    </row>
    <row r="274" ht="15.75" customHeight="1">
      <c r="B274" s="146"/>
      <c r="F274" s="13"/>
      <c r="K274" s="13"/>
      <c r="P274" s="13"/>
      <c r="Q274" s="13"/>
      <c r="R274" s="13"/>
      <c r="U274" s="13"/>
      <c r="W274" s="13"/>
      <c r="X274" s="13"/>
      <c r="Z274" s="13"/>
      <c r="AB274" s="13"/>
      <c r="AC274" s="13"/>
      <c r="AE274" s="13"/>
      <c r="AF274" s="13"/>
      <c r="AG274" s="13"/>
      <c r="AH274" s="13"/>
      <c r="AZ274" s="14"/>
      <c r="BA274" s="14"/>
      <c r="BB274" s="14"/>
    </row>
    <row r="275" ht="15.75" customHeight="1">
      <c r="B275" s="146"/>
      <c r="F275" s="13"/>
      <c r="K275" s="13"/>
      <c r="P275" s="13"/>
      <c r="Q275" s="13"/>
      <c r="R275" s="13"/>
      <c r="U275" s="13"/>
      <c r="W275" s="13"/>
      <c r="X275" s="13"/>
      <c r="Z275" s="13"/>
      <c r="AB275" s="13"/>
      <c r="AC275" s="13"/>
      <c r="AE275" s="13"/>
      <c r="AF275" s="13"/>
      <c r="AG275" s="13"/>
      <c r="AH275" s="13"/>
      <c r="AZ275" s="14"/>
      <c r="BA275" s="14"/>
      <c r="BB275" s="14"/>
    </row>
    <row r="276" ht="15.75" customHeight="1">
      <c r="B276" s="146"/>
      <c r="F276" s="13"/>
      <c r="K276" s="13"/>
      <c r="P276" s="13"/>
      <c r="Q276" s="13"/>
      <c r="R276" s="13"/>
      <c r="U276" s="13"/>
      <c r="W276" s="13"/>
      <c r="X276" s="13"/>
      <c r="Z276" s="13"/>
      <c r="AB276" s="13"/>
      <c r="AC276" s="13"/>
      <c r="AE276" s="13"/>
      <c r="AF276" s="13"/>
      <c r="AG276" s="13"/>
      <c r="AH276" s="13"/>
      <c r="AZ276" s="14"/>
      <c r="BA276" s="14"/>
      <c r="BB276" s="14"/>
    </row>
    <row r="277" ht="15.75" customHeight="1">
      <c r="B277" s="146"/>
      <c r="F277" s="13"/>
      <c r="K277" s="13"/>
      <c r="P277" s="13"/>
      <c r="Q277" s="13"/>
      <c r="R277" s="13"/>
      <c r="U277" s="13"/>
      <c r="W277" s="13"/>
      <c r="X277" s="13"/>
      <c r="Z277" s="13"/>
      <c r="AB277" s="13"/>
      <c r="AC277" s="13"/>
      <c r="AE277" s="13"/>
      <c r="AF277" s="13"/>
      <c r="AG277" s="13"/>
      <c r="AH277" s="13"/>
      <c r="AZ277" s="14"/>
      <c r="BA277" s="14"/>
      <c r="BB277" s="14"/>
    </row>
    <row r="278" ht="15.75" customHeight="1">
      <c r="B278" s="146"/>
      <c r="F278" s="13"/>
      <c r="K278" s="13"/>
      <c r="P278" s="13"/>
      <c r="Q278" s="13"/>
      <c r="R278" s="13"/>
      <c r="U278" s="13"/>
      <c r="W278" s="13"/>
      <c r="X278" s="13"/>
      <c r="Z278" s="13"/>
      <c r="AB278" s="13"/>
      <c r="AC278" s="13"/>
      <c r="AE278" s="13"/>
      <c r="AF278" s="13"/>
      <c r="AG278" s="13"/>
      <c r="AH278" s="13"/>
      <c r="AZ278" s="14"/>
      <c r="BA278" s="14"/>
      <c r="BB278" s="14"/>
    </row>
    <row r="279" ht="15.75" customHeight="1">
      <c r="B279" s="146"/>
      <c r="F279" s="13"/>
      <c r="K279" s="13"/>
      <c r="P279" s="13"/>
      <c r="Q279" s="13"/>
      <c r="R279" s="13"/>
      <c r="U279" s="13"/>
      <c r="W279" s="13"/>
      <c r="X279" s="13"/>
      <c r="Z279" s="13"/>
      <c r="AB279" s="13"/>
      <c r="AC279" s="13"/>
      <c r="AE279" s="13"/>
      <c r="AF279" s="13"/>
      <c r="AG279" s="13"/>
      <c r="AH279" s="13"/>
      <c r="AZ279" s="14"/>
      <c r="BA279" s="14"/>
      <c r="BB279" s="14"/>
    </row>
    <row r="280" ht="15.75" customHeight="1">
      <c r="B280" s="146"/>
      <c r="F280" s="13"/>
      <c r="K280" s="13"/>
      <c r="P280" s="13"/>
      <c r="Q280" s="13"/>
      <c r="R280" s="13"/>
      <c r="U280" s="13"/>
      <c r="W280" s="13"/>
      <c r="X280" s="13"/>
      <c r="Z280" s="13"/>
      <c r="AB280" s="13"/>
      <c r="AC280" s="13"/>
      <c r="AE280" s="13"/>
      <c r="AF280" s="13"/>
      <c r="AG280" s="13"/>
      <c r="AH280" s="13"/>
      <c r="AZ280" s="14"/>
      <c r="BA280" s="14"/>
      <c r="BB280" s="14"/>
    </row>
    <row r="281" ht="15.75" customHeight="1">
      <c r="B281" s="146"/>
      <c r="F281" s="13"/>
      <c r="K281" s="13"/>
      <c r="P281" s="13"/>
      <c r="Q281" s="13"/>
      <c r="R281" s="13"/>
      <c r="U281" s="13"/>
      <c r="W281" s="13"/>
      <c r="X281" s="13"/>
      <c r="Z281" s="13"/>
      <c r="AB281" s="13"/>
      <c r="AC281" s="13"/>
      <c r="AE281" s="13"/>
      <c r="AF281" s="13"/>
      <c r="AG281" s="13"/>
      <c r="AH281" s="13"/>
      <c r="AZ281" s="14"/>
      <c r="BA281" s="14"/>
      <c r="BB281" s="14"/>
    </row>
    <row r="282" ht="15.75" customHeight="1">
      <c r="B282" s="146"/>
      <c r="F282" s="13"/>
      <c r="K282" s="13"/>
      <c r="P282" s="13"/>
      <c r="Q282" s="13"/>
      <c r="R282" s="13"/>
      <c r="U282" s="13"/>
      <c r="W282" s="13"/>
      <c r="X282" s="13"/>
      <c r="Z282" s="13"/>
      <c r="AB282" s="13"/>
      <c r="AC282" s="13"/>
      <c r="AE282" s="13"/>
      <c r="AF282" s="13"/>
      <c r="AG282" s="13"/>
      <c r="AH282" s="13"/>
      <c r="AZ282" s="14"/>
      <c r="BA282" s="14"/>
      <c r="BB282" s="14"/>
    </row>
    <row r="283" ht="15.75" customHeight="1">
      <c r="B283" s="146"/>
      <c r="F283" s="13"/>
      <c r="K283" s="13"/>
      <c r="P283" s="13"/>
      <c r="Q283" s="13"/>
      <c r="R283" s="13"/>
      <c r="U283" s="13"/>
      <c r="W283" s="13"/>
      <c r="X283" s="13"/>
      <c r="Z283" s="13"/>
      <c r="AB283" s="13"/>
      <c r="AC283" s="13"/>
      <c r="AE283" s="13"/>
      <c r="AF283" s="13"/>
      <c r="AG283" s="13"/>
      <c r="AH283" s="13"/>
      <c r="AZ283" s="14"/>
      <c r="BA283" s="14"/>
      <c r="BB283" s="14"/>
    </row>
    <row r="284" ht="15.75" customHeight="1">
      <c r="B284" s="146"/>
      <c r="F284" s="13"/>
      <c r="K284" s="13"/>
      <c r="P284" s="13"/>
      <c r="Q284" s="13"/>
      <c r="R284" s="13"/>
      <c r="U284" s="13"/>
      <c r="W284" s="13"/>
      <c r="X284" s="13"/>
      <c r="Z284" s="13"/>
      <c r="AB284" s="13"/>
      <c r="AC284" s="13"/>
      <c r="AE284" s="13"/>
      <c r="AF284" s="13"/>
      <c r="AG284" s="13"/>
      <c r="AH284" s="13"/>
      <c r="AZ284" s="14"/>
      <c r="BA284" s="14"/>
      <c r="BB284" s="14"/>
    </row>
    <row r="285" ht="15.75" customHeight="1">
      <c r="B285" s="146"/>
      <c r="F285" s="13"/>
      <c r="K285" s="13"/>
      <c r="P285" s="13"/>
      <c r="Q285" s="13"/>
      <c r="R285" s="13"/>
      <c r="U285" s="13"/>
      <c r="W285" s="13"/>
      <c r="X285" s="13"/>
      <c r="Z285" s="13"/>
      <c r="AB285" s="13"/>
      <c r="AC285" s="13"/>
      <c r="AE285" s="13"/>
      <c r="AF285" s="13"/>
      <c r="AG285" s="13"/>
      <c r="AH285" s="13"/>
      <c r="AZ285" s="14"/>
      <c r="BA285" s="14"/>
      <c r="BB285" s="14"/>
    </row>
    <row r="286" ht="15.75" customHeight="1">
      <c r="B286" s="146"/>
      <c r="F286" s="13"/>
      <c r="K286" s="13"/>
      <c r="P286" s="13"/>
      <c r="Q286" s="13"/>
      <c r="R286" s="13"/>
      <c r="U286" s="13"/>
      <c r="W286" s="13"/>
      <c r="X286" s="13"/>
      <c r="Z286" s="13"/>
      <c r="AB286" s="13"/>
      <c r="AC286" s="13"/>
      <c r="AE286" s="13"/>
      <c r="AF286" s="13"/>
      <c r="AG286" s="13"/>
      <c r="AH286" s="13"/>
      <c r="AZ286" s="14"/>
      <c r="BA286" s="14"/>
      <c r="BB286" s="14"/>
    </row>
    <row r="287" ht="15.75" customHeight="1">
      <c r="B287" s="146"/>
      <c r="F287" s="13"/>
      <c r="K287" s="13"/>
      <c r="P287" s="13"/>
      <c r="Q287" s="13"/>
      <c r="R287" s="13"/>
      <c r="U287" s="13"/>
      <c r="W287" s="13"/>
      <c r="X287" s="13"/>
      <c r="Z287" s="13"/>
      <c r="AB287" s="13"/>
      <c r="AC287" s="13"/>
      <c r="AE287" s="13"/>
      <c r="AF287" s="13"/>
      <c r="AG287" s="13"/>
      <c r="AH287" s="13"/>
      <c r="AZ287" s="14"/>
      <c r="BA287" s="14"/>
      <c r="BB287" s="14"/>
    </row>
    <row r="288" ht="15.75" customHeight="1">
      <c r="B288" s="146"/>
      <c r="F288" s="13"/>
      <c r="K288" s="13"/>
      <c r="P288" s="13"/>
      <c r="Q288" s="13"/>
      <c r="R288" s="13"/>
      <c r="U288" s="13"/>
      <c r="W288" s="13"/>
      <c r="X288" s="13"/>
      <c r="Z288" s="13"/>
      <c r="AB288" s="13"/>
      <c r="AC288" s="13"/>
      <c r="AE288" s="13"/>
      <c r="AF288" s="13"/>
      <c r="AG288" s="13"/>
      <c r="AH288" s="13"/>
      <c r="AZ288" s="14"/>
      <c r="BA288" s="14"/>
      <c r="BB288" s="14"/>
    </row>
    <row r="289" ht="15.75" customHeight="1">
      <c r="B289" s="146"/>
      <c r="F289" s="13"/>
      <c r="K289" s="13"/>
      <c r="P289" s="13"/>
      <c r="Q289" s="13"/>
      <c r="R289" s="13"/>
      <c r="U289" s="13"/>
      <c r="W289" s="13"/>
      <c r="X289" s="13"/>
      <c r="Z289" s="13"/>
      <c r="AB289" s="13"/>
      <c r="AC289" s="13"/>
      <c r="AE289" s="13"/>
      <c r="AF289" s="13"/>
      <c r="AG289" s="13"/>
      <c r="AH289" s="13"/>
      <c r="AZ289" s="14"/>
      <c r="BA289" s="14"/>
      <c r="BB289" s="14"/>
    </row>
    <row r="290" ht="15.75" customHeight="1">
      <c r="B290" s="146"/>
      <c r="F290" s="13"/>
      <c r="K290" s="13"/>
      <c r="P290" s="13"/>
      <c r="Q290" s="13"/>
      <c r="R290" s="13"/>
      <c r="U290" s="13"/>
      <c r="W290" s="13"/>
      <c r="X290" s="13"/>
      <c r="Z290" s="13"/>
      <c r="AB290" s="13"/>
      <c r="AC290" s="13"/>
      <c r="AE290" s="13"/>
      <c r="AF290" s="13"/>
      <c r="AG290" s="13"/>
      <c r="AH290" s="13"/>
      <c r="AZ290" s="14"/>
      <c r="BA290" s="14"/>
      <c r="BB290" s="14"/>
    </row>
    <row r="291" ht="15.75" customHeight="1">
      <c r="B291" s="146"/>
      <c r="F291" s="13"/>
      <c r="K291" s="13"/>
      <c r="P291" s="13"/>
      <c r="Q291" s="13"/>
      <c r="R291" s="13"/>
      <c r="U291" s="13"/>
      <c r="W291" s="13"/>
      <c r="X291" s="13"/>
      <c r="Z291" s="13"/>
      <c r="AB291" s="13"/>
      <c r="AC291" s="13"/>
      <c r="AE291" s="13"/>
      <c r="AF291" s="13"/>
      <c r="AG291" s="13"/>
      <c r="AH291" s="13"/>
      <c r="AZ291" s="14"/>
      <c r="BA291" s="14"/>
      <c r="BB291" s="14"/>
    </row>
    <row r="292" ht="15.75" customHeight="1">
      <c r="B292" s="146"/>
      <c r="F292" s="13"/>
      <c r="K292" s="13"/>
      <c r="P292" s="13"/>
      <c r="Q292" s="13"/>
      <c r="R292" s="13"/>
      <c r="U292" s="13"/>
      <c r="W292" s="13"/>
      <c r="X292" s="13"/>
      <c r="Z292" s="13"/>
      <c r="AB292" s="13"/>
      <c r="AC292" s="13"/>
      <c r="AE292" s="13"/>
      <c r="AF292" s="13"/>
      <c r="AG292" s="13"/>
      <c r="AH292" s="13"/>
      <c r="AZ292" s="14"/>
      <c r="BA292" s="14"/>
      <c r="BB292" s="14"/>
    </row>
    <row r="293" ht="15.75" customHeight="1">
      <c r="B293" s="146"/>
      <c r="F293" s="13"/>
      <c r="K293" s="13"/>
      <c r="P293" s="13"/>
      <c r="Q293" s="13"/>
      <c r="R293" s="13"/>
      <c r="U293" s="13"/>
      <c r="W293" s="13"/>
      <c r="X293" s="13"/>
      <c r="Z293" s="13"/>
      <c r="AB293" s="13"/>
      <c r="AC293" s="13"/>
      <c r="AE293" s="13"/>
      <c r="AF293" s="13"/>
      <c r="AG293" s="13"/>
      <c r="AH293" s="13"/>
      <c r="AZ293" s="14"/>
      <c r="BA293" s="14"/>
      <c r="BB293" s="14"/>
    </row>
    <row r="294" ht="15.75" customHeight="1">
      <c r="B294" s="146"/>
      <c r="F294" s="13"/>
      <c r="K294" s="13"/>
      <c r="P294" s="13"/>
      <c r="Q294" s="13"/>
      <c r="R294" s="13"/>
      <c r="U294" s="13"/>
      <c r="W294" s="13"/>
      <c r="X294" s="13"/>
      <c r="Z294" s="13"/>
      <c r="AB294" s="13"/>
      <c r="AC294" s="13"/>
      <c r="AE294" s="13"/>
      <c r="AF294" s="13"/>
      <c r="AG294" s="13"/>
      <c r="AH294" s="13"/>
      <c r="AZ294" s="14"/>
      <c r="BA294" s="14"/>
      <c r="BB294" s="14"/>
    </row>
    <row r="295" ht="15.75" customHeight="1">
      <c r="B295" s="146"/>
      <c r="F295" s="13"/>
      <c r="K295" s="13"/>
      <c r="P295" s="13"/>
      <c r="Q295" s="13"/>
      <c r="R295" s="13"/>
      <c r="U295" s="13"/>
      <c r="W295" s="13"/>
      <c r="X295" s="13"/>
      <c r="Z295" s="13"/>
      <c r="AB295" s="13"/>
      <c r="AC295" s="13"/>
      <c r="AE295" s="13"/>
      <c r="AF295" s="13"/>
      <c r="AG295" s="13"/>
      <c r="AH295" s="13"/>
      <c r="AZ295" s="14"/>
      <c r="BA295" s="14"/>
      <c r="BB295" s="14"/>
    </row>
    <row r="296" ht="15.75" customHeight="1">
      <c r="B296" s="146"/>
      <c r="F296" s="13"/>
      <c r="K296" s="13"/>
      <c r="P296" s="13"/>
      <c r="Q296" s="13"/>
      <c r="R296" s="13"/>
      <c r="U296" s="13"/>
      <c r="W296" s="13"/>
      <c r="X296" s="13"/>
      <c r="Z296" s="13"/>
      <c r="AB296" s="13"/>
      <c r="AC296" s="13"/>
      <c r="AE296" s="13"/>
      <c r="AF296" s="13"/>
      <c r="AG296" s="13"/>
      <c r="AH296" s="13"/>
      <c r="AZ296" s="14"/>
      <c r="BA296" s="14"/>
      <c r="BB296" s="14"/>
    </row>
    <row r="297" ht="15.75" customHeight="1">
      <c r="B297" s="146"/>
      <c r="F297" s="13"/>
      <c r="K297" s="13"/>
      <c r="P297" s="13"/>
      <c r="Q297" s="13"/>
      <c r="R297" s="13"/>
      <c r="U297" s="13"/>
      <c r="W297" s="13"/>
      <c r="X297" s="13"/>
      <c r="Z297" s="13"/>
      <c r="AB297" s="13"/>
      <c r="AC297" s="13"/>
      <c r="AE297" s="13"/>
      <c r="AF297" s="13"/>
      <c r="AG297" s="13"/>
      <c r="AH297" s="13"/>
      <c r="AZ297" s="14"/>
      <c r="BA297" s="14"/>
      <c r="BB297" s="14"/>
    </row>
    <row r="298" ht="15.75" customHeight="1">
      <c r="B298" s="146"/>
      <c r="F298" s="13"/>
      <c r="K298" s="13"/>
      <c r="P298" s="13"/>
      <c r="Q298" s="13"/>
      <c r="R298" s="13"/>
      <c r="U298" s="13"/>
      <c r="W298" s="13"/>
      <c r="X298" s="13"/>
      <c r="Z298" s="13"/>
      <c r="AB298" s="13"/>
      <c r="AC298" s="13"/>
      <c r="AE298" s="13"/>
      <c r="AF298" s="13"/>
      <c r="AG298" s="13"/>
      <c r="AH298" s="13"/>
      <c r="AZ298" s="14"/>
      <c r="BA298" s="14"/>
      <c r="BB298" s="14"/>
    </row>
    <row r="299" ht="15.75" customHeight="1">
      <c r="B299" s="146"/>
      <c r="F299" s="13"/>
      <c r="K299" s="13"/>
      <c r="P299" s="13"/>
      <c r="Q299" s="13"/>
      <c r="R299" s="13"/>
      <c r="U299" s="13"/>
      <c r="W299" s="13"/>
      <c r="X299" s="13"/>
      <c r="Z299" s="13"/>
      <c r="AB299" s="13"/>
      <c r="AC299" s="13"/>
      <c r="AE299" s="13"/>
      <c r="AF299" s="13"/>
      <c r="AG299" s="13"/>
      <c r="AH299" s="13"/>
      <c r="AZ299" s="14"/>
      <c r="BA299" s="14"/>
      <c r="BB299" s="14"/>
    </row>
    <row r="300" ht="15.75" customHeight="1">
      <c r="B300" s="146"/>
      <c r="F300" s="13"/>
      <c r="K300" s="13"/>
      <c r="P300" s="13"/>
      <c r="Q300" s="13"/>
      <c r="R300" s="13"/>
      <c r="U300" s="13"/>
      <c r="W300" s="13"/>
      <c r="X300" s="13"/>
      <c r="Z300" s="13"/>
      <c r="AB300" s="13"/>
      <c r="AC300" s="13"/>
      <c r="AE300" s="13"/>
      <c r="AF300" s="13"/>
      <c r="AG300" s="13"/>
      <c r="AH300" s="13"/>
      <c r="AZ300" s="14"/>
      <c r="BA300" s="14"/>
      <c r="BB300" s="14"/>
    </row>
    <row r="301" ht="15.75" customHeight="1">
      <c r="B301" s="146"/>
      <c r="F301" s="13"/>
      <c r="K301" s="13"/>
      <c r="P301" s="13"/>
      <c r="Q301" s="13"/>
      <c r="R301" s="13"/>
      <c r="U301" s="13"/>
      <c r="W301" s="13"/>
      <c r="X301" s="13"/>
      <c r="Z301" s="13"/>
      <c r="AB301" s="13"/>
      <c r="AC301" s="13"/>
      <c r="AE301" s="13"/>
      <c r="AF301" s="13"/>
      <c r="AG301" s="13"/>
      <c r="AH301" s="13"/>
      <c r="AZ301" s="14"/>
      <c r="BA301" s="14"/>
      <c r="BB301" s="14"/>
    </row>
    <row r="302" ht="15.75" customHeight="1">
      <c r="B302" s="146"/>
      <c r="F302" s="13"/>
      <c r="K302" s="13"/>
      <c r="P302" s="13"/>
      <c r="Q302" s="13"/>
      <c r="R302" s="13"/>
      <c r="U302" s="13"/>
      <c r="W302" s="13"/>
      <c r="X302" s="13"/>
      <c r="Z302" s="13"/>
      <c r="AB302" s="13"/>
      <c r="AC302" s="13"/>
      <c r="AE302" s="13"/>
      <c r="AF302" s="13"/>
      <c r="AG302" s="13"/>
      <c r="AH302" s="13"/>
      <c r="AZ302" s="14"/>
      <c r="BA302" s="14"/>
      <c r="BB302" s="14"/>
    </row>
    <row r="303" ht="15.75" customHeight="1">
      <c r="B303" s="146"/>
      <c r="F303" s="13"/>
      <c r="K303" s="13"/>
      <c r="P303" s="13"/>
      <c r="Q303" s="13"/>
      <c r="R303" s="13"/>
      <c r="U303" s="13"/>
      <c r="W303" s="13"/>
      <c r="X303" s="13"/>
      <c r="Z303" s="13"/>
      <c r="AB303" s="13"/>
      <c r="AC303" s="13"/>
      <c r="AE303" s="13"/>
      <c r="AF303" s="13"/>
      <c r="AG303" s="13"/>
      <c r="AH303" s="13"/>
      <c r="AZ303" s="14"/>
      <c r="BA303" s="14"/>
      <c r="BB303" s="14"/>
    </row>
    <row r="304" ht="15.75" customHeight="1">
      <c r="B304" s="146"/>
      <c r="F304" s="13"/>
      <c r="K304" s="13"/>
      <c r="P304" s="13"/>
      <c r="Q304" s="13"/>
      <c r="R304" s="13"/>
      <c r="U304" s="13"/>
      <c r="W304" s="13"/>
      <c r="X304" s="13"/>
      <c r="Z304" s="13"/>
      <c r="AB304" s="13"/>
      <c r="AC304" s="13"/>
      <c r="AE304" s="13"/>
      <c r="AF304" s="13"/>
      <c r="AG304" s="13"/>
      <c r="AH304" s="13"/>
      <c r="AZ304" s="14"/>
      <c r="BA304" s="14"/>
      <c r="BB304" s="14"/>
    </row>
    <row r="305" ht="15.75" customHeight="1">
      <c r="B305" s="146"/>
      <c r="F305" s="13"/>
      <c r="K305" s="13"/>
      <c r="P305" s="13"/>
      <c r="Q305" s="13"/>
      <c r="R305" s="13"/>
      <c r="U305" s="13"/>
      <c r="W305" s="13"/>
      <c r="X305" s="13"/>
      <c r="Z305" s="13"/>
      <c r="AB305" s="13"/>
      <c r="AC305" s="13"/>
      <c r="AE305" s="13"/>
      <c r="AF305" s="13"/>
      <c r="AG305" s="13"/>
      <c r="AH305" s="13"/>
      <c r="AZ305" s="14"/>
      <c r="BA305" s="14"/>
      <c r="BB305" s="14"/>
    </row>
    <row r="306" ht="15.75" customHeight="1">
      <c r="B306" s="146"/>
      <c r="F306" s="13"/>
      <c r="K306" s="13"/>
      <c r="P306" s="13"/>
      <c r="Q306" s="13"/>
      <c r="R306" s="13"/>
      <c r="U306" s="13"/>
      <c r="W306" s="13"/>
      <c r="X306" s="13"/>
      <c r="Z306" s="13"/>
      <c r="AB306" s="13"/>
      <c r="AC306" s="13"/>
      <c r="AE306" s="13"/>
      <c r="AF306" s="13"/>
      <c r="AG306" s="13"/>
      <c r="AH306" s="13"/>
      <c r="AZ306" s="14"/>
      <c r="BA306" s="14"/>
      <c r="BB306" s="14"/>
    </row>
    <row r="307" ht="15.75" customHeight="1">
      <c r="B307" s="146"/>
      <c r="F307" s="13"/>
      <c r="K307" s="13"/>
      <c r="P307" s="13"/>
      <c r="Q307" s="13"/>
      <c r="R307" s="13"/>
      <c r="U307" s="13"/>
      <c r="W307" s="13"/>
      <c r="X307" s="13"/>
      <c r="Z307" s="13"/>
      <c r="AB307" s="13"/>
      <c r="AC307" s="13"/>
      <c r="AE307" s="13"/>
      <c r="AF307" s="13"/>
      <c r="AG307" s="13"/>
      <c r="AH307" s="13"/>
      <c r="AZ307" s="14"/>
      <c r="BA307" s="14"/>
      <c r="BB307" s="14"/>
    </row>
    <row r="308" ht="15.75" customHeight="1">
      <c r="B308" s="146"/>
      <c r="F308" s="13"/>
      <c r="K308" s="13"/>
      <c r="P308" s="13"/>
      <c r="Q308" s="13"/>
      <c r="R308" s="13"/>
      <c r="U308" s="13"/>
      <c r="W308" s="13"/>
      <c r="X308" s="13"/>
      <c r="Z308" s="13"/>
      <c r="AB308" s="13"/>
      <c r="AC308" s="13"/>
      <c r="AE308" s="13"/>
      <c r="AF308" s="13"/>
      <c r="AG308" s="13"/>
      <c r="AH308" s="13"/>
      <c r="AZ308" s="14"/>
      <c r="BA308" s="14"/>
      <c r="BB308" s="14"/>
    </row>
    <row r="309" ht="15.75" customHeight="1">
      <c r="B309" s="146"/>
      <c r="F309" s="13"/>
      <c r="K309" s="13"/>
      <c r="P309" s="13"/>
      <c r="Q309" s="13"/>
      <c r="R309" s="13"/>
      <c r="U309" s="13"/>
      <c r="W309" s="13"/>
      <c r="X309" s="13"/>
      <c r="Z309" s="13"/>
      <c r="AB309" s="13"/>
      <c r="AC309" s="13"/>
      <c r="AE309" s="13"/>
      <c r="AF309" s="13"/>
      <c r="AG309" s="13"/>
      <c r="AH309" s="13"/>
      <c r="AZ309" s="14"/>
      <c r="BA309" s="14"/>
      <c r="BB309" s="14"/>
    </row>
    <row r="310" ht="15.75" customHeight="1">
      <c r="B310" s="146"/>
      <c r="F310" s="13"/>
      <c r="K310" s="13"/>
      <c r="P310" s="13"/>
      <c r="Q310" s="13"/>
      <c r="R310" s="13"/>
      <c r="U310" s="13"/>
      <c r="W310" s="13"/>
      <c r="X310" s="13"/>
      <c r="Z310" s="13"/>
      <c r="AB310" s="13"/>
      <c r="AC310" s="13"/>
      <c r="AE310" s="13"/>
      <c r="AF310" s="13"/>
      <c r="AG310" s="13"/>
      <c r="AH310" s="13"/>
      <c r="AZ310" s="14"/>
      <c r="BA310" s="14"/>
      <c r="BB310" s="14"/>
    </row>
    <row r="311" ht="15.75" customHeight="1">
      <c r="B311" s="146"/>
      <c r="F311" s="13"/>
      <c r="K311" s="13"/>
      <c r="P311" s="13"/>
      <c r="Q311" s="13"/>
      <c r="R311" s="13"/>
      <c r="U311" s="13"/>
      <c r="W311" s="13"/>
      <c r="X311" s="13"/>
      <c r="Z311" s="13"/>
      <c r="AB311" s="13"/>
      <c r="AC311" s="13"/>
      <c r="AE311" s="13"/>
      <c r="AF311" s="13"/>
      <c r="AG311" s="13"/>
      <c r="AH311" s="13"/>
      <c r="AZ311" s="14"/>
      <c r="BA311" s="14"/>
      <c r="BB311" s="14"/>
    </row>
    <row r="312" ht="15.75" customHeight="1">
      <c r="B312" s="146"/>
      <c r="F312" s="13"/>
      <c r="K312" s="13"/>
      <c r="P312" s="13"/>
      <c r="Q312" s="13"/>
      <c r="R312" s="13"/>
      <c r="U312" s="13"/>
      <c r="W312" s="13"/>
      <c r="X312" s="13"/>
      <c r="Z312" s="13"/>
      <c r="AB312" s="13"/>
      <c r="AC312" s="13"/>
      <c r="AE312" s="13"/>
      <c r="AF312" s="13"/>
      <c r="AG312" s="13"/>
      <c r="AH312" s="13"/>
      <c r="AZ312" s="14"/>
      <c r="BA312" s="14"/>
      <c r="BB312" s="14"/>
    </row>
    <row r="313" ht="15.75" customHeight="1">
      <c r="B313" s="146"/>
      <c r="F313" s="13"/>
      <c r="K313" s="13"/>
      <c r="P313" s="13"/>
      <c r="Q313" s="13"/>
      <c r="R313" s="13"/>
      <c r="U313" s="13"/>
      <c r="W313" s="13"/>
      <c r="X313" s="13"/>
      <c r="Z313" s="13"/>
      <c r="AB313" s="13"/>
      <c r="AC313" s="13"/>
      <c r="AE313" s="13"/>
      <c r="AF313" s="13"/>
      <c r="AG313" s="13"/>
      <c r="AH313" s="13"/>
      <c r="AZ313" s="14"/>
      <c r="BA313" s="14"/>
      <c r="BB313" s="14"/>
    </row>
    <row r="314" ht="15.75" customHeight="1">
      <c r="B314" s="146"/>
      <c r="F314" s="13"/>
      <c r="K314" s="13"/>
      <c r="P314" s="13"/>
      <c r="Q314" s="13"/>
      <c r="R314" s="13"/>
      <c r="U314" s="13"/>
      <c r="W314" s="13"/>
      <c r="X314" s="13"/>
      <c r="Z314" s="13"/>
      <c r="AB314" s="13"/>
      <c r="AC314" s="13"/>
      <c r="AE314" s="13"/>
      <c r="AF314" s="13"/>
      <c r="AG314" s="13"/>
      <c r="AH314" s="13"/>
      <c r="AZ314" s="14"/>
      <c r="BA314" s="14"/>
      <c r="BB314" s="14"/>
    </row>
    <row r="315" ht="15.75" customHeight="1">
      <c r="B315" s="146"/>
      <c r="F315" s="13"/>
      <c r="K315" s="13"/>
      <c r="P315" s="13"/>
      <c r="Q315" s="13"/>
      <c r="R315" s="13"/>
      <c r="U315" s="13"/>
      <c r="W315" s="13"/>
      <c r="X315" s="13"/>
      <c r="Z315" s="13"/>
      <c r="AB315" s="13"/>
      <c r="AC315" s="13"/>
      <c r="AE315" s="13"/>
      <c r="AF315" s="13"/>
      <c r="AG315" s="13"/>
      <c r="AH315" s="13"/>
      <c r="AZ315" s="14"/>
      <c r="BA315" s="14"/>
      <c r="BB315" s="14"/>
    </row>
    <row r="316" ht="15.75" customHeight="1">
      <c r="B316" s="146"/>
      <c r="F316" s="13"/>
      <c r="K316" s="13"/>
      <c r="P316" s="13"/>
      <c r="Q316" s="13"/>
      <c r="R316" s="13"/>
      <c r="U316" s="13"/>
      <c r="W316" s="13"/>
      <c r="X316" s="13"/>
      <c r="Z316" s="13"/>
      <c r="AB316" s="13"/>
      <c r="AC316" s="13"/>
      <c r="AE316" s="13"/>
      <c r="AF316" s="13"/>
      <c r="AG316" s="13"/>
      <c r="AH316" s="13"/>
      <c r="AZ316" s="14"/>
      <c r="BA316" s="14"/>
      <c r="BB316" s="14"/>
    </row>
    <row r="317" ht="15.75" customHeight="1">
      <c r="B317" s="146"/>
      <c r="F317" s="13"/>
      <c r="K317" s="13"/>
      <c r="P317" s="13"/>
      <c r="Q317" s="13"/>
      <c r="R317" s="13"/>
      <c r="U317" s="13"/>
      <c r="W317" s="13"/>
      <c r="X317" s="13"/>
      <c r="Z317" s="13"/>
      <c r="AB317" s="13"/>
      <c r="AC317" s="13"/>
      <c r="AE317" s="13"/>
      <c r="AF317" s="13"/>
      <c r="AG317" s="13"/>
      <c r="AH317" s="13"/>
      <c r="AZ317" s="14"/>
      <c r="BA317" s="14"/>
      <c r="BB317" s="14"/>
    </row>
    <row r="318" ht="15.75" customHeight="1">
      <c r="B318" s="146"/>
      <c r="F318" s="13"/>
      <c r="K318" s="13"/>
      <c r="P318" s="13"/>
      <c r="Q318" s="13"/>
      <c r="R318" s="13"/>
      <c r="U318" s="13"/>
      <c r="W318" s="13"/>
      <c r="X318" s="13"/>
      <c r="Z318" s="13"/>
      <c r="AB318" s="13"/>
      <c r="AC318" s="13"/>
      <c r="AE318" s="13"/>
      <c r="AF318" s="13"/>
      <c r="AG318" s="13"/>
      <c r="AH318" s="13"/>
      <c r="AZ318" s="14"/>
      <c r="BA318" s="14"/>
      <c r="BB318" s="14"/>
    </row>
    <row r="319" ht="15.75" customHeight="1">
      <c r="B319" s="146"/>
      <c r="F319" s="13"/>
      <c r="K319" s="13"/>
      <c r="P319" s="13"/>
      <c r="Q319" s="13"/>
      <c r="R319" s="13"/>
      <c r="U319" s="13"/>
      <c r="W319" s="13"/>
      <c r="X319" s="13"/>
      <c r="Z319" s="13"/>
      <c r="AB319" s="13"/>
      <c r="AC319" s="13"/>
      <c r="AE319" s="13"/>
      <c r="AF319" s="13"/>
      <c r="AG319" s="13"/>
      <c r="AH319" s="13"/>
      <c r="AZ319" s="14"/>
      <c r="BA319" s="14"/>
      <c r="BB319" s="14"/>
    </row>
    <row r="320" ht="15.75" customHeight="1">
      <c r="B320" s="146"/>
      <c r="F320" s="13"/>
      <c r="K320" s="13"/>
      <c r="P320" s="13"/>
      <c r="Q320" s="13"/>
      <c r="R320" s="13"/>
      <c r="U320" s="13"/>
      <c r="W320" s="13"/>
      <c r="X320" s="13"/>
      <c r="Z320" s="13"/>
      <c r="AB320" s="13"/>
      <c r="AC320" s="13"/>
      <c r="AE320" s="13"/>
      <c r="AF320" s="13"/>
      <c r="AG320" s="13"/>
      <c r="AH320" s="13"/>
      <c r="AZ320" s="14"/>
      <c r="BA320" s="14"/>
      <c r="BB320" s="14"/>
    </row>
    <row r="321" ht="15.75" customHeight="1">
      <c r="B321" s="146"/>
      <c r="F321" s="13"/>
      <c r="K321" s="13"/>
      <c r="P321" s="13"/>
      <c r="Q321" s="13"/>
      <c r="R321" s="13"/>
      <c r="U321" s="13"/>
      <c r="W321" s="13"/>
      <c r="X321" s="13"/>
      <c r="Z321" s="13"/>
      <c r="AB321" s="13"/>
      <c r="AC321" s="13"/>
      <c r="AE321" s="13"/>
      <c r="AF321" s="13"/>
      <c r="AG321" s="13"/>
      <c r="AH321" s="13"/>
      <c r="AZ321" s="14"/>
      <c r="BA321" s="14"/>
      <c r="BB321" s="14"/>
    </row>
    <row r="322" ht="15.75" customHeight="1">
      <c r="B322" s="146"/>
      <c r="F322" s="13"/>
      <c r="K322" s="13"/>
      <c r="P322" s="13"/>
      <c r="Q322" s="13"/>
      <c r="R322" s="13"/>
      <c r="U322" s="13"/>
      <c r="W322" s="13"/>
      <c r="X322" s="13"/>
      <c r="Z322" s="13"/>
      <c r="AB322" s="13"/>
      <c r="AC322" s="13"/>
      <c r="AE322" s="13"/>
      <c r="AF322" s="13"/>
      <c r="AG322" s="13"/>
      <c r="AH322" s="13"/>
      <c r="AZ322" s="14"/>
      <c r="BA322" s="14"/>
      <c r="BB322" s="14"/>
    </row>
    <row r="323" ht="15.75" customHeight="1">
      <c r="B323" s="146"/>
      <c r="F323" s="13"/>
      <c r="K323" s="13"/>
      <c r="P323" s="13"/>
      <c r="Q323" s="13"/>
      <c r="R323" s="13"/>
      <c r="U323" s="13"/>
      <c r="W323" s="13"/>
      <c r="X323" s="13"/>
      <c r="Z323" s="13"/>
      <c r="AB323" s="13"/>
      <c r="AC323" s="13"/>
      <c r="AE323" s="13"/>
      <c r="AF323" s="13"/>
      <c r="AG323" s="13"/>
      <c r="AH323" s="13"/>
      <c r="AZ323" s="14"/>
      <c r="BA323" s="14"/>
      <c r="BB323" s="14"/>
    </row>
    <row r="324" ht="15.75" customHeight="1">
      <c r="B324" s="146"/>
      <c r="F324" s="13"/>
      <c r="K324" s="13"/>
      <c r="P324" s="13"/>
      <c r="Q324" s="13"/>
      <c r="R324" s="13"/>
      <c r="U324" s="13"/>
      <c r="W324" s="13"/>
      <c r="X324" s="13"/>
      <c r="Z324" s="13"/>
      <c r="AB324" s="13"/>
      <c r="AC324" s="13"/>
      <c r="AE324" s="13"/>
      <c r="AF324" s="13"/>
      <c r="AG324" s="13"/>
      <c r="AH324" s="13"/>
      <c r="AZ324" s="14"/>
      <c r="BA324" s="14"/>
      <c r="BB324" s="14"/>
    </row>
    <row r="325" ht="15.75" customHeight="1">
      <c r="B325" s="146"/>
      <c r="F325" s="13"/>
      <c r="K325" s="13"/>
      <c r="P325" s="13"/>
      <c r="Q325" s="13"/>
      <c r="R325" s="13"/>
      <c r="U325" s="13"/>
      <c r="W325" s="13"/>
      <c r="X325" s="13"/>
      <c r="Z325" s="13"/>
      <c r="AB325" s="13"/>
      <c r="AC325" s="13"/>
      <c r="AE325" s="13"/>
      <c r="AF325" s="13"/>
      <c r="AG325" s="13"/>
      <c r="AH325" s="13"/>
      <c r="AZ325" s="14"/>
      <c r="BA325" s="14"/>
      <c r="BB325" s="14"/>
    </row>
    <row r="326" ht="15.75" customHeight="1">
      <c r="B326" s="146"/>
      <c r="F326" s="13"/>
      <c r="K326" s="13"/>
      <c r="P326" s="13"/>
      <c r="Q326" s="13"/>
      <c r="R326" s="13"/>
      <c r="U326" s="13"/>
      <c r="W326" s="13"/>
      <c r="X326" s="13"/>
      <c r="Z326" s="13"/>
      <c r="AB326" s="13"/>
      <c r="AC326" s="13"/>
      <c r="AE326" s="13"/>
      <c r="AF326" s="13"/>
      <c r="AG326" s="13"/>
      <c r="AH326" s="13"/>
      <c r="AZ326" s="14"/>
      <c r="BA326" s="14"/>
      <c r="BB326" s="14"/>
    </row>
    <row r="327" ht="15.75" customHeight="1">
      <c r="B327" s="146"/>
      <c r="F327" s="13"/>
      <c r="K327" s="13"/>
      <c r="P327" s="13"/>
      <c r="Q327" s="13"/>
      <c r="R327" s="13"/>
      <c r="U327" s="13"/>
      <c r="W327" s="13"/>
      <c r="X327" s="13"/>
      <c r="Z327" s="13"/>
      <c r="AB327" s="13"/>
      <c r="AC327" s="13"/>
      <c r="AE327" s="13"/>
      <c r="AF327" s="13"/>
      <c r="AG327" s="13"/>
      <c r="AH327" s="13"/>
      <c r="AZ327" s="14"/>
      <c r="BA327" s="14"/>
      <c r="BB327" s="14"/>
    </row>
    <row r="328" ht="15.75" customHeight="1">
      <c r="B328" s="146"/>
      <c r="F328" s="13"/>
      <c r="K328" s="13"/>
      <c r="P328" s="13"/>
      <c r="Q328" s="13"/>
      <c r="R328" s="13"/>
      <c r="U328" s="13"/>
      <c r="W328" s="13"/>
      <c r="X328" s="13"/>
      <c r="Z328" s="13"/>
      <c r="AB328" s="13"/>
      <c r="AC328" s="13"/>
      <c r="AE328" s="13"/>
      <c r="AF328" s="13"/>
      <c r="AG328" s="13"/>
      <c r="AH328" s="13"/>
      <c r="AZ328" s="14"/>
      <c r="BA328" s="14"/>
      <c r="BB328" s="14"/>
    </row>
    <row r="329" ht="15.75" customHeight="1">
      <c r="B329" s="146"/>
      <c r="F329" s="13"/>
      <c r="K329" s="13"/>
      <c r="P329" s="13"/>
      <c r="Q329" s="13"/>
      <c r="R329" s="13"/>
      <c r="U329" s="13"/>
      <c r="W329" s="13"/>
      <c r="X329" s="13"/>
      <c r="Z329" s="13"/>
      <c r="AB329" s="13"/>
      <c r="AC329" s="13"/>
      <c r="AE329" s="13"/>
      <c r="AF329" s="13"/>
      <c r="AG329" s="13"/>
      <c r="AH329" s="13"/>
      <c r="AZ329" s="14"/>
      <c r="BA329" s="14"/>
      <c r="BB329" s="14"/>
    </row>
    <row r="330" ht="15.75" customHeight="1">
      <c r="B330" s="146"/>
      <c r="F330" s="13"/>
      <c r="K330" s="13"/>
      <c r="P330" s="13"/>
      <c r="Q330" s="13"/>
      <c r="R330" s="13"/>
      <c r="U330" s="13"/>
      <c r="W330" s="13"/>
      <c r="X330" s="13"/>
      <c r="Z330" s="13"/>
      <c r="AB330" s="13"/>
      <c r="AC330" s="13"/>
      <c r="AE330" s="13"/>
      <c r="AF330" s="13"/>
      <c r="AG330" s="13"/>
      <c r="AH330" s="13"/>
      <c r="AZ330" s="14"/>
      <c r="BA330" s="14"/>
      <c r="BB330" s="14"/>
    </row>
    <row r="331" ht="15.75" customHeight="1">
      <c r="B331" s="146"/>
      <c r="F331" s="13"/>
      <c r="K331" s="13"/>
      <c r="P331" s="13"/>
      <c r="Q331" s="13"/>
      <c r="R331" s="13"/>
      <c r="U331" s="13"/>
      <c r="W331" s="13"/>
      <c r="X331" s="13"/>
      <c r="Z331" s="13"/>
      <c r="AB331" s="13"/>
      <c r="AC331" s="13"/>
      <c r="AE331" s="13"/>
      <c r="AF331" s="13"/>
      <c r="AG331" s="13"/>
      <c r="AH331" s="13"/>
      <c r="AZ331" s="14"/>
      <c r="BA331" s="14"/>
      <c r="BB331" s="14"/>
    </row>
    <row r="332" ht="15.75" customHeight="1">
      <c r="B332" s="146"/>
      <c r="F332" s="13"/>
      <c r="K332" s="13"/>
      <c r="P332" s="13"/>
      <c r="Q332" s="13"/>
      <c r="R332" s="13"/>
      <c r="U332" s="13"/>
      <c r="W332" s="13"/>
      <c r="X332" s="13"/>
      <c r="Z332" s="13"/>
      <c r="AB332" s="13"/>
      <c r="AC332" s="13"/>
      <c r="AE332" s="13"/>
      <c r="AF332" s="13"/>
      <c r="AG332" s="13"/>
      <c r="AH332" s="13"/>
      <c r="AZ332" s="14"/>
      <c r="BA332" s="14"/>
      <c r="BB332" s="14"/>
    </row>
    <row r="333" ht="15.75" customHeight="1">
      <c r="B333" s="146"/>
      <c r="F333" s="13"/>
      <c r="K333" s="13"/>
      <c r="P333" s="13"/>
      <c r="Q333" s="13"/>
      <c r="R333" s="13"/>
      <c r="U333" s="13"/>
      <c r="W333" s="13"/>
      <c r="X333" s="13"/>
      <c r="Z333" s="13"/>
      <c r="AB333" s="13"/>
      <c r="AC333" s="13"/>
      <c r="AE333" s="13"/>
      <c r="AF333" s="13"/>
      <c r="AG333" s="13"/>
      <c r="AH333" s="13"/>
      <c r="AZ333" s="14"/>
      <c r="BA333" s="14"/>
      <c r="BB333" s="14"/>
    </row>
    <row r="334" ht="15.75" customHeight="1">
      <c r="B334" s="146"/>
      <c r="F334" s="13"/>
      <c r="K334" s="13"/>
      <c r="P334" s="13"/>
      <c r="Q334" s="13"/>
      <c r="R334" s="13"/>
      <c r="U334" s="13"/>
      <c r="W334" s="13"/>
      <c r="X334" s="13"/>
      <c r="Z334" s="13"/>
      <c r="AB334" s="13"/>
      <c r="AC334" s="13"/>
      <c r="AE334" s="13"/>
      <c r="AF334" s="13"/>
      <c r="AG334" s="13"/>
      <c r="AH334" s="13"/>
      <c r="AZ334" s="14"/>
      <c r="BA334" s="14"/>
      <c r="BB334" s="14"/>
    </row>
    <row r="335" ht="15.75" customHeight="1">
      <c r="B335" s="146"/>
      <c r="F335" s="13"/>
      <c r="K335" s="13"/>
      <c r="P335" s="13"/>
      <c r="Q335" s="13"/>
      <c r="R335" s="13"/>
      <c r="U335" s="13"/>
      <c r="W335" s="13"/>
      <c r="X335" s="13"/>
      <c r="Z335" s="13"/>
      <c r="AB335" s="13"/>
      <c r="AC335" s="13"/>
      <c r="AE335" s="13"/>
      <c r="AF335" s="13"/>
      <c r="AG335" s="13"/>
      <c r="AH335" s="13"/>
      <c r="AZ335" s="14"/>
      <c r="BA335" s="14"/>
      <c r="BB335" s="14"/>
    </row>
    <row r="336" ht="15.75" customHeight="1">
      <c r="B336" s="146"/>
      <c r="F336" s="13"/>
      <c r="K336" s="13"/>
      <c r="P336" s="13"/>
      <c r="Q336" s="13"/>
      <c r="R336" s="13"/>
      <c r="U336" s="13"/>
      <c r="W336" s="13"/>
      <c r="X336" s="13"/>
      <c r="Z336" s="13"/>
      <c r="AB336" s="13"/>
      <c r="AC336" s="13"/>
      <c r="AE336" s="13"/>
      <c r="AF336" s="13"/>
      <c r="AG336" s="13"/>
      <c r="AH336" s="13"/>
      <c r="AZ336" s="14"/>
      <c r="BA336" s="14"/>
      <c r="BB336" s="14"/>
    </row>
    <row r="337" ht="15.75" customHeight="1">
      <c r="B337" s="146"/>
      <c r="F337" s="13"/>
      <c r="K337" s="13"/>
      <c r="P337" s="13"/>
      <c r="Q337" s="13"/>
      <c r="R337" s="13"/>
      <c r="U337" s="13"/>
      <c r="W337" s="13"/>
      <c r="X337" s="13"/>
      <c r="Z337" s="13"/>
      <c r="AB337" s="13"/>
      <c r="AC337" s="13"/>
      <c r="AE337" s="13"/>
      <c r="AF337" s="13"/>
      <c r="AG337" s="13"/>
      <c r="AH337" s="13"/>
      <c r="AZ337" s="14"/>
      <c r="BA337" s="14"/>
      <c r="BB337" s="14"/>
    </row>
    <row r="338" ht="15.75" customHeight="1">
      <c r="B338" s="146"/>
      <c r="F338" s="13"/>
      <c r="K338" s="13"/>
      <c r="P338" s="13"/>
      <c r="Q338" s="13"/>
      <c r="R338" s="13"/>
      <c r="U338" s="13"/>
      <c r="W338" s="13"/>
      <c r="X338" s="13"/>
      <c r="Z338" s="13"/>
      <c r="AB338" s="13"/>
      <c r="AC338" s="13"/>
      <c r="AE338" s="13"/>
      <c r="AF338" s="13"/>
      <c r="AG338" s="13"/>
      <c r="AH338" s="13"/>
      <c r="AZ338" s="14"/>
      <c r="BA338" s="14"/>
      <c r="BB338" s="14"/>
    </row>
    <row r="339" ht="15.75" customHeight="1">
      <c r="B339" s="146"/>
      <c r="F339" s="13"/>
      <c r="K339" s="13"/>
      <c r="P339" s="13"/>
      <c r="Q339" s="13"/>
      <c r="R339" s="13"/>
      <c r="U339" s="13"/>
      <c r="W339" s="13"/>
      <c r="X339" s="13"/>
      <c r="Z339" s="13"/>
      <c r="AB339" s="13"/>
      <c r="AC339" s="13"/>
      <c r="AE339" s="13"/>
      <c r="AF339" s="13"/>
      <c r="AG339" s="13"/>
      <c r="AH339" s="13"/>
      <c r="AZ339" s="14"/>
      <c r="BA339" s="14"/>
      <c r="BB339" s="14"/>
    </row>
    <row r="340" ht="15.75" customHeight="1">
      <c r="B340" s="146"/>
      <c r="F340" s="13"/>
      <c r="K340" s="13"/>
      <c r="P340" s="13"/>
      <c r="Q340" s="13"/>
      <c r="R340" s="13"/>
      <c r="U340" s="13"/>
      <c r="W340" s="13"/>
      <c r="X340" s="13"/>
      <c r="Z340" s="13"/>
      <c r="AB340" s="13"/>
      <c r="AC340" s="13"/>
      <c r="AE340" s="13"/>
      <c r="AF340" s="13"/>
      <c r="AG340" s="13"/>
      <c r="AH340" s="13"/>
      <c r="AZ340" s="14"/>
      <c r="BA340" s="14"/>
      <c r="BB340" s="14"/>
    </row>
    <row r="341" ht="15.75" customHeight="1">
      <c r="B341" s="146"/>
      <c r="F341" s="13"/>
      <c r="K341" s="13"/>
      <c r="P341" s="13"/>
      <c r="Q341" s="13"/>
      <c r="R341" s="13"/>
      <c r="U341" s="13"/>
      <c r="W341" s="13"/>
      <c r="X341" s="13"/>
      <c r="Z341" s="13"/>
      <c r="AB341" s="13"/>
      <c r="AC341" s="13"/>
      <c r="AE341" s="13"/>
      <c r="AF341" s="13"/>
      <c r="AG341" s="13"/>
      <c r="AH341" s="13"/>
      <c r="AZ341" s="14"/>
      <c r="BA341" s="14"/>
      <c r="BB341" s="14"/>
    </row>
    <row r="342" ht="15.75" customHeight="1">
      <c r="B342" s="146"/>
      <c r="F342" s="13"/>
      <c r="K342" s="13"/>
      <c r="P342" s="13"/>
      <c r="Q342" s="13"/>
      <c r="R342" s="13"/>
      <c r="U342" s="13"/>
      <c r="W342" s="13"/>
      <c r="X342" s="13"/>
      <c r="Z342" s="13"/>
      <c r="AB342" s="13"/>
      <c r="AC342" s="13"/>
      <c r="AE342" s="13"/>
      <c r="AF342" s="13"/>
      <c r="AG342" s="13"/>
      <c r="AH342" s="13"/>
      <c r="AZ342" s="14"/>
      <c r="BA342" s="14"/>
      <c r="BB342" s="14"/>
    </row>
    <row r="343" ht="15.75" customHeight="1">
      <c r="B343" s="146"/>
      <c r="F343" s="13"/>
      <c r="K343" s="13"/>
      <c r="P343" s="13"/>
      <c r="Q343" s="13"/>
      <c r="R343" s="13"/>
      <c r="U343" s="13"/>
      <c r="W343" s="13"/>
      <c r="X343" s="13"/>
      <c r="Z343" s="13"/>
      <c r="AB343" s="13"/>
      <c r="AC343" s="13"/>
      <c r="AE343" s="13"/>
      <c r="AF343" s="13"/>
      <c r="AG343" s="13"/>
      <c r="AH343" s="13"/>
      <c r="AZ343" s="14"/>
      <c r="BA343" s="14"/>
      <c r="BB343" s="14"/>
    </row>
    <row r="344" ht="15.75" customHeight="1">
      <c r="B344" s="146"/>
      <c r="F344" s="13"/>
      <c r="K344" s="13"/>
      <c r="P344" s="13"/>
      <c r="Q344" s="13"/>
      <c r="R344" s="13"/>
      <c r="U344" s="13"/>
      <c r="W344" s="13"/>
      <c r="X344" s="13"/>
      <c r="Z344" s="13"/>
      <c r="AB344" s="13"/>
      <c r="AC344" s="13"/>
      <c r="AE344" s="13"/>
      <c r="AF344" s="13"/>
      <c r="AG344" s="13"/>
      <c r="AH344" s="13"/>
      <c r="AZ344" s="14"/>
      <c r="BA344" s="14"/>
      <c r="BB344" s="14"/>
    </row>
    <row r="345" ht="15.75" customHeight="1">
      <c r="B345" s="146"/>
      <c r="F345" s="13"/>
      <c r="K345" s="13"/>
      <c r="P345" s="13"/>
      <c r="Q345" s="13"/>
      <c r="R345" s="13"/>
      <c r="U345" s="13"/>
      <c r="W345" s="13"/>
      <c r="X345" s="13"/>
      <c r="Z345" s="13"/>
      <c r="AB345" s="13"/>
      <c r="AC345" s="13"/>
      <c r="AE345" s="13"/>
      <c r="AF345" s="13"/>
      <c r="AG345" s="13"/>
      <c r="AH345" s="13"/>
      <c r="AZ345" s="14"/>
      <c r="BA345" s="14"/>
      <c r="BB345" s="14"/>
    </row>
    <row r="346" ht="15.75" customHeight="1">
      <c r="B346" s="146"/>
      <c r="F346" s="13"/>
      <c r="K346" s="13"/>
      <c r="P346" s="13"/>
      <c r="Q346" s="13"/>
      <c r="R346" s="13"/>
      <c r="U346" s="13"/>
      <c r="W346" s="13"/>
      <c r="X346" s="13"/>
      <c r="Z346" s="13"/>
      <c r="AB346" s="13"/>
      <c r="AC346" s="13"/>
      <c r="AE346" s="13"/>
      <c r="AF346" s="13"/>
      <c r="AG346" s="13"/>
      <c r="AH346" s="13"/>
      <c r="AZ346" s="14"/>
      <c r="BA346" s="14"/>
      <c r="BB346" s="14"/>
    </row>
    <row r="347" ht="15.75" customHeight="1">
      <c r="B347" s="146"/>
      <c r="F347" s="13"/>
      <c r="K347" s="13"/>
      <c r="P347" s="13"/>
      <c r="Q347" s="13"/>
      <c r="R347" s="13"/>
      <c r="U347" s="13"/>
      <c r="W347" s="13"/>
      <c r="X347" s="13"/>
      <c r="Z347" s="13"/>
      <c r="AB347" s="13"/>
      <c r="AC347" s="13"/>
      <c r="AE347" s="13"/>
      <c r="AF347" s="13"/>
      <c r="AG347" s="13"/>
      <c r="AH347" s="13"/>
      <c r="AZ347" s="14"/>
      <c r="BA347" s="14"/>
      <c r="BB347" s="14"/>
    </row>
    <row r="348" ht="15.75" customHeight="1">
      <c r="B348" s="146"/>
      <c r="F348" s="13"/>
      <c r="K348" s="13"/>
      <c r="P348" s="13"/>
      <c r="Q348" s="13"/>
      <c r="R348" s="13"/>
      <c r="U348" s="13"/>
      <c r="W348" s="13"/>
      <c r="X348" s="13"/>
      <c r="Z348" s="13"/>
      <c r="AB348" s="13"/>
      <c r="AC348" s="13"/>
      <c r="AE348" s="13"/>
      <c r="AF348" s="13"/>
      <c r="AG348" s="13"/>
      <c r="AH348" s="13"/>
      <c r="AZ348" s="14"/>
      <c r="BA348" s="14"/>
      <c r="BB348" s="14"/>
    </row>
    <row r="349" ht="15.75" customHeight="1">
      <c r="B349" s="146"/>
      <c r="F349" s="13"/>
      <c r="K349" s="13"/>
      <c r="P349" s="13"/>
      <c r="Q349" s="13"/>
      <c r="R349" s="13"/>
      <c r="U349" s="13"/>
      <c r="W349" s="13"/>
      <c r="X349" s="13"/>
      <c r="Z349" s="13"/>
      <c r="AB349" s="13"/>
      <c r="AC349" s="13"/>
      <c r="AE349" s="13"/>
      <c r="AF349" s="13"/>
      <c r="AG349" s="13"/>
      <c r="AH349" s="13"/>
      <c r="AZ349" s="14"/>
      <c r="BA349" s="14"/>
      <c r="BB349" s="14"/>
    </row>
    <row r="350" ht="15.75" customHeight="1">
      <c r="B350" s="146"/>
      <c r="F350" s="13"/>
      <c r="K350" s="13"/>
      <c r="P350" s="13"/>
      <c r="Q350" s="13"/>
      <c r="R350" s="13"/>
      <c r="U350" s="13"/>
      <c r="W350" s="13"/>
      <c r="X350" s="13"/>
      <c r="Z350" s="13"/>
      <c r="AB350" s="13"/>
      <c r="AC350" s="13"/>
      <c r="AE350" s="13"/>
      <c r="AF350" s="13"/>
      <c r="AG350" s="13"/>
      <c r="AH350" s="13"/>
      <c r="AZ350" s="14"/>
      <c r="BA350" s="14"/>
      <c r="BB350" s="14"/>
    </row>
    <row r="351" ht="15.75" customHeight="1">
      <c r="B351" s="146"/>
      <c r="F351" s="13"/>
      <c r="K351" s="13"/>
      <c r="P351" s="13"/>
      <c r="Q351" s="13"/>
      <c r="R351" s="13"/>
      <c r="U351" s="13"/>
      <c r="W351" s="13"/>
      <c r="X351" s="13"/>
      <c r="Z351" s="13"/>
      <c r="AB351" s="13"/>
      <c r="AC351" s="13"/>
      <c r="AE351" s="13"/>
      <c r="AF351" s="13"/>
      <c r="AG351" s="13"/>
      <c r="AH351" s="13"/>
      <c r="AZ351" s="14"/>
      <c r="BA351" s="14"/>
      <c r="BB351" s="14"/>
    </row>
    <row r="352" ht="15.75" customHeight="1">
      <c r="B352" s="146"/>
      <c r="F352" s="13"/>
      <c r="K352" s="13"/>
      <c r="P352" s="13"/>
      <c r="Q352" s="13"/>
      <c r="R352" s="13"/>
      <c r="U352" s="13"/>
      <c r="W352" s="13"/>
      <c r="X352" s="13"/>
      <c r="Z352" s="13"/>
      <c r="AB352" s="13"/>
      <c r="AC352" s="13"/>
      <c r="AE352" s="13"/>
      <c r="AF352" s="13"/>
      <c r="AG352" s="13"/>
      <c r="AH352" s="13"/>
      <c r="AZ352" s="14"/>
      <c r="BA352" s="14"/>
      <c r="BB352" s="14"/>
    </row>
    <row r="353" ht="15.75" customHeight="1">
      <c r="B353" s="146"/>
      <c r="F353" s="13"/>
      <c r="K353" s="13"/>
      <c r="P353" s="13"/>
      <c r="Q353" s="13"/>
      <c r="R353" s="13"/>
      <c r="U353" s="13"/>
      <c r="W353" s="13"/>
      <c r="X353" s="13"/>
      <c r="Z353" s="13"/>
      <c r="AB353" s="13"/>
      <c r="AC353" s="13"/>
      <c r="AE353" s="13"/>
      <c r="AF353" s="13"/>
      <c r="AG353" s="13"/>
      <c r="AH353" s="13"/>
      <c r="AZ353" s="14"/>
      <c r="BA353" s="14"/>
      <c r="BB353" s="14"/>
    </row>
    <row r="354" ht="15.75" customHeight="1">
      <c r="B354" s="146"/>
      <c r="F354" s="13"/>
      <c r="K354" s="13"/>
      <c r="P354" s="13"/>
      <c r="Q354" s="13"/>
      <c r="R354" s="13"/>
      <c r="U354" s="13"/>
      <c r="W354" s="13"/>
      <c r="X354" s="13"/>
      <c r="Z354" s="13"/>
      <c r="AB354" s="13"/>
      <c r="AC354" s="13"/>
      <c r="AE354" s="13"/>
      <c r="AF354" s="13"/>
      <c r="AG354" s="13"/>
      <c r="AH354" s="13"/>
      <c r="AZ354" s="14"/>
      <c r="BA354" s="14"/>
      <c r="BB354" s="14"/>
    </row>
    <row r="355" ht="15.75" customHeight="1">
      <c r="B355" s="146"/>
      <c r="F355" s="13"/>
      <c r="K355" s="13"/>
      <c r="P355" s="13"/>
      <c r="Q355" s="13"/>
      <c r="R355" s="13"/>
      <c r="U355" s="13"/>
      <c r="W355" s="13"/>
      <c r="X355" s="13"/>
      <c r="Z355" s="13"/>
      <c r="AB355" s="13"/>
      <c r="AC355" s="13"/>
      <c r="AE355" s="13"/>
      <c r="AF355" s="13"/>
      <c r="AG355" s="13"/>
      <c r="AH355" s="13"/>
      <c r="AZ355" s="14"/>
      <c r="BA355" s="14"/>
      <c r="BB355" s="14"/>
    </row>
    <row r="356" ht="15.75" customHeight="1">
      <c r="B356" s="146"/>
      <c r="F356" s="13"/>
      <c r="K356" s="13"/>
      <c r="P356" s="13"/>
      <c r="Q356" s="13"/>
      <c r="R356" s="13"/>
      <c r="U356" s="13"/>
      <c r="W356" s="13"/>
      <c r="X356" s="13"/>
      <c r="Z356" s="13"/>
      <c r="AB356" s="13"/>
      <c r="AC356" s="13"/>
      <c r="AE356" s="13"/>
      <c r="AF356" s="13"/>
      <c r="AG356" s="13"/>
      <c r="AH356" s="13"/>
      <c r="AZ356" s="14"/>
      <c r="BA356" s="14"/>
      <c r="BB356" s="14"/>
    </row>
    <row r="357" ht="15.75" customHeight="1">
      <c r="B357" s="146"/>
      <c r="F357" s="13"/>
      <c r="K357" s="13"/>
      <c r="P357" s="13"/>
      <c r="Q357" s="13"/>
      <c r="R357" s="13"/>
      <c r="U357" s="13"/>
      <c r="W357" s="13"/>
      <c r="X357" s="13"/>
      <c r="Z357" s="13"/>
      <c r="AB357" s="13"/>
      <c r="AC357" s="13"/>
      <c r="AE357" s="13"/>
      <c r="AF357" s="13"/>
      <c r="AG357" s="13"/>
      <c r="AH357" s="13"/>
      <c r="AZ357" s="14"/>
      <c r="BA357" s="14"/>
      <c r="BB357" s="14"/>
    </row>
    <row r="358" ht="15.75" customHeight="1">
      <c r="B358" s="146"/>
      <c r="F358" s="13"/>
      <c r="K358" s="13"/>
      <c r="P358" s="13"/>
      <c r="Q358" s="13"/>
      <c r="R358" s="13"/>
      <c r="U358" s="13"/>
      <c r="W358" s="13"/>
      <c r="X358" s="13"/>
      <c r="Z358" s="13"/>
      <c r="AB358" s="13"/>
      <c r="AC358" s="13"/>
      <c r="AE358" s="13"/>
      <c r="AF358" s="13"/>
      <c r="AG358" s="13"/>
      <c r="AH358" s="13"/>
      <c r="AZ358" s="14"/>
      <c r="BA358" s="14"/>
      <c r="BB358" s="14"/>
    </row>
    <row r="359" ht="15.75" customHeight="1">
      <c r="B359" s="146"/>
      <c r="F359" s="13"/>
      <c r="K359" s="13"/>
      <c r="P359" s="13"/>
      <c r="Q359" s="13"/>
      <c r="R359" s="13"/>
      <c r="U359" s="13"/>
      <c r="W359" s="13"/>
      <c r="X359" s="13"/>
      <c r="Z359" s="13"/>
      <c r="AB359" s="13"/>
      <c r="AC359" s="13"/>
      <c r="AE359" s="13"/>
      <c r="AF359" s="13"/>
      <c r="AG359" s="13"/>
      <c r="AH359" s="13"/>
      <c r="AZ359" s="14"/>
      <c r="BA359" s="14"/>
      <c r="BB359" s="14"/>
    </row>
    <row r="360" ht="15.75" customHeight="1">
      <c r="B360" s="146"/>
      <c r="F360" s="13"/>
      <c r="K360" s="13"/>
      <c r="P360" s="13"/>
      <c r="Q360" s="13"/>
      <c r="R360" s="13"/>
      <c r="U360" s="13"/>
      <c r="W360" s="13"/>
      <c r="X360" s="13"/>
      <c r="Z360" s="13"/>
      <c r="AB360" s="13"/>
      <c r="AC360" s="13"/>
      <c r="AE360" s="13"/>
      <c r="AF360" s="13"/>
      <c r="AG360" s="13"/>
      <c r="AH360" s="13"/>
      <c r="AZ360" s="14"/>
      <c r="BA360" s="14"/>
      <c r="BB360" s="14"/>
    </row>
    <row r="361" ht="15.75" customHeight="1">
      <c r="B361" s="146"/>
      <c r="F361" s="13"/>
      <c r="K361" s="13"/>
      <c r="P361" s="13"/>
      <c r="Q361" s="13"/>
      <c r="R361" s="13"/>
      <c r="U361" s="13"/>
      <c r="W361" s="13"/>
      <c r="X361" s="13"/>
      <c r="Z361" s="13"/>
      <c r="AB361" s="13"/>
      <c r="AC361" s="13"/>
      <c r="AE361" s="13"/>
      <c r="AF361" s="13"/>
      <c r="AG361" s="13"/>
      <c r="AH361" s="13"/>
      <c r="AZ361" s="14"/>
      <c r="BA361" s="14"/>
      <c r="BB361" s="14"/>
    </row>
    <row r="362" ht="15.75" customHeight="1">
      <c r="B362" s="146"/>
      <c r="F362" s="13"/>
      <c r="K362" s="13"/>
      <c r="P362" s="13"/>
      <c r="Q362" s="13"/>
      <c r="R362" s="13"/>
      <c r="U362" s="13"/>
      <c r="W362" s="13"/>
      <c r="X362" s="13"/>
      <c r="Z362" s="13"/>
      <c r="AB362" s="13"/>
      <c r="AC362" s="13"/>
      <c r="AE362" s="13"/>
      <c r="AF362" s="13"/>
      <c r="AG362" s="13"/>
      <c r="AH362" s="13"/>
      <c r="AZ362" s="14"/>
      <c r="BA362" s="14"/>
      <c r="BB362" s="14"/>
    </row>
    <row r="363" ht="15.75" customHeight="1">
      <c r="B363" s="146"/>
      <c r="F363" s="13"/>
      <c r="K363" s="13"/>
      <c r="P363" s="13"/>
      <c r="Q363" s="13"/>
      <c r="R363" s="13"/>
      <c r="U363" s="13"/>
      <c r="W363" s="13"/>
      <c r="X363" s="13"/>
      <c r="Z363" s="13"/>
      <c r="AB363" s="13"/>
      <c r="AC363" s="13"/>
      <c r="AE363" s="13"/>
      <c r="AF363" s="13"/>
      <c r="AG363" s="13"/>
      <c r="AH363" s="13"/>
      <c r="AZ363" s="14"/>
      <c r="BA363" s="14"/>
      <c r="BB363" s="14"/>
    </row>
    <row r="364" ht="15.75" customHeight="1">
      <c r="B364" s="146"/>
      <c r="F364" s="13"/>
      <c r="K364" s="13"/>
      <c r="P364" s="13"/>
      <c r="Q364" s="13"/>
      <c r="R364" s="13"/>
      <c r="U364" s="13"/>
      <c r="W364" s="13"/>
      <c r="X364" s="13"/>
      <c r="Z364" s="13"/>
      <c r="AB364" s="13"/>
      <c r="AC364" s="13"/>
      <c r="AE364" s="13"/>
      <c r="AF364" s="13"/>
      <c r="AG364" s="13"/>
      <c r="AH364" s="13"/>
      <c r="AZ364" s="14"/>
      <c r="BA364" s="14"/>
      <c r="BB364" s="14"/>
    </row>
    <row r="365" ht="15.75" customHeight="1">
      <c r="B365" s="146"/>
      <c r="F365" s="13"/>
      <c r="K365" s="13"/>
      <c r="P365" s="13"/>
      <c r="Q365" s="13"/>
      <c r="R365" s="13"/>
      <c r="U365" s="13"/>
      <c r="W365" s="13"/>
      <c r="X365" s="13"/>
      <c r="Z365" s="13"/>
      <c r="AB365" s="13"/>
      <c r="AC365" s="13"/>
      <c r="AE365" s="13"/>
      <c r="AF365" s="13"/>
      <c r="AG365" s="13"/>
      <c r="AH365" s="13"/>
      <c r="AZ365" s="14"/>
      <c r="BA365" s="14"/>
      <c r="BB365" s="14"/>
    </row>
    <row r="366" ht="15.75" customHeight="1">
      <c r="B366" s="146"/>
      <c r="F366" s="13"/>
      <c r="K366" s="13"/>
      <c r="P366" s="13"/>
      <c r="Q366" s="13"/>
      <c r="R366" s="13"/>
      <c r="U366" s="13"/>
      <c r="W366" s="13"/>
      <c r="X366" s="13"/>
      <c r="Z366" s="13"/>
      <c r="AB366" s="13"/>
      <c r="AC366" s="13"/>
      <c r="AE366" s="13"/>
      <c r="AF366" s="13"/>
      <c r="AG366" s="13"/>
      <c r="AH366" s="13"/>
      <c r="AZ366" s="14"/>
      <c r="BA366" s="14"/>
      <c r="BB366" s="14"/>
    </row>
    <row r="367" ht="15.75" customHeight="1">
      <c r="B367" s="146"/>
      <c r="F367" s="13"/>
      <c r="K367" s="13"/>
      <c r="P367" s="13"/>
      <c r="Q367" s="13"/>
      <c r="R367" s="13"/>
      <c r="U367" s="13"/>
      <c r="W367" s="13"/>
      <c r="X367" s="13"/>
      <c r="Z367" s="13"/>
      <c r="AB367" s="13"/>
      <c r="AC367" s="13"/>
      <c r="AE367" s="13"/>
      <c r="AF367" s="13"/>
      <c r="AG367" s="13"/>
      <c r="AH367" s="13"/>
      <c r="AZ367" s="14"/>
      <c r="BA367" s="14"/>
      <c r="BB367" s="14"/>
    </row>
    <row r="368" ht="15.75" customHeight="1">
      <c r="B368" s="146"/>
      <c r="F368" s="13"/>
      <c r="K368" s="13"/>
      <c r="P368" s="13"/>
      <c r="Q368" s="13"/>
      <c r="R368" s="13"/>
      <c r="U368" s="13"/>
      <c r="W368" s="13"/>
      <c r="X368" s="13"/>
      <c r="Z368" s="13"/>
      <c r="AB368" s="13"/>
      <c r="AC368" s="13"/>
      <c r="AE368" s="13"/>
      <c r="AF368" s="13"/>
      <c r="AG368" s="13"/>
      <c r="AH368" s="13"/>
      <c r="AZ368" s="14"/>
      <c r="BA368" s="14"/>
      <c r="BB368" s="14"/>
    </row>
    <row r="369" ht="15.75" customHeight="1">
      <c r="B369" s="146"/>
      <c r="F369" s="13"/>
      <c r="K369" s="13"/>
      <c r="P369" s="13"/>
      <c r="Q369" s="13"/>
      <c r="R369" s="13"/>
      <c r="U369" s="13"/>
      <c r="W369" s="13"/>
      <c r="X369" s="13"/>
      <c r="Z369" s="13"/>
      <c r="AB369" s="13"/>
      <c r="AC369" s="13"/>
      <c r="AE369" s="13"/>
      <c r="AF369" s="13"/>
      <c r="AG369" s="13"/>
      <c r="AH369" s="13"/>
      <c r="AZ369" s="14"/>
      <c r="BA369" s="14"/>
      <c r="BB369" s="14"/>
    </row>
    <row r="370" ht="15.75" customHeight="1">
      <c r="B370" s="146"/>
      <c r="F370" s="13"/>
      <c r="K370" s="13"/>
      <c r="P370" s="13"/>
      <c r="Q370" s="13"/>
      <c r="R370" s="13"/>
      <c r="U370" s="13"/>
      <c r="W370" s="13"/>
      <c r="X370" s="13"/>
      <c r="Z370" s="13"/>
      <c r="AB370" s="13"/>
      <c r="AC370" s="13"/>
      <c r="AE370" s="13"/>
      <c r="AF370" s="13"/>
      <c r="AG370" s="13"/>
      <c r="AH370" s="13"/>
      <c r="AZ370" s="14"/>
      <c r="BA370" s="14"/>
      <c r="BB370" s="14"/>
    </row>
    <row r="371" ht="15.75" customHeight="1">
      <c r="B371" s="146"/>
      <c r="F371" s="13"/>
      <c r="K371" s="13"/>
      <c r="P371" s="13"/>
      <c r="Q371" s="13"/>
      <c r="R371" s="13"/>
      <c r="U371" s="13"/>
      <c r="W371" s="13"/>
      <c r="X371" s="13"/>
      <c r="Z371" s="13"/>
      <c r="AB371" s="13"/>
      <c r="AC371" s="13"/>
      <c r="AE371" s="13"/>
      <c r="AF371" s="13"/>
      <c r="AG371" s="13"/>
      <c r="AH371" s="13"/>
      <c r="AZ371" s="14"/>
      <c r="BA371" s="14"/>
      <c r="BB371" s="14"/>
    </row>
    <row r="372" ht="15.75" customHeight="1">
      <c r="B372" s="146"/>
      <c r="F372" s="13"/>
      <c r="K372" s="13"/>
      <c r="P372" s="13"/>
      <c r="Q372" s="13"/>
      <c r="R372" s="13"/>
      <c r="U372" s="13"/>
      <c r="W372" s="13"/>
      <c r="X372" s="13"/>
      <c r="Z372" s="13"/>
      <c r="AB372" s="13"/>
      <c r="AC372" s="13"/>
      <c r="AE372" s="13"/>
      <c r="AF372" s="13"/>
      <c r="AG372" s="13"/>
      <c r="AH372" s="13"/>
      <c r="AZ372" s="14"/>
      <c r="BA372" s="14"/>
      <c r="BB372" s="14"/>
    </row>
    <row r="373" ht="15.75" customHeight="1">
      <c r="B373" s="146"/>
      <c r="F373" s="13"/>
      <c r="K373" s="13"/>
      <c r="P373" s="13"/>
      <c r="Q373" s="13"/>
      <c r="R373" s="13"/>
      <c r="U373" s="13"/>
      <c r="W373" s="13"/>
      <c r="X373" s="13"/>
      <c r="Z373" s="13"/>
      <c r="AB373" s="13"/>
      <c r="AC373" s="13"/>
      <c r="AE373" s="13"/>
      <c r="AF373" s="13"/>
      <c r="AG373" s="13"/>
      <c r="AH373" s="13"/>
      <c r="AZ373" s="14"/>
      <c r="BA373" s="14"/>
      <c r="BB373" s="14"/>
    </row>
    <row r="374" ht="15.75" customHeight="1">
      <c r="B374" s="146"/>
      <c r="F374" s="13"/>
      <c r="K374" s="13"/>
      <c r="P374" s="13"/>
      <c r="Q374" s="13"/>
      <c r="R374" s="13"/>
      <c r="U374" s="13"/>
      <c r="W374" s="13"/>
      <c r="X374" s="13"/>
      <c r="Z374" s="13"/>
      <c r="AB374" s="13"/>
      <c r="AC374" s="13"/>
      <c r="AE374" s="13"/>
      <c r="AF374" s="13"/>
      <c r="AG374" s="13"/>
      <c r="AH374" s="13"/>
      <c r="AZ374" s="14"/>
      <c r="BA374" s="14"/>
      <c r="BB374" s="14"/>
    </row>
    <row r="375" ht="15.75" customHeight="1">
      <c r="B375" s="146"/>
      <c r="F375" s="13"/>
      <c r="K375" s="13"/>
      <c r="P375" s="13"/>
      <c r="Q375" s="13"/>
      <c r="R375" s="13"/>
      <c r="U375" s="13"/>
      <c r="W375" s="13"/>
      <c r="X375" s="13"/>
      <c r="Z375" s="13"/>
      <c r="AB375" s="13"/>
      <c r="AC375" s="13"/>
      <c r="AE375" s="13"/>
      <c r="AF375" s="13"/>
      <c r="AG375" s="13"/>
      <c r="AH375" s="13"/>
      <c r="AZ375" s="14"/>
      <c r="BA375" s="14"/>
      <c r="BB375" s="14"/>
    </row>
    <row r="376" ht="15.75" customHeight="1">
      <c r="B376" s="146"/>
      <c r="F376" s="13"/>
      <c r="K376" s="13"/>
      <c r="P376" s="13"/>
      <c r="Q376" s="13"/>
      <c r="R376" s="13"/>
      <c r="U376" s="13"/>
      <c r="W376" s="13"/>
      <c r="X376" s="13"/>
      <c r="Z376" s="13"/>
      <c r="AB376" s="13"/>
      <c r="AC376" s="13"/>
      <c r="AE376" s="13"/>
      <c r="AF376" s="13"/>
      <c r="AG376" s="13"/>
      <c r="AH376" s="13"/>
      <c r="AZ376" s="14"/>
      <c r="BA376" s="14"/>
      <c r="BB376" s="14"/>
    </row>
    <row r="377" ht="15.75" customHeight="1">
      <c r="B377" s="146"/>
      <c r="F377" s="13"/>
      <c r="K377" s="13"/>
      <c r="P377" s="13"/>
      <c r="Q377" s="13"/>
      <c r="R377" s="13"/>
      <c r="U377" s="13"/>
      <c r="W377" s="13"/>
      <c r="X377" s="13"/>
      <c r="Z377" s="13"/>
      <c r="AB377" s="13"/>
      <c r="AC377" s="13"/>
      <c r="AE377" s="13"/>
      <c r="AF377" s="13"/>
      <c r="AG377" s="13"/>
      <c r="AH377" s="13"/>
      <c r="AZ377" s="14"/>
      <c r="BA377" s="14"/>
      <c r="BB377" s="14"/>
    </row>
    <row r="378" ht="15.75" customHeight="1">
      <c r="B378" s="146"/>
      <c r="F378" s="13"/>
      <c r="K378" s="13"/>
      <c r="P378" s="13"/>
      <c r="Q378" s="13"/>
      <c r="R378" s="13"/>
      <c r="U378" s="13"/>
      <c r="W378" s="13"/>
      <c r="X378" s="13"/>
      <c r="Z378" s="13"/>
      <c r="AB378" s="13"/>
      <c r="AC378" s="13"/>
      <c r="AE378" s="13"/>
      <c r="AF378" s="13"/>
      <c r="AG378" s="13"/>
      <c r="AH378" s="13"/>
      <c r="AZ378" s="14"/>
      <c r="BA378" s="14"/>
      <c r="BB378" s="14"/>
    </row>
    <row r="379" ht="15.75" customHeight="1">
      <c r="B379" s="146"/>
      <c r="F379" s="13"/>
      <c r="K379" s="13"/>
      <c r="P379" s="13"/>
      <c r="Q379" s="13"/>
      <c r="R379" s="13"/>
      <c r="U379" s="13"/>
      <c r="W379" s="13"/>
      <c r="X379" s="13"/>
      <c r="Z379" s="13"/>
      <c r="AB379" s="13"/>
      <c r="AC379" s="13"/>
      <c r="AE379" s="13"/>
      <c r="AF379" s="13"/>
      <c r="AG379" s="13"/>
      <c r="AH379" s="13"/>
      <c r="AZ379" s="14"/>
      <c r="BA379" s="14"/>
      <c r="BB379" s="14"/>
    </row>
    <row r="380" ht="15.75" customHeight="1">
      <c r="B380" s="146"/>
      <c r="F380" s="13"/>
      <c r="K380" s="13"/>
      <c r="P380" s="13"/>
      <c r="Q380" s="13"/>
      <c r="R380" s="13"/>
      <c r="U380" s="13"/>
      <c r="W380" s="13"/>
      <c r="X380" s="13"/>
      <c r="Z380" s="13"/>
      <c r="AB380" s="13"/>
      <c r="AC380" s="13"/>
      <c r="AE380" s="13"/>
      <c r="AF380" s="13"/>
      <c r="AG380" s="13"/>
      <c r="AH380" s="13"/>
      <c r="AZ380" s="14"/>
      <c r="BA380" s="14"/>
      <c r="BB380" s="14"/>
    </row>
    <row r="381" ht="15.75" customHeight="1">
      <c r="B381" s="146"/>
      <c r="F381" s="13"/>
      <c r="K381" s="13"/>
      <c r="P381" s="13"/>
      <c r="Q381" s="13"/>
      <c r="R381" s="13"/>
      <c r="U381" s="13"/>
      <c r="W381" s="13"/>
      <c r="X381" s="13"/>
      <c r="Z381" s="13"/>
      <c r="AB381" s="13"/>
      <c r="AC381" s="13"/>
      <c r="AE381" s="13"/>
      <c r="AF381" s="13"/>
      <c r="AG381" s="13"/>
      <c r="AH381" s="13"/>
      <c r="AZ381" s="14"/>
      <c r="BA381" s="14"/>
      <c r="BB381" s="14"/>
    </row>
    <row r="382" ht="15.75" customHeight="1">
      <c r="B382" s="146"/>
      <c r="F382" s="13"/>
      <c r="K382" s="13"/>
      <c r="P382" s="13"/>
      <c r="Q382" s="13"/>
      <c r="R382" s="13"/>
      <c r="U382" s="13"/>
      <c r="W382" s="13"/>
      <c r="X382" s="13"/>
      <c r="Z382" s="13"/>
      <c r="AB382" s="13"/>
      <c r="AC382" s="13"/>
      <c r="AE382" s="13"/>
      <c r="AF382" s="13"/>
      <c r="AG382" s="13"/>
      <c r="AH382" s="13"/>
      <c r="AZ382" s="14"/>
      <c r="BA382" s="14"/>
      <c r="BB382" s="14"/>
    </row>
    <row r="383" ht="15.75" customHeight="1">
      <c r="B383" s="146"/>
      <c r="F383" s="13"/>
      <c r="K383" s="13"/>
      <c r="P383" s="13"/>
      <c r="Q383" s="13"/>
      <c r="R383" s="13"/>
      <c r="U383" s="13"/>
      <c r="W383" s="13"/>
      <c r="X383" s="13"/>
      <c r="Z383" s="13"/>
      <c r="AB383" s="13"/>
      <c r="AC383" s="13"/>
      <c r="AE383" s="13"/>
      <c r="AF383" s="13"/>
      <c r="AG383" s="13"/>
      <c r="AH383" s="13"/>
      <c r="AZ383" s="14"/>
      <c r="BA383" s="14"/>
      <c r="BB383" s="14"/>
    </row>
    <row r="384" ht="15.75" customHeight="1">
      <c r="B384" s="146"/>
      <c r="F384" s="13"/>
      <c r="K384" s="13"/>
      <c r="P384" s="13"/>
      <c r="Q384" s="13"/>
      <c r="R384" s="13"/>
      <c r="U384" s="13"/>
      <c r="W384" s="13"/>
      <c r="X384" s="13"/>
      <c r="Z384" s="13"/>
      <c r="AB384" s="13"/>
      <c r="AC384" s="13"/>
      <c r="AE384" s="13"/>
      <c r="AF384" s="13"/>
      <c r="AG384" s="13"/>
      <c r="AH384" s="13"/>
      <c r="AZ384" s="14"/>
      <c r="BA384" s="14"/>
      <c r="BB384" s="14"/>
    </row>
    <row r="385" ht="15.75" customHeight="1">
      <c r="B385" s="146"/>
      <c r="F385" s="13"/>
      <c r="K385" s="13"/>
      <c r="P385" s="13"/>
      <c r="Q385" s="13"/>
      <c r="R385" s="13"/>
      <c r="U385" s="13"/>
      <c r="W385" s="13"/>
      <c r="X385" s="13"/>
      <c r="Z385" s="13"/>
      <c r="AB385" s="13"/>
      <c r="AC385" s="13"/>
      <c r="AE385" s="13"/>
      <c r="AF385" s="13"/>
      <c r="AG385" s="13"/>
      <c r="AH385" s="13"/>
      <c r="AZ385" s="14"/>
      <c r="BA385" s="14"/>
      <c r="BB385" s="14"/>
    </row>
    <row r="386" ht="15.75" customHeight="1">
      <c r="B386" s="146"/>
      <c r="F386" s="13"/>
      <c r="K386" s="13"/>
      <c r="P386" s="13"/>
      <c r="Q386" s="13"/>
      <c r="R386" s="13"/>
      <c r="U386" s="13"/>
      <c r="W386" s="13"/>
      <c r="X386" s="13"/>
      <c r="Z386" s="13"/>
      <c r="AB386" s="13"/>
      <c r="AC386" s="13"/>
      <c r="AE386" s="13"/>
      <c r="AF386" s="13"/>
      <c r="AG386" s="13"/>
      <c r="AH386" s="13"/>
      <c r="AZ386" s="14"/>
      <c r="BA386" s="14"/>
      <c r="BB386" s="14"/>
    </row>
    <row r="387" ht="15.75" customHeight="1">
      <c r="B387" s="146"/>
      <c r="F387" s="13"/>
      <c r="K387" s="13"/>
      <c r="P387" s="13"/>
      <c r="Q387" s="13"/>
      <c r="R387" s="13"/>
      <c r="U387" s="13"/>
      <c r="W387" s="13"/>
      <c r="X387" s="13"/>
      <c r="Z387" s="13"/>
      <c r="AB387" s="13"/>
      <c r="AC387" s="13"/>
      <c r="AE387" s="13"/>
      <c r="AF387" s="13"/>
      <c r="AG387" s="13"/>
      <c r="AH387" s="13"/>
      <c r="AZ387" s="14"/>
      <c r="BA387" s="14"/>
      <c r="BB387" s="14"/>
    </row>
    <row r="388" ht="15.75" customHeight="1">
      <c r="B388" s="146"/>
      <c r="F388" s="13"/>
      <c r="K388" s="13"/>
      <c r="P388" s="13"/>
      <c r="Q388" s="13"/>
      <c r="R388" s="13"/>
      <c r="U388" s="13"/>
      <c r="W388" s="13"/>
      <c r="X388" s="13"/>
      <c r="Z388" s="13"/>
      <c r="AB388" s="13"/>
      <c r="AC388" s="13"/>
      <c r="AE388" s="13"/>
      <c r="AF388" s="13"/>
      <c r="AG388" s="13"/>
      <c r="AH388" s="13"/>
      <c r="AZ388" s="14"/>
      <c r="BA388" s="14"/>
      <c r="BB388" s="14"/>
    </row>
    <row r="389" ht="15.75" customHeight="1">
      <c r="B389" s="146"/>
      <c r="F389" s="13"/>
      <c r="K389" s="13"/>
      <c r="P389" s="13"/>
      <c r="Q389" s="13"/>
      <c r="R389" s="13"/>
      <c r="U389" s="13"/>
      <c r="W389" s="13"/>
      <c r="X389" s="13"/>
      <c r="Z389" s="13"/>
      <c r="AB389" s="13"/>
      <c r="AC389" s="13"/>
      <c r="AE389" s="13"/>
      <c r="AF389" s="13"/>
      <c r="AG389" s="13"/>
      <c r="AH389" s="13"/>
      <c r="AZ389" s="14"/>
      <c r="BA389" s="14"/>
      <c r="BB389" s="14"/>
    </row>
    <row r="390" ht="15.75" customHeight="1">
      <c r="B390" s="146"/>
      <c r="F390" s="13"/>
      <c r="K390" s="13"/>
      <c r="P390" s="13"/>
      <c r="Q390" s="13"/>
      <c r="R390" s="13"/>
      <c r="U390" s="13"/>
      <c r="W390" s="13"/>
      <c r="X390" s="13"/>
      <c r="Z390" s="13"/>
      <c r="AB390" s="13"/>
      <c r="AC390" s="13"/>
      <c r="AE390" s="13"/>
      <c r="AF390" s="13"/>
      <c r="AG390" s="13"/>
      <c r="AH390" s="13"/>
      <c r="AZ390" s="14"/>
      <c r="BA390" s="14"/>
      <c r="BB390" s="14"/>
    </row>
    <row r="391" ht="15.75" customHeight="1">
      <c r="B391" s="146"/>
      <c r="F391" s="13"/>
      <c r="K391" s="13"/>
      <c r="P391" s="13"/>
      <c r="Q391" s="13"/>
      <c r="R391" s="13"/>
      <c r="U391" s="13"/>
      <c r="W391" s="13"/>
      <c r="X391" s="13"/>
      <c r="Z391" s="13"/>
      <c r="AB391" s="13"/>
      <c r="AC391" s="13"/>
      <c r="AE391" s="13"/>
      <c r="AF391" s="13"/>
      <c r="AG391" s="13"/>
      <c r="AH391" s="13"/>
      <c r="AZ391" s="14"/>
      <c r="BA391" s="14"/>
      <c r="BB391" s="14"/>
    </row>
    <row r="392" ht="15.75" customHeight="1">
      <c r="B392" s="146"/>
      <c r="F392" s="13"/>
      <c r="K392" s="13"/>
      <c r="P392" s="13"/>
      <c r="Q392" s="13"/>
      <c r="R392" s="13"/>
      <c r="U392" s="13"/>
      <c r="W392" s="13"/>
      <c r="X392" s="13"/>
      <c r="Z392" s="13"/>
      <c r="AB392" s="13"/>
      <c r="AC392" s="13"/>
      <c r="AE392" s="13"/>
      <c r="AF392" s="13"/>
      <c r="AG392" s="13"/>
      <c r="AH392" s="13"/>
      <c r="AZ392" s="14"/>
      <c r="BA392" s="14"/>
      <c r="BB392" s="14"/>
    </row>
    <row r="393" ht="15.75" customHeight="1">
      <c r="B393" s="146"/>
      <c r="F393" s="13"/>
      <c r="K393" s="13"/>
      <c r="P393" s="13"/>
      <c r="Q393" s="13"/>
      <c r="R393" s="13"/>
      <c r="U393" s="13"/>
      <c r="W393" s="13"/>
      <c r="X393" s="13"/>
      <c r="Z393" s="13"/>
      <c r="AB393" s="13"/>
      <c r="AC393" s="13"/>
      <c r="AE393" s="13"/>
      <c r="AF393" s="13"/>
      <c r="AG393" s="13"/>
      <c r="AH393" s="13"/>
      <c r="AZ393" s="14"/>
      <c r="BA393" s="14"/>
      <c r="BB393" s="14"/>
    </row>
    <row r="394" ht="15.75" customHeight="1">
      <c r="B394" s="146"/>
      <c r="F394" s="13"/>
      <c r="K394" s="13"/>
      <c r="P394" s="13"/>
      <c r="Q394" s="13"/>
      <c r="R394" s="13"/>
      <c r="U394" s="13"/>
      <c r="W394" s="13"/>
      <c r="X394" s="13"/>
      <c r="Z394" s="13"/>
      <c r="AB394" s="13"/>
      <c r="AC394" s="13"/>
      <c r="AE394" s="13"/>
      <c r="AF394" s="13"/>
      <c r="AG394" s="13"/>
      <c r="AH394" s="13"/>
      <c r="AZ394" s="14"/>
      <c r="BA394" s="14"/>
      <c r="BB394" s="14"/>
    </row>
    <row r="395" ht="15.75" customHeight="1">
      <c r="B395" s="146"/>
      <c r="F395" s="13"/>
      <c r="K395" s="13"/>
      <c r="P395" s="13"/>
      <c r="Q395" s="13"/>
      <c r="R395" s="13"/>
      <c r="U395" s="13"/>
      <c r="W395" s="13"/>
      <c r="X395" s="13"/>
      <c r="Z395" s="13"/>
      <c r="AB395" s="13"/>
      <c r="AC395" s="13"/>
      <c r="AE395" s="13"/>
      <c r="AF395" s="13"/>
      <c r="AG395" s="13"/>
      <c r="AH395" s="13"/>
      <c r="AZ395" s="14"/>
      <c r="BA395" s="14"/>
      <c r="BB395" s="14"/>
    </row>
    <row r="396" ht="15.75" customHeight="1">
      <c r="B396" s="146"/>
      <c r="F396" s="13"/>
      <c r="K396" s="13"/>
      <c r="P396" s="13"/>
      <c r="Q396" s="13"/>
      <c r="R396" s="13"/>
      <c r="U396" s="13"/>
      <c r="W396" s="13"/>
      <c r="X396" s="13"/>
      <c r="Z396" s="13"/>
      <c r="AB396" s="13"/>
      <c r="AC396" s="13"/>
      <c r="AE396" s="13"/>
      <c r="AF396" s="13"/>
      <c r="AG396" s="13"/>
      <c r="AH396" s="13"/>
      <c r="AZ396" s="14"/>
      <c r="BA396" s="14"/>
      <c r="BB396" s="14"/>
    </row>
    <row r="397" ht="15.75" customHeight="1">
      <c r="B397" s="146"/>
      <c r="F397" s="13"/>
      <c r="K397" s="13"/>
      <c r="P397" s="13"/>
      <c r="Q397" s="13"/>
      <c r="R397" s="13"/>
      <c r="U397" s="13"/>
      <c r="W397" s="13"/>
      <c r="X397" s="13"/>
      <c r="Z397" s="13"/>
      <c r="AB397" s="13"/>
      <c r="AC397" s="13"/>
      <c r="AE397" s="13"/>
      <c r="AF397" s="13"/>
      <c r="AG397" s="13"/>
      <c r="AH397" s="13"/>
      <c r="AZ397" s="14"/>
      <c r="BA397" s="14"/>
      <c r="BB397" s="14"/>
    </row>
    <row r="398" ht="15.75" customHeight="1">
      <c r="B398" s="146"/>
      <c r="F398" s="13"/>
      <c r="K398" s="13"/>
      <c r="P398" s="13"/>
      <c r="Q398" s="13"/>
      <c r="R398" s="13"/>
      <c r="U398" s="13"/>
      <c r="W398" s="13"/>
      <c r="X398" s="13"/>
      <c r="Z398" s="13"/>
      <c r="AB398" s="13"/>
      <c r="AC398" s="13"/>
      <c r="AE398" s="13"/>
      <c r="AF398" s="13"/>
      <c r="AG398" s="13"/>
      <c r="AH398" s="13"/>
      <c r="AZ398" s="14"/>
      <c r="BA398" s="14"/>
      <c r="BB398" s="14"/>
    </row>
    <row r="399" ht="15.75" customHeight="1">
      <c r="B399" s="146"/>
      <c r="F399" s="13"/>
      <c r="K399" s="13"/>
      <c r="P399" s="13"/>
      <c r="Q399" s="13"/>
      <c r="R399" s="13"/>
      <c r="U399" s="13"/>
      <c r="W399" s="13"/>
      <c r="X399" s="13"/>
      <c r="Z399" s="13"/>
      <c r="AB399" s="13"/>
      <c r="AC399" s="13"/>
      <c r="AE399" s="13"/>
      <c r="AF399" s="13"/>
      <c r="AG399" s="13"/>
      <c r="AH399" s="13"/>
      <c r="AZ399" s="14"/>
      <c r="BA399" s="14"/>
      <c r="BB399" s="14"/>
    </row>
    <row r="400" ht="15.75" customHeight="1">
      <c r="B400" s="146"/>
      <c r="F400" s="13"/>
      <c r="K400" s="13"/>
      <c r="P400" s="13"/>
      <c r="Q400" s="13"/>
      <c r="R400" s="13"/>
      <c r="U400" s="13"/>
      <c r="W400" s="13"/>
      <c r="X400" s="13"/>
      <c r="Z400" s="13"/>
      <c r="AB400" s="13"/>
      <c r="AC400" s="13"/>
      <c r="AE400" s="13"/>
      <c r="AF400" s="13"/>
      <c r="AG400" s="13"/>
      <c r="AH400" s="13"/>
      <c r="AZ400" s="14"/>
      <c r="BA400" s="14"/>
      <c r="BB400" s="14"/>
    </row>
    <row r="401" ht="15.75" customHeight="1">
      <c r="B401" s="146"/>
      <c r="F401" s="13"/>
      <c r="K401" s="13"/>
      <c r="P401" s="13"/>
      <c r="Q401" s="13"/>
      <c r="R401" s="13"/>
      <c r="U401" s="13"/>
      <c r="W401" s="13"/>
      <c r="X401" s="13"/>
      <c r="Z401" s="13"/>
      <c r="AB401" s="13"/>
      <c r="AC401" s="13"/>
      <c r="AE401" s="13"/>
      <c r="AF401" s="13"/>
      <c r="AG401" s="13"/>
      <c r="AH401" s="13"/>
      <c r="AZ401" s="14"/>
      <c r="BA401" s="14"/>
      <c r="BB401" s="14"/>
    </row>
    <row r="402" ht="15.75" customHeight="1">
      <c r="B402" s="146"/>
      <c r="F402" s="13"/>
      <c r="K402" s="13"/>
      <c r="P402" s="13"/>
      <c r="Q402" s="13"/>
      <c r="R402" s="13"/>
      <c r="U402" s="13"/>
      <c r="W402" s="13"/>
      <c r="X402" s="13"/>
      <c r="Z402" s="13"/>
      <c r="AB402" s="13"/>
      <c r="AC402" s="13"/>
      <c r="AE402" s="13"/>
      <c r="AF402" s="13"/>
      <c r="AG402" s="13"/>
      <c r="AH402" s="13"/>
      <c r="AZ402" s="14"/>
      <c r="BA402" s="14"/>
      <c r="BB402" s="14"/>
    </row>
    <row r="403" ht="15.75" customHeight="1">
      <c r="B403" s="146"/>
      <c r="F403" s="13"/>
      <c r="K403" s="13"/>
      <c r="P403" s="13"/>
      <c r="Q403" s="13"/>
      <c r="R403" s="13"/>
      <c r="U403" s="13"/>
      <c r="W403" s="13"/>
      <c r="X403" s="13"/>
      <c r="Z403" s="13"/>
      <c r="AB403" s="13"/>
      <c r="AC403" s="13"/>
      <c r="AE403" s="13"/>
      <c r="AF403" s="13"/>
      <c r="AG403" s="13"/>
      <c r="AH403" s="13"/>
      <c r="AZ403" s="14"/>
      <c r="BA403" s="14"/>
      <c r="BB403" s="14"/>
    </row>
    <row r="404" ht="15.75" customHeight="1">
      <c r="B404" s="146"/>
      <c r="F404" s="13"/>
      <c r="K404" s="13"/>
      <c r="P404" s="13"/>
      <c r="Q404" s="13"/>
      <c r="R404" s="13"/>
      <c r="U404" s="13"/>
      <c r="W404" s="13"/>
      <c r="X404" s="13"/>
      <c r="Z404" s="13"/>
      <c r="AB404" s="13"/>
      <c r="AC404" s="13"/>
      <c r="AE404" s="13"/>
      <c r="AF404" s="13"/>
      <c r="AG404" s="13"/>
      <c r="AH404" s="13"/>
      <c r="AZ404" s="14"/>
      <c r="BA404" s="14"/>
      <c r="BB404" s="14"/>
    </row>
    <row r="405" ht="15.75" customHeight="1">
      <c r="B405" s="146"/>
      <c r="F405" s="13"/>
      <c r="K405" s="13"/>
      <c r="P405" s="13"/>
      <c r="Q405" s="13"/>
      <c r="R405" s="13"/>
      <c r="U405" s="13"/>
      <c r="W405" s="13"/>
      <c r="X405" s="13"/>
      <c r="Z405" s="13"/>
      <c r="AB405" s="13"/>
      <c r="AC405" s="13"/>
      <c r="AE405" s="13"/>
      <c r="AF405" s="13"/>
      <c r="AG405" s="13"/>
      <c r="AH405" s="13"/>
      <c r="AZ405" s="14"/>
      <c r="BA405" s="14"/>
      <c r="BB405" s="14"/>
    </row>
    <row r="406" ht="15.75" customHeight="1">
      <c r="B406" s="146"/>
      <c r="F406" s="13"/>
      <c r="K406" s="13"/>
      <c r="P406" s="13"/>
      <c r="Q406" s="13"/>
      <c r="R406" s="13"/>
      <c r="U406" s="13"/>
      <c r="W406" s="13"/>
      <c r="X406" s="13"/>
      <c r="Z406" s="13"/>
      <c r="AB406" s="13"/>
      <c r="AC406" s="13"/>
      <c r="AE406" s="13"/>
      <c r="AF406" s="13"/>
      <c r="AG406" s="13"/>
      <c r="AH406" s="13"/>
      <c r="AZ406" s="14"/>
      <c r="BA406" s="14"/>
      <c r="BB406" s="14"/>
    </row>
    <row r="407" ht="15.75" customHeight="1">
      <c r="B407" s="146"/>
      <c r="F407" s="13"/>
      <c r="K407" s="13"/>
      <c r="P407" s="13"/>
      <c r="Q407" s="13"/>
      <c r="R407" s="13"/>
      <c r="U407" s="13"/>
      <c r="W407" s="13"/>
      <c r="X407" s="13"/>
      <c r="Z407" s="13"/>
      <c r="AB407" s="13"/>
      <c r="AC407" s="13"/>
      <c r="AE407" s="13"/>
      <c r="AF407" s="13"/>
      <c r="AG407" s="13"/>
      <c r="AH407" s="13"/>
      <c r="AZ407" s="14"/>
      <c r="BA407" s="14"/>
      <c r="BB407" s="14"/>
    </row>
    <row r="408" ht="15.75" customHeight="1">
      <c r="B408" s="146"/>
      <c r="F408" s="13"/>
      <c r="K408" s="13"/>
      <c r="P408" s="13"/>
      <c r="Q408" s="13"/>
      <c r="R408" s="13"/>
      <c r="U408" s="13"/>
      <c r="W408" s="13"/>
      <c r="X408" s="13"/>
      <c r="Z408" s="13"/>
      <c r="AB408" s="13"/>
      <c r="AC408" s="13"/>
      <c r="AE408" s="13"/>
      <c r="AF408" s="13"/>
      <c r="AG408" s="13"/>
      <c r="AH408" s="13"/>
      <c r="AZ408" s="14"/>
      <c r="BA408" s="14"/>
      <c r="BB408" s="14"/>
    </row>
    <row r="409" ht="15.75" customHeight="1">
      <c r="B409" s="146"/>
      <c r="F409" s="13"/>
      <c r="K409" s="13"/>
      <c r="P409" s="13"/>
      <c r="Q409" s="13"/>
      <c r="R409" s="13"/>
      <c r="U409" s="13"/>
      <c r="W409" s="13"/>
      <c r="X409" s="13"/>
      <c r="Z409" s="13"/>
      <c r="AB409" s="13"/>
      <c r="AC409" s="13"/>
      <c r="AE409" s="13"/>
      <c r="AF409" s="13"/>
      <c r="AG409" s="13"/>
      <c r="AH409" s="13"/>
      <c r="AZ409" s="14"/>
      <c r="BA409" s="14"/>
      <c r="BB409" s="14"/>
    </row>
    <row r="410" ht="15.75" customHeight="1">
      <c r="B410" s="146"/>
      <c r="F410" s="13"/>
      <c r="K410" s="13"/>
      <c r="P410" s="13"/>
      <c r="Q410" s="13"/>
      <c r="R410" s="13"/>
      <c r="U410" s="13"/>
      <c r="W410" s="13"/>
      <c r="X410" s="13"/>
      <c r="Z410" s="13"/>
      <c r="AB410" s="13"/>
      <c r="AC410" s="13"/>
      <c r="AE410" s="13"/>
      <c r="AF410" s="13"/>
      <c r="AG410" s="13"/>
      <c r="AH410" s="13"/>
      <c r="AZ410" s="14"/>
      <c r="BA410" s="14"/>
      <c r="BB410" s="14"/>
    </row>
    <row r="411" ht="15.75" customHeight="1">
      <c r="B411" s="146"/>
      <c r="F411" s="13"/>
      <c r="K411" s="13"/>
      <c r="P411" s="13"/>
      <c r="Q411" s="13"/>
      <c r="R411" s="13"/>
      <c r="U411" s="13"/>
      <c r="W411" s="13"/>
      <c r="X411" s="13"/>
      <c r="Z411" s="13"/>
      <c r="AB411" s="13"/>
      <c r="AC411" s="13"/>
      <c r="AE411" s="13"/>
      <c r="AF411" s="13"/>
      <c r="AG411" s="13"/>
      <c r="AH411" s="13"/>
      <c r="AZ411" s="14"/>
      <c r="BA411" s="14"/>
      <c r="BB411" s="14"/>
    </row>
    <row r="412" ht="15.75" customHeight="1">
      <c r="B412" s="146"/>
      <c r="F412" s="13"/>
      <c r="K412" s="13"/>
      <c r="P412" s="13"/>
      <c r="Q412" s="13"/>
      <c r="R412" s="13"/>
      <c r="U412" s="13"/>
      <c r="W412" s="13"/>
      <c r="X412" s="13"/>
      <c r="Z412" s="13"/>
      <c r="AB412" s="13"/>
      <c r="AC412" s="13"/>
      <c r="AE412" s="13"/>
      <c r="AF412" s="13"/>
      <c r="AG412" s="13"/>
      <c r="AH412" s="13"/>
      <c r="AZ412" s="14"/>
      <c r="BA412" s="14"/>
      <c r="BB412" s="14"/>
    </row>
    <row r="413" ht="15.75" customHeight="1">
      <c r="B413" s="146"/>
      <c r="F413" s="13"/>
      <c r="K413" s="13"/>
      <c r="P413" s="13"/>
      <c r="Q413" s="13"/>
      <c r="R413" s="13"/>
      <c r="U413" s="13"/>
      <c r="W413" s="13"/>
      <c r="X413" s="13"/>
      <c r="Z413" s="13"/>
      <c r="AB413" s="13"/>
      <c r="AC413" s="13"/>
      <c r="AE413" s="13"/>
      <c r="AF413" s="13"/>
      <c r="AG413" s="13"/>
      <c r="AH413" s="13"/>
      <c r="AZ413" s="14"/>
      <c r="BA413" s="14"/>
      <c r="BB413" s="14"/>
    </row>
    <row r="414" ht="15.75" customHeight="1">
      <c r="B414" s="146"/>
      <c r="F414" s="13"/>
      <c r="K414" s="13"/>
      <c r="P414" s="13"/>
      <c r="Q414" s="13"/>
      <c r="R414" s="13"/>
      <c r="U414" s="13"/>
      <c r="W414" s="13"/>
      <c r="X414" s="13"/>
      <c r="Z414" s="13"/>
      <c r="AB414" s="13"/>
      <c r="AC414" s="13"/>
      <c r="AE414" s="13"/>
      <c r="AF414" s="13"/>
      <c r="AG414" s="13"/>
      <c r="AH414" s="13"/>
      <c r="AZ414" s="14"/>
      <c r="BA414" s="14"/>
      <c r="BB414" s="14"/>
    </row>
    <row r="415" ht="15.75" customHeight="1">
      <c r="B415" s="146"/>
      <c r="F415" s="13"/>
      <c r="K415" s="13"/>
      <c r="P415" s="13"/>
      <c r="Q415" s="13"/>
      <c r="R415" s="13"/>
      <c r="U415" s="13"/>
      <c r="W415" s="13"/>
      <c r="X415" s="13"/>
      <c r="Z415" s="13"/>
      <c r="AB415" s="13"/>
      <c r="AC415" s="13"/>
      <c r="AE415" s="13"/>
      <c r="AF415" s="13"/>
      <c r="AG415" s="13"/>
      <c r="AH415" s="13"/>
      <c r="AZ415" s="14"/>
      <c r="BA415" s="14"/>
      <c r="BB415" s="14"/>
    </row>
    <row r="416" ht="15.75" customHeight="1">
      <c r="B416" s="146"/>
      <c r="F416" s="13"/>
      <c r="K416" s="13"/>
      <c r="P416" s="13"/>
      <c r="Q416" s="13"/>
      <c r="R416" s="13"/>
      <c r="U416" s="13"/>
      <c r="W416" s="13"/>
      <c r="X416" s="13"/>
      <c r="Z416" s="13"/>
      <c r="AB416" s="13"/>
      <c r="AC416" s="13"/>
      <c r="AE416" s="13"/>
      <c r="AF416" s="13"/>
      <c r="AG416" s="13"/>
      <c r="AH416" s="13"/>
      <c r="AZ416" s="14"/>
      <c r="BA416" s="14"/>
      <c r="BB416" s="14"/>
    </row>
    <row r="417" ht="15.75" customHeight="1">
      <c r="B417" s="146"/>
      <c r="F417" s="13"/>
      <c r="K417" s="13"/>
      <c r="P417" s="13"/>
      <c r="Q417" s="13"/>
      <c r="R417" s="13"/>
      <c r="U417" s="13"/>
      <c r="W417" s="13"/>
      <c r="X417" s="13"/>
      <c r="Z417" s="13"/>
      <c r="AB417" s="13"/>
      <c r="AC417" s="13"/>
      <c r="AE417" s="13"/>
      <c r="AF417" s="13"/>
      <c r="AG417" s="13"/>
      <c r="AH417" s="13"/>
      <c r="AZ417" s="14"/>
      <c r="BA417" s="14"/>
      <c r="BB417" s="14"/>
    </row>
    <row r="418" ht="15.75" customHeight="1">
      <c r="B418" s="146"/>
      <c r="F418" s="13"/>
      <c r="K418" s="13"/>
      <c r="P418" s="13"/>
      <c r="Q418" s="13"/>
      <c r="R418" s="13"/>
      <c r="U418" s="13"/>
      <c r="W418" s="13"/>
      <c r="X418" s="13"/>
      <c r="Z418" s="13"/>
      <c r="AB418" s="13"/>
      <c r="AC418" s="13"/>
      <c r="AE418" s="13"/>
      <c r="AF418" s="13"/>
      <c r="AG418" s="13"/>
      <c r="AH418" s="13"/>
      <c r="AZ418" s="14"/>
      <c r="BA418" s="14"/>
      <c r="BB418" s="14"/>
    </row>
    <row r="419" ht="15.75" customHeight="1">
      <c r="B419" s="146"/>
      <c r="F419" s="13"/>
      <c r="K419" s="13"/>
      <c r="P419" s="13"/>
      <c r="Q419" s="13"/>
      <c r="R419" s="13"/>
      <c r="U419" s="13"/>
      <c r="W419" s="13"/>
      <c r="X419" s="13"/>
      <c r="Z419" s="13"/>
      <c r="AB419" s="13"/>
      <c r="AC419" s="13"/>
      <c r="AE419" s="13"/>
      <c r="AF419" s="13"/>
      <c r="AG419" s="13"/>
      <c r="AH419" s="13"/>
      <c r="AZ419" s="14"/>
      <c r="BA419" s="14"/>
      <c r="BB419" s="14"/>
    </row>
    <row r="420" ht="15.75" customHeight="1">
      <c r="B420" s="146"/>
      <c r="F420" s="13"/>
      <c r="K420" s="13"/>
      <c r="P420" s="13"/>
      <c r="Q420" s="13"/>
      <c r="R420" s="13"/>
      <c r="U420" s="13"/>
      <c r="W420" s="13"/>
      <c r="X420" s="13"/>
      <c r="Z420" s="13"/>
      <c r="AB420" s="13"/>
      <c r="AC420" s="13"/>
      <c r="AE420" s="13"/>
      <c r="AF420" s="13"/>
      <c r="AG420" s="13"/>
      <c r="AH420" s="13"/>
      <c r="AZ420" s="14"/>
      <c r="BA420" s="14"/>
      <c r="BB420" s="14"/>
    </row>
    <row r="421" ht="15.75" customHeight="1">
      <c r="B421" s="146"/>
      <c r="F421" s="13"/>
      <c r="K421" s="13"/>
      <c r="P421" s="13"/>
      <c r="Q421" s="13"/>
      <c r="R421" s="13"/>
      <c r="U421" s="13"/>
      <c r="W421" s="13"/>
      <c r="X421" s="13"/>
      <c r="Z421" s="13"/>
      <c r="AB421" s="13"/>
      <c r="AC421" s="13"/>
      <c r="AE421" s="13"/>
      <c r="AF421" s="13"/>
      <c r="AG421" s="13"/>
      <c r="AH421" s="13"/>
      <c r="AZ421" s="14"/>
      <c r="BA421" s="14"/>
      <c r="BB421" s="14"/>
    </row>
    <row r="422" ht="15.75" customHeight="1">
      <c r="B422" s="146"/>
      <c r="F422" s="13"/>
      <c r="K422" s="13"/>
      <c r="P422" s="13"/>
      <c r="Q422" s="13"/>
      <c r="R422" s="13"/>
      <c r="U422" s="13"/>
      <c r="W422" s="13"/>
      <c r="X422" s="13"/>
      <c r="Z422" s="13"/>
      <c r="AB422" s="13"/>
      <c r="AC422" s="13"/>
      <c r="AE422" s="13"/>
      <c r="AF422" s="13"/>
      <c r="AG422" s="13"/>
      <c r="AH422" s="13"/>
      <c r="AZ422" s="14"/>
      <c r="BA422" s="14"/>
      <c r="BB422" s="14"/>
    </row>
    <row r="423" ht="15.75" customHeight="1">
      <c r="B423" s="146"/>
      <c r="F423" s="13"/>
      <c r="K423" s="13"/>
      <c r="P423" s="13"/>
      <c r="Q423" s="13"/>
      <c r="R423" s="13"/>
      <c r="U423" s="13"/>
      <c r="W423" s="13"/>
      <c r="X423" s="13"/>
      <c r="Z423" s="13"/>
      <c r="AB423" s="13"/>
      <c r="AC423" s="13"/>
      <c r="AE423" s="13"/>
      <c r="AF423" s="13"/>
      <c r="AG423" s="13"/>
      <c r="AH423" s="13"/>
      <c r="AZ423" s="14"/>
      <c r="BA423" s="14"/>
      <c r="BB423" s="14"/>
    </row>
    <row r="424" ht="15.75" customHeight="1">
      <c r="B424" s="146"/>
      <c r="F424" s="13"/>
      <c r="K424" s="13"/>
      <c r="P424" s="13"/>
      <c r="Q424" s="13"/>
      <c r="R424" s="13"/>
      <c r="U424" s="13"/>
      <c r="W424" s="13"/>
      <c r="X424" s="13"/>
      <c r="Z424" s="13"/>
      <c r="AB424" s="13"/>
      <c r="AC424" s="13"/>
      <c r="AE424" s="13"/>
      <c r="AF424" s="13"/>
      <c r="AG424" s="13"/>
      <c r="AH424" s="13"/>
      <c r="AZ424" s="14"/>
      <c r="BA424" s="14"/>
      <c r="BB424" s="14"/>
    </row>
    <row r="425" ht="15.75" customHeight="1">
      <c r="B425" s="146"/>
      <c r="F425" s="13"/>
      <c r="K425" s="13"/>
      <c r="P425" s="13"/>
      <c r="Q425" s="13"/>
      <c r="R425" s="13"/>
      <c r="U425" s="13"/>
      <c r="W425" s="13"/>
      <c r="X425" s="13"/>
      <c r="Z425" s="13"/>
      <c r="AB425" s="13"/>
      <c r="AC425" s="13"/>
      <c r="AE425" s="13"/>
      <c r="AF425" s="13"/>
      <c r="AG425" s="13"/>
      <c r="AH425" s="13"/>
      <c r="AZ425" s="14"/>
      <c r="BA425" s="14"/>
      <c r="BB425" s="14"/>
    </row>
    <row r="426" ht="15.75" customHeight="1">
      <c r="B426" s="146"/>
      <c r="F426" s="13"/>
      <c r="K426" s="13"/>
      <c r="P426" s="13"/>
      <c r="Q426" s="13"/>
      <c r="R426" s="13"/>
      <c r="U426" s="13"/>
      <c r="W426" s="13"/>
      <c r="X426" s="13"/>
      <c r="Z426" s="13"/>
      <c r="AB426" s="13"/>
      <c r="AC426" s="13"/>
      <c r="AE426" s="13"/>
      <c r="AF426" s="13"/>
      <c r="AG426" s="13"/>
      <c r="AH426" s="13"/>
      <c r="AZ426" s="14"/>
      <c r="BA426" s="14"/>
      <c r="BB426" s="14"/>
    </row>
    <row r="427" ht="15.75" customHeight="1">
      <c r="B427" s="146"/>
      <c r="F427" s="13"/>
      <c r="K427" s="13"/>
      <c r="P427" s="13"/>
      <c r="Q427" s="13"/>
      <c r="R427" s="13"/>
      <c r="U427" s="13"/>
      <c r="W427" s="13"/>
      <c r="X427" s="13"/>
      <c r="Z427" s="13"/>
      <c r="AB427" s="13"/>
      <c r="AC427" s="13"/>
      <c r="AE427" s="13"/>
      <c r="AF427" s="13"/>
      <c r="AG427" s="13"/>
      <c r="AH427" s="13"/>
      <c r="AZ427" s="14"/>
      <c r="BA427" s="14"/>
      <c r="BB427" s="14"/>
    </row>
    <row r="428" ht="15.75" customHeight="1">
      <c r="B428" s="146"/>
      <c r="F428" s="13"/>
      <c r="K428" s="13"/>
      <c r="P428" s="13"/>
      <c r="Q428" s="13"/>
      <c r="R428" s="13"/>
      <c r="U428" s="13"/>
      <c r="W428" s="13"/>
      <c r="X428" s="13"/>
      <c r="Z428" s="13"/>
      <c r="AB428" s="13"/>
      <c r="AC428" s="13"/>
      <c r="AE428" s="13"/>
      <c r="AF428" s="13"/>
      <c r="AG428" s="13"/>
      <c r="AH428" s="13"/>
      <c r="AZ428" s="14"/>
      <c r="BA428" s="14"/>
      <c r="BB428" s="14"/>
    </row>
    <row r="429" ht="15.75" customHeight="1">
      <c r="B429" s="146"/>
      <c r="F429" s="13"/>
      <c r="K429" s="13"/>
      <c r="P429" s="13"/>
      <c r="Q429" s="13"/>
      <c r="R429" s="13"/>
      <c r="U429" s="13"/>
      <c r="W429" s="13"/>
      <c r="X429" s="13"/>
      <c r="Z429" s="13"/>
      <c r="AB429" s="13"/>
      <c r="AC429" s="13"/>
      <c r="AE429" s="13"/>
      <c r="AF429" s="13"/>
      <c r="AG429" s="13"/>
      <c r="AH429" s="13"/>
      <c r="AZ429" s="14"/>
      <c r="BA429" s="14"/>
      <c r="BB429" s="14"/>
    </row>
    <row r="430" ht="15.75" customHeight="1">
      <c r="B430" s="146"/>
      <c r="F430" s="13"/>
      <c r="K430" s="13"/>
      <c r="P430" s="13"/>
      <c r="Q430" s="13"/>
      <c r="R430" s="13"/>
      <c r="U430" s="13"/>
      <c r="W430" s="13"/>
      <c r="X430" s="13"/>
      <c r="Z430" s="13"/>
      <c r="AB430" s="13"/>
      <c r="AC430" s="13"/>
      <c r="AE430" s="13"/>
      <c r="AF430" s="13"/>
      <c r="AG430" s="13"/>
      <c r="AH430" s="13"/>
      <c r="AZ430" s="14"/>
      <c r="BA430" s="14"/>
      <c r="BB430" s="14"/>
    </row>
    <row r="431" ht="15.75" customHeight="1">
      <c r="B431" s="146"/>
      <c r="F431" s="13"/>
      <c r="K431" s="13"/>
      <c r="P431" s="13"/>
      <c r="Q431" s="13"/>
      <c r="R431" s="13"/>
      <c r="U431" s="13"/>
      <c r="W431" s="13"/>
      <c r="X431" s="13"/>
      <c r="Z431" s="13"/>
      <c r="AB431" s="13"/>
      <c r="AC431" s="13"/>
      <c r="AE431" s="13"/>
      <c r="AF431" s="13"/>
      <c r="AG431" s="13"/>
      <c r="AH431" s="13"/>
      <c r="AZ431" s="14"/>
      <c r="BA431" s="14"/>
      <c r="BB431" s="14"/>
    </row>
    <row r="432" ht="15.75" customHeight="1">
      <c r="B432" s="146"/>
      <c r="F432" s="13"/>
      <c r="K432" s="13"/>
      <c r="P432" s="13"/>
      <c r="Q432" s="13"/>
      <c r="R432" s="13"/>
      <c r="U432" s="13"/>
      <c r="W432" s="13"/>
      <c r="X432" s="13"/>
      <c r="Z432" s="13"/>
      <c r="AB432" s="13"/>
      <c r="AC432" s="13"/>
      <c r="AE432" s="13"/>
      <c r="AF432" s="13"/>
      <c r="AG432" s="13"/>
      <c r="AH432" s="13"/>
      <c r="AZ432" s="14"/>
      <c r="BA432" s="14"/>
      <c r="BB432" s="14"/>
    </row>
    <row r="433" ht="15.75" customHeight="1">
      <c r="B433" s="146"/>
      <c r="F433" s="13"/>
      <c r="K433" s="13"/>
      <c r="P433" s="13"/>
      <c r="Q433" s="13"/>
      <c r="R433" s="13"/>
      <c r="U433" s="13"/>
      <c r="W433" s="13"/>
      <c r="X433" s="13"/>
      <c r="Z433" s="13"/>
      <c r="AB433" s="13"/>
      <c r="AC433" s="13"/>
      <c r="AE433" s="13"/>
      <c r="AF433" s="13"/>
      <c r="AG433" s="13"/>
      <c r="AH433" s="13"/>
      <c r="AZ433" s="14"/>
      <c r="BA433" s="14"/>
      <c r="BB433" s="14"/>
    </row>
    <row r="434" ht="15.75" customHeight="1">
      <c r="B434" s="146"/>
      <c r="F434" s="13"/>
      <c r="K434" s="13"/>
      <c r="P434" s="13"/>
      <c r="Q434" s="13"/>
      <c r="R434" s="13"/>
      <c r="U434" s="13"/>
      <c r="W434" s="13"/>
      <c r="X434" s="13"/>
      <c r="Z434" s="13"/>
      <c r="AB434" s="13"/>
      <c r="AC434" s="13"/>
      <c r="AE434" s="13"/>
      <c r="AF434" s="13"/>
      <c r="AG434" s="13"/>
      <c r="AH434" s="13"/>
      <c r="AZ434" s="14"/>
      <c r="BA434" s="14"/>
      <c r="BB434" s="14"/>
    </row>
    <row r="435" ht="15.75" customHeight="1">
      <c r="B435" s="146"/>
      <c r="F435" s="13"/>
      <c r="K435" s="13"/>
      <c r="P435" s="13"/>
      <c r="Q435" s="13"/>
      <c r="R435" s="13"/>
      <c r="U435" s="13"/>
      <c r="W435" s="13"/>
      <c r="X435" s="13"/>
      <c r="Z435" s="13"/>
      <c r="AB435" s="13"/>
      <c r="AC435" s="13"/>
      <c r="AE435" s="13"/>
      <c r="AF435" s="13"/>
      <c r="AG435" s="13"/>
      <c r="AH435" s="13"/>
      <c r="AZ435" s="14"/>
      <c r="BA435" s="14"/>
      <c r="BB435" s="14"/>
    </row>
    <row r="436" ht="15.75" customHeight="1">
      <c r="B436" s="146"/>
      <c r="F436" s="13"/>
      <c r="K436" s="13"/>
      <c r="P436" s="13"/>
      <c r="Q436" s="13"/>
      <c r="R436" s="13"/>
      <c r="U436" s="13"/>
      <c r="W436" s="13"/>
      <c r="X436" s="13"/>
      <c r="Z436" s="13"/>
      <c r="AB436" s="13"/>
      <c r="AC436" s="13"/>
      <c r="AE436" s="13"/>
      <c r="AF436" s="13"/>
      <c r="AG436" s="13"/>
      <c r="AH436" s="13"/>
      <c r="AZ436" s="14"/>
      <c r="BA436" s="14"/>
      <c r="BB436" s="14"/>
    </row>
    <row r="437" ht="15.75" customHeight="1">
      <c r="B437" s="146"/>
      <c r="F437" s="13"/>
      <c r="K437" s="13"/>
      <c r="P437" s="13"/>
      <c r="Q437" s="13"/>
      <c r="R437" s="13"/>
      <c r="U437" s="13"/>
      <c r="W437" s="13"/>
      <c r="X437" s="13"/>
      <c r="Z437" s="13"/>
      <c r="AB437" s="13"/>
      <c r="AC437" s="13"/>
      <c r="AE437" s="13"/>
      <c r="AF437" s="13"/>
      <c r="AG437" s="13"/>
      <c r="AH437" s="13"/>
      <c r="AZ437" s="14"/>
      <c r="BA437" s="14"/>
      <c r="BB437" s="14"/>
    </row>
    <row r="438" ht="15.75" customHeight="1">
      <c r="B438" s="146"/>
      <c r="F438" s="13"/>
      <c r="K438" s="13"/>
      <c r="P438" s="13"/>
      <c r="Q438" s="13"/>
      <c r="R438" s="13"/>
      <c r="U438" s="13"/>
      <c r="W438" s="13"/>
      <c r="X438" s="13"/>
      <c r="Z438" s="13"/>
      <c r="AB438" s="13"/>
      <c r="AC438" s="13"/>
      <c r="AE438" s="13"/>
      <c r="AF438" s="13"/>
      <c r="AG438" s="13"/>
      <c r="AH438" s="13"/>
      <c r="AZ438" s="14"/>
      <c r="BA438" s="14"/>
      <c r="BB438" s="14"/>
    </row>
    <row r="439" ht="15.75" customHeight="1">
      <c r="B439" s="146"/>
      <c r="F439" s="13"/>
      <c r="K439" s="13"/>
      <c r="P439" s="13"/>
      <c r="Q439" s="13"/>
      <c r="R439" s="13"/>
      <c r="U439" s="13"/>
      <c r="W439" s="13"/>
      <c r="X439" s="13"/>
      <c r="Z439" s="13"/>
      <c r="AB439" s="13"/>
      <c r="AC439" s="13"/>
      <c r="AE439" s="13"/>
      <c r="AF439" s="13"/>
      <c r="AG439" s="13"/>
      <c r="AH439" s="13"/>
      <c r="AZ439" s="14"/>
      <c r="BA439" s="14"/>
      <c r="BB439" s="14"/>
    </row>
    <row r="440" ht="15.75" customHeight="1">
      <c r="B440" s="146"/>
      <c r="F440" s="13"/>
      <c r="K440" s="13"/>
      <c r="P440" s="13"/>
      <c r="Q440" s="13"/>
      <c r="R440" s="13"/>
      <c r="U440" s="13"/>
      <c r="W440" s="13"/>
      <c r="X440" s="13"/>
      <c r="Z440" s="13"/>
      <c r="AB440" s="13"/>
      <c r="AC440" s="13"/>
      <c r="AE440" s="13"/>
      <c r="AF440" s="13"/>
      <c r="AG440" s="13"/>
      <c r="AH440" s="13"/>
      <c r="AZ440" s="14"/>
      <c r="BA440" s="14"/>
      <c r="BB440" s="14"/>
    </row>
    <row r="441" ht="15.75" customHeight="1">
      <c r="B441" s="146"/>
      <c r="F441" s="13"/>
      <c r="K441" s="13"/>
      <c r="P441" s="13"/>
      <c r="Q441" s="13"/>
      <c r="R441" s="13"/>
      <c r="U441" s="13"/>
      <c r="W441" s="13"/>
      <c r="X441" s="13"/>
      <c r="Z441" s="13"/>
      <c r="AB441" s="13"/>
      <c r="AC441" s="13"/>
      <c r="AE441" s="13"/>
      <c r="AF441" s="13"/>
      <c r="AG441" s="13"/>
      <c r="AH441" s="13"/>
      <c r="AZ441" s="14"/>
      <c r="BA441" s="14"/>
      <c r="BB441" s="14"/>
    </row>
    <row r="442" ht="15.75" customHeight="1">
      <c r="B442" s="146"/>
      <c r="F442" s="13"/>
      <c r="K442" s="13"/>
      <c r="P442" s="13"/>
      <c r="Q442" s="13"/>
      <c r="R442" s="13"/>
      <c r="U442" s="13"/>
      <c r="W442" s="13"/>
      <c r="X442" s="13"/>
      <c r="Z442" s="13"/>
      <c r="AB442" s="13"/>
      <c r="AC442" s="13"/>
      <c r="AE442" s="13"/>
      <c r="AF442" s="13"/>
      <c r="AG442" s="13"/>
      <c r="AH442" s="13"/>
      <c r="AZ442" s="14"/>
      <c r="BA442" s="14"/>
      <c r="BB442" s="14"/>
    </row>
    <row r="443" ht="15.75" customHeight="1">
      <c r="B443" s="146"/>
      <c r="F443" s="13"/>
      <c r="K443" s="13"/>
      <c r="P443" s="13"/>
      <c r="Q443" s="13"/>
      <c r="R443" s="13"/>
      <c r="U443" s="13"/>
      <c r="W443" s="13"/>
      <c r="X443" s="13"/>
      <c r="Z443" s="13"/>
      <c r="AB443" s="13"/>
      <c r="AC443" s="13"/>
      <c r="AE443" s="13"/>
      <c r="AF443" s="13"/>
      <c r="AG443" s="13"/>
      <c r="AH443" s="13"/>
      <c r="AZ443" s="14"/>
      <c r="BA443" s="14"/>
      <c r="BB443" s="14"/>
    </row>
    <row r="444" ht="15.75" customHeight="1">
      <c r="B444" s="146"/>
      <c r="F444" s="13"/>
      <c r="K444" s="13"/>
      <c r="P444" s="13"/>
      <c r="Q444" s="13"/>
      <c r="R444" s="13"/>
      <c r="U444" s="13"/>
      <c r="W444" s="13"/>
      <c r="X444" s="13"/>
      <c r="Z444" s="13"/>
      <c r="AB444" s="13"/>
      <c r="AC444" s="13"/>
      <c r="AE444" s="13"/>
      <c r="AF444" s="13"/>
      <c r="AG444" s="13"/>
      <c r="AH444" s="13"/>
      <c r="AZ444" s="14"/>
      <c r="BA444" s="14"/>
      <c r="BB444" s="14"/>
    </row>
    <row r="445" ht="15.75" customHeight="1">
      <c r="B445" s="146"/>
      <c r="F445" s="13"/>
      <c r="K445" s="13"/>
      <c r="P445" s="13"/>
      <c r="Q445" s="13"/>
      <c r="R445" s="13"/>
      <c r="U445" s="13"/>
      <c r="W445" s="13"/>
      <c r="X445" s="13"/>
      <c r="Z445" s="13"/>
      <c r="AB445" s="13"/>
      <c r="AC445" s="13"/>
      <c r="AE445" s="13"/>
      <c r="AF445" s="13"/>
      <c r="AG445" s="13"/>
      <c r="AH445" s="13"/>
      <c r="AZ445" s="14"/>
      <c r="BA445" s="14"/>
      <c r="BB445" s="14"/>
    </row>
    <row r="446" ht="15.75" customHeight="1">
      <c r="B446" s="146"/>
      <c r="F446" s="13"/>
      <c r="K446" s="13"/>
      <c r="P446" s="13"/>
      <c r="Q446" s="13"/>
      <c r="R446" s="13"/>
      <c r="U446" s="13"/>
      <c r="W446" s="13"/>
      <c r="X446" s="13"/>
      <c r="Z446" s="13"/>
      <c r="AB446" s="13"/>
      <c r="AC446" s="13"/>
      <c r="AE446" s="13"/>
      <c r="AF446" s="13"/>
      <c r="AG446" s="13"/>
      <c r="AH446" s="13"/>
      <c r="AZ446" s="14"/>
      <c r="BA446" s="14"/>
      <c r="BB446" s="14"/>
    </row>
    <row r="447" ht="15.75" customHeight="1">
      <c r="B447" s="146"/>
      <c r="F447" s="13"/>
      <c r="K447" s="13"/>
      <c r="P447" s="13"/>
      <c r="Q447" s="13"/>
      <c r="R447" s="13"/>
      <c r="U447" s="13"/>
      <c r="W447" s="13"/>
      <c r="X447" s="13"/>
      <c r="Z447" s="13"/>
      <c r="AB447" s="13"/>
      <c r="AC447" s="13"/>
      <c r="AE447" s="13"/>
      <c r="AF447" s="13"/>
      <c r="AG447" s="13"/>
      <c r="AH447" s="13"/>
      <c r="AZ447" s="14"/>
      <c r="BA447" s="14"/>
      <c r="BB447" s="14"/>
    </row>
    <row r="448" ht="15.75" customHeight="1">
      <c r="B448" s="146"/>
      <c r="F448" s="13"/>
      <c r="K448" s="13"/>
      <c r="P448" s="13"/>
      <c r="Q448" s="13"/>
      <c r="R448" s="13"/>
      <c r="U448" s="13"/>
      <c r="W448" s="13"/>
      <c r="X448" s="13"/>
      <c r="Z448" s="13"/>
      <c r="AB448" s="13"/>
      <c r="AC448" s="13"/>
      <c r="AE448" s="13"/>
      <c r="AF448" s="13"/>
      <c r="AG448" s="13"/>
      <c r="AH448" s="13"/>
      <c r="AZ448" s="14"/>
      <c r="BA448" s="14"/>
      <c r="BB448" s="14"/>
    </row>
    <row r="449" ht="15.75" customHeight="1">
      <c r="B449" s="146"/>
      <c r="F449" s="13"/>
      <c r="K449" s="13"/>
      <c r="P449" s="13"/>
      <c r="Q449" s="13"/>
      <c r="R449" s="13"/>
      <c r="U449" s="13"/>
      <c r="W449" s="13"/>
      <c r="X449" s="13"/>
      <c r="Z449" s="13"/>
      <c r="AB449" s="13"/>
      <c r="AC449" s="13"/>
      <c r="AE449" s="13"/>
      <c r="AF449" s="13"/>
      <c r="AG449" s="13"/>
      <c r="AH449" s="13"/>
      <c r="AZ449" s="14"/>
      <c r="BA449" s="14"/>
      <c r="BB449" s="14"/>
    </row>
    <row r="450" ht="15.75" customHeight="1">
      <c r="B450" s="146"/>
      <c r="F450" s="13"/>
      <c r="K450" s="13"/>
      <c r="P450" s="13"/>
      <c r="Q450" s="13"/>
      <c r="R450" s="13"/>
      <c r="U450" s="13"/>
      <c r="W450" s="13"/>
      <c r="X450" s="13"/>
      <c r="Z450" s="13"/>
      <c r="AB450" s="13"/>
      <c r="AC450" s="13"/>
      <c r="AE450" s="13"/>
      <c r="AF450" s="13"/>
      <c r="AG450" s="13"/>
      <c r="AH450" s="13"/>
      <c r="AZ450" s="14"/>
      <c r="BA450" s="14"/>
      <c r="BB450" s="14"/>
    </row>
    <row r="451" ht="15.75" customHeight="1">
      <c r="B451" s="146"/>
      <c r="F451" s="13"/>
      <c r="K451" s="13"/>
      <c r="P451" s="13"/>
      <c r="Q451" s="13"/>
      <c r="R451" s="13"/>
      <c r="U451" s="13"/>
      <c r="W451" s="13"/>
      <c r="X451" s="13"/>
      <c r="Z451" s="13"/>
      <c r="AB451" s="13"/>
      <c r="AC451" s="13"/>
      <c r="AE451" s="13"/>
      <c r="AF451" s="13"/>
      <c r="AG451" s="13"/>
      <c r="AH451" s="13"/>
      <c r="AZ451" s="14"/>
      <c r="BA451" s="14"/>
      <c r="BB451" s="14"/>
    </row>
    <row r="452" ht="15.75" customHeight="1">
      <c r="B452" s="146"/>
      <c r="F452" s="13"/>
      <c r="K452" s="13"/>
      <c r="P452" s="13"/>
      <c r="Q452" s="13"/>
      <c r="R452" s="13"/>
      <c r="U452" s="13"/>
      <c r="W452" s="13"/>
      <c r="X452" s="13"/>
      <c r="Z452" s="13"/>
      <c r="AB452" s="13"/>
      <c r="AC452" s="13"/>
      <c r="AE452" s="13"/>
      <c r="AF452" s="13"/>
      <c r="AG452" s="13"/>
      <c r="AH452" s="13"/>
      <c r="AZ452" s="14"/>
      <c r="BA452" s="14"/>
      <c r="BB452" s="14"/>
    </row>
    <row r="453" ht="15.75" customHeight="1">
      <c r="B453" s="146"/>
      <c r="F453" s="13"/>
      <c r="K453" s="13"/>
      <c r="P453" s="13"/>
      <c r="Q453" s="13"/>
      <c r="R453" s="13"/>
      <c r="U453" s="13"/>
      <c r="W453" s="13"/>
      <c r="X453" s="13"/>
      <c r="Z453" s="13"/>
      <c r="AB453" s="13"/>
      <c r="AC453" s="13"/>
      <c r="AE453" s="13"/>
      <c r="AF453" s="13"/>
      <c r="AG453" s="13"/>
      <c r="AH453" s="13"/>
      <c r="AZ453" s="14"/>
      <c r="BA453" s="14"/>
      <c r="BB453" s="14"/>
    </row>
    <row r="454" ht="15.75" customHeight="1">
      <c r="B454" s="146"/>
      <c r="F454" s="13"/>
      <c r="K454" s="13"/>
      <c r="P454" s="13"/>
      <c r="Q454" s="13"/>
      <c r="R454" s="13"/>
      <c r="U454" s="13"/>
      <c r="W454" s="13"/>
      <c r="X454" s="13"/>
      <c r="Z454" s="13"/>
      <c r="AB454" s="13"/>
      <c r="AC454" s="13"/>
      <c r="AE454" s="13"/>
      <c r="AF454" s="13"/>
      <c r="AG454" s="13"/>
      <c r="AH454" s="13"/>
      <c r="AZ454" s="14"/>
      <c r="BA454" s="14"/>
      <c r="BB454" s="14"/>
    </row>
    <row r="455" ht="15.75" customHeight="1">
      <c r="B455" s="146"/>
      <c r="F455" s="13"/>
      <c r="K455" s="13"/>
      <c r="P455" s="13"/>
      <c r="Q455" s="13"/>
      <c r="R455" s="13"/>
      <c r="U455" s="13"/>
      <c r="W455" s="13"/>
      <c r="X455" s="13"/>
      <c r="Z455" s="13"/>
      <c r="AB455" s="13"/>
      <c r="AC455" s="13"/>
      <c r="AE455" s="13"/>
      <c r="AF455" s="13"/>
      <c r="AG455" s="13"/>
      <c r="AH455" s="13"/>
      <c r="AZ455" s="14"/>
      <c r="BA455" s="14"/>
      <c r="BB455" s="14"/>
    </row>
    <row r="456" ht="15.75" customHeight="1">
      <c r="B456" s="146"/>
      <c r="F456" s="13"/>
      <c r="K456" s="13"/>
      <c r="P456" s="13"/>
      <c r="Q456" s="13"/>
      <c r="R456" s="13"/>
      <c r="U456" s="13"/>
      <c r="W456" s="13"/>
      <c r="X456" s="13"/>
      <c r="Z456" s="13"/>
      <c r="AB456" s="13"/>
      <c r="AC456" s="13"/>
      <c r="AE456" s="13"/>
      <c r="AF456" s="13"/>
      <c r="AG456" s="13"/>
      <c r="AH456" s="13"/>
      <c r="AZ456" s="14"/>
      <c r="BA456" s="14"/>
      <c r="BB456" s="14"/>
    </row>
    <row r="457" ht="15.75" customHeight="1">
      <c r="B457" s="146"/>
      <c r="F457" s="13"/>
      <c r="K457" s="13"/>
      <c r="P457" s="13"/>
      <c r="Q457" s="13"/>
      <c r="R457" s="13"/>
      <c r="U457" s="13"/>
      <c r="W457" s="13"/>
      <c r="X457" s="13"/>
      <c r="Z457" s="13"/>
      <c r="AB457" s="13"/>
      <c r="AC457" s="13"/>
      <c r="AE457" s="13"/>
      <c r="AF457" s="13"/>
      <c r="AG457" s="13"/>
      <c r="AH457" s="13"/>
      <c r="AZ457" s="14"/>
      <c r="BA457" s="14"/>
      <c r="BB457" s="14"/>
    </row>
    <row r="458" ht="15.75" customHeight="1">
      <c r="B458" s="146"/>
      <c r="F458" s="13"/>
      <c r="K458" s="13"/>
      <c r="P458" s="13"/>
      <c r="Q458" s="13"/>
      <c r="R458" s="13"/>
      <c r="U458" s="13"/>
      <c r="W458" s="13"/>
      <c r="X458" s="13"/>
      <c r="Z458" s="13"/>
      <c r="AB458" s="13"/>
      <c r="AC458" s="13"/>
      <c r="AE458" s="13"/>
      <c r="AF458" s="13"/>
      <c r="AG458" s="13"/>
      <c r="AH458" s="13"/>
      <c r="AZ458" s="14"/>
      <c r="BA458" s="14"/>
      <c r="BB458" s="14"/>
    </row>
    <row r="459" ht="15.75" customHeight="1">
      <c r="B459" s="146"/>
      <c r="F459" s="13"/>
      <c r="K459" s="13"/>
      <c r="P459" s="13"/>
      <c r="Q459" s="13"/>
      <c r="R459" s="13"/>
      <c r="U459" s="13"/>
      <c r="W459" s="13"/>
      <c r="X459" s="13"/>
      <c r="Z459" s="13"/>
      <c r="AB459" s="13"/>
      <c r="AC459" s="13"/>
      <c r="AE459" s="13"/>
      <c r="AF459" s="13"/>
      <c r="AG459" s="13"/>
      <c r="AH459" s="13"/>
      <c r="AZ459" s="14"/>
      <c r="BA459" s="14"/>
      <c r="BB459" s="14"/>
    </row>
    <row r="460" ht="15.75" customHeight="1">
      <c r="B460" s="146"/>
      <c r="F460" s="13"/>
      <c r="K460" s="13"/>
      <c r="P460" s="13"/>
      <c r="Q460" s="13"/>
      <c r="R460" s="13"/>
      <c r="U460" s="13"/>
      <c r="W460" s="13"/>
      <c r="X460" s="13"/>
      <c r="Z460" s="13"/>
      <c r="AB460" s="13"/>
      <c r="AC460" s="13"/>
      <c r="AE460" s="13"/>
      <c r="AF460" s="13"/>
      <c r="AG460" s="13"/>
      <c r="AH460" s="13"/>
      <c r="AZ460" s="14"/>
      <c r="BA460" s="14"/>
      <c r="BB460" s="14"/>
    </row>
    <row r="461" ht="15.75" customHeight="1">
      <c r="B461" s="146"/>
      <c r="F461" s="13"/>
      <c r="K461" s="13"/>
      <c r="P461" s="13"/>
      <c r="Q461" s="13"/>
      <c r="R461" s="13"/>
      <c r="U461" s="13"/>
      <c r="W461" s="13"/>
      <c r="X461" s="13"/>
      <c r="Z461" s="13"/>
      <c r="AB461" s="13"/>
      <c r="AC461" s="13"/>
      <c r="AE461" s="13"/>
      <c r="AF461" s="13"/>
      <c r="AG461" s="13"/>
      <c r="AH461" s="13"/>
      <c r="AZ461" s="14"/>
      <c r="BA461" s="14"/>
      <c r="BB461" s="14"/>
    </row>
    <row r="462" ht="15.75" customHeight="1">
      <c r="B462" s="146"/>
      <c r="F462" s="13"/>
      <c r="K462" s="13"/>
      <c r="P462" s="13"/>
      <c r="Q462" s="13"/>
      <c r="R462" s="13"/>
      <c r="U462" s="13"/>
      <c r="W462" s="13"/>
      <c r="X462" s="13"/>
      <c r="Z462" s="13"/>
      <c r="AB462" s="13"/>
      <c r="AC462" s="13"/>
      <c r="AE462" s="13"/>
      <c r="AF462" s="13"/>
      <c r="AG462" s="13"/>
      <c r="AH462" s="13"/>
      <c r="AZ462" s="14"/>
      <c r="BA462" s="14"/>
      <c r="BB462" s="14"/>
    </row>
    <row r="463" ht="15.75" customHeight="1">
      <c r="B463" s="146"/>
      <c r="F463" s="13"/>
      <c r="K463" s="13"/>
      <c r="P463" s="13"/>
      <c r="Q463" s="13"/>
      <c r="R463" s="13"/>
      <c r="U463" s="13"/>
      <c r="W463" s="13"/>
      <c r="X463" s="13"/>
      <c r="Z463" s="13"/>
      <c r="AB463" s="13"/>
      <c r="AC463" s="13"/>
      <c r="AE463" s="13"/>
      <c r="AF463" s="13"/>
      <c r="AG463" s="13"/>
      <c r="AH463" s="13"/>
      <c r="AZ463" s="14"/>
      <c r="BA463" s="14"/>
      <c r="BB463" s="14"/>
    </row>
    <row r="464" ht="15.75" customHeight="1">
      <c r="B464" s="146"/>
      <c r="F464" s="13"/>
      <c r="K464" s="13"/>
      <c r="P464" s="13"/>
      <c r="Q464" s="13"/>
      <c r="R464" s="13"/>
      <c r="U464" s="13"/>
      <c r="W464" s="13"/>
      <c r="X464" s="13"/>
      <c r="Z464" s="13"/>
      <c r="AB464" s="13"/>
      <c r="AC464" s="13"/>
      <c r="AE464" s="13"/>
      <c r="AF464" s="13"/>
      <c r="AG464" s="13"/>
      <c r="AH464" s="13"/>
      <c r="AZ464" s="14"/>
      <c r="BA464" s="14"/>
      <c r="BB464" s="14"/>
    </row>
    <row r="465" ht="15.75" customHeight="1">
      <c r="B465" s="146"/>
      <c r="F465" s="13"/>
      <c r="K465" s="13"/>
      <c r="P465" s="13"/>
      <c r="Q465" s="13"/>
      <c r="R465" s="13"/>
      <c r="U465" s="13"/>
      <c r="W465" s="13"/>
      <c r="X465" s="13"/>
      <c r="Z465" s="13"/>
      <c r="AB465" s="13"/>
      <c r="AC465" s="13"/>
      <c r="AE465" s="13"/>
      <c r="AF465" s="13"/>
      <c r="AG465" s="13"/>
      <c r="AH465" s="13"/>
      <c r="AZ465" s="14"/>
      <c r="BA465" s="14"/>
      <c r="BB465" s="14"/>
    </row>
    <row r="466" ht="15.75" customHeight="1">
      <c r="B466" s="146"/>
      <c r="F466" s="13"/>
      <c r="K466" s="13"/>
      <c r="P466" s="13"/>
      <c r="Q466" s="13"/>
      <c r="R466" s="13"/>
      <c r="U466" s="13"/>
      <c r="W466" s="13"/>
      <c r="X466" s="13"/>
      <c r="Z466" s="13"/>
      <c r="AB466" s="13"/>
      <c r="AC466" s="13"/>
      <c r="AE466" s="13"/>
      <c r="AF466" s="13"/>
      <c r="AG466" s="13"/>
      <c r="AH466" s="13"/>
      <c r="AZ466" s="14"/>
      <c r="BA466" s="14"/>
      <c r="BB466" s="14"/>
    </row>
    <row r="467" ht="15.75" customHeight="1">
      <c r="B467" s="146"/>
      <c r="F467" s="13"/>
      <c r="K467" s="13"/>
      <c r="P467" s="13"/>
      <c r="Q467" s="13"/>
      <c r="R467" s="13"/>
      <c r="U467" s="13"/>
      <c r="W467" s="13"/>
      <c r="X467" s="13"/>
      <c r="Z467" s="13"/>
      <c r="AB467" s="13"/>
      <c r="AC467" s="13"/>
      <c r="AE467" s="13"/>
      <c r="AF467" s="13"/>
      <c r="AG467" s="13"/>
      <c r="AH467" s="13"/>
      <c r="AZ467" s="14"/>
      <c r="BA467" s="14"/>
      <c r="BB467" s="14"/>
    </row>
    <row r="468" ht="15.75" customHeight="1">
      <c r="B468" s="146"/>
      <c r="F468" s="13"/>
      <c r="K468" s="13"/>
      <c r="P468" s="13"/>
      <c r="Q468" s="13"/>
      <c r="R468" s="13"/>
      <c r="U468" s="13"/>
      <c r="W468" s="13"/>
      <c r="X468" s="13"/>
      <c r="Z468" s="13"/>
      <c r="AB468" s="13"/>
      <c r="AC468" s="13"/>
      <c r="AE468" s="13"/>
      <c r="AF468" s="13"/>
      <c r="AG468" s="13"/>
      <c r="AH468" s="13"/>
      <c r="AZ468" s="14"/>
      <c r="BA468" s="14"/>
      <c r="BB468" s="14"/>
    </row>
    <row r="469" ht="15.75" customHeight="1">
      <c r="B469" s="146"/>
      <c r="F469" s="13"/>
      <c r="K469" s="13"/>
      <c r="P469" s="13"/>
      <c r="Q469" s="13"/>
      <c r="R469" s="13"/>
      <c r="U469" s="13"/>
      <c r="W469" s="13"/>
      <c r="X469" s="13"/>
      <c r="Z469" s="13"/>
      <c r="AB469" s="13"/>
      <c r="AC469" s="13"/>
      <c r="AE469" s="13"/>
      <c r="AF469" s="13"/>
      <c r="AG469" s="13"/>
      <c r="AH469" s="13"/>
      <c r="AZ469" s="14"/>
      <c r="BA469" s="14"/>
      <c r="BB469" s="14"/>
    </row>
    <row r="470" ht="15.75" customHeight="1">
      <c r="B470" s="146"/>
      <c r="F470" s="13"/>
      <c r="K470" s="13"/>
      <c r="P470" s="13"/>
      <c r="Q470" s="13"/>
      <c r="R470" s="13"/>
      <c r="U470" s="13"/>
      <c r="W470" s="13"/>
      <c r="X470" s="13"/>
      <c r="Z470" s="13"/>
      <c r="AB470" s="13"/>
      <c r="AC470" s="13"/>
      <c r="AE470" s="13"/>
      <c r="AF470" s="13"/>
      <c r="AG470" s="13"/>
      <c r="AH470" s="13"/>
      <c r="AZ470" s="14"/>
      <c r="BA470" s="14"/>
      <c r="BB470" s="14"/>
    </row>
    <row r="471" ht="15.75" customHeight="1">
      <c r="B471" s="146"/>
      <c r="F471" s="13"/>
      <c r="K471" s="13"/>
      <c r="P471" s="13"/>
      <c r="Q471" s="13"/>
      <c r="R471" s="13"/>
      <c r="U471" s="13"/>
      <c r="W471" s="13"/>
      <c r="X471" s="13"/>
      <c r="Z471" s="13"/>
      <c r="AB471" s="13"/>
      <c r="AC471" s="13"/>
      <c r="AE471" s="13"/>
      <c r="AF471" s="13"/>
      <c r="AG471" s="13"/>
      <c r="AH471" s="13"/>
      <c r="AZ471" s="14"/>
      <c r="BA471" s="14"/>
      <c r="BB471" s="14"/>
    </row>
    <row r="472" ht="15.75" customHeight="1">
      <c r="B472" s="146"/>
      <c r="F472" s="13"/>
      <c r="K472" s="13"/>
      <c r="P472" s="13"/>
      <c r="Q472" s="13"/>
      <c r="R472" s="13"/>
      <c r="U472" s="13"/>
      <c r="W472" s="13"/>
      <c r="X472" s="13"/>
      <c r="Z472" s="13"/>
      <c r="AB472" s="13"/>
      <c r="AC472" s="13"/>
      <c r="AE472" s="13"/>
      <c r="AF472" s="13"/>
      <c r="AG472" s="13"/>
      <c r="AH472" s="13"/>
      <c r="AZ472" s="14"/>
      <c r="BA472" s="14"/>
      <c r="BB472" s="14"/>
    </row>
    <row r="473" ht="15.75" customHeight="1">
      <c r="B473" s="146"/>
      <c r="F473" s="13"/>
      <c r="K473" s="13"/>
      <c r="P473" s="13"/>
      <c r="Q473" s="13"/>
      <c r="R473" s="13"/>
      <c r="U473" s="13"/>
      <c r="W473" s="13"/>
      <c r="X473" s="13"/>
      <c r="Z473" s="13"/>
      <c r="AB473" s="13"/>
      <c r="AC473" s="13"/>
      <c r="AE473" s="13"/>
      <c r="AF473" s="13"/>
      <c r="AG473" s="13"/>
      <c r="AH473" s="13"/>
      <c r="AZ473" s="14"/>
      <c r="BA473" s="14"/>
      <c r="BB473" s="14"/>
    </row>
    <row r="474" ht="15.75" customHeight="1">
      <c r="B474" s="146"/>
      <c r="F474" s="13"/>
      <c r="K474" s="13"/>
      <c r="P474" s="13"/>
      <c r="Q474" s="13"/>
      <c r="R474" s="13"/>
      <c r="U474" s="13"/>
      <c r="W474" s="13"/>
      <c r="X474" s="13"/>
      <c r="Z474" s="13"/>
      <c r="AB474" s="13"/>
      <c r="AC474" s="13"/>
      <c r="AE474" s="13"/>
      <c r="AF474" s="13"/>
      <c r="AG474" s="13"/>
      <c r="AH474" s="13"/>
      <c r="AZ474" s="14"/>
      <c r="BA474" s="14"/>
      <c r="BB474" s="14"/>
    </row>
    <row r="475" ht="15.75" customHeight="1">
      <c r="B475" s="146"/>
      <c r="F475" s="13"/>
      <c r="K475" s="13"/>
      <c r="P475" s="13"/>
      <c r="Q475" s="13"/>
      <c r="R475" s="13"/>
      <c r="U475" s="13"/>
      <c r="W475" s="13"/>
      <c r="X475" s="13"/>
      <c r="Z475" s="13"/>
      <c r="AB475" s="13"/>
      <c r="AC475" s="13"/>
      <c r="AE475" s="13"/>
      <c r="AF475" s="13"/>
      <c r="AG475" s="13"/>
      <c r="AH475" s="13"/>
      <c r="AZ475" s="14"/>
      <c r="BA475" s="14"/>
      <c r="BB475" s="14"/>
    </row>
    <row r="476" ht="15.75" customHeight="1">
      <c r="B476" s="146"/>
      <c r="F476" s="13"/>
      <c r="K476" s="13"/>
      <c r="P476" s="13"/>
      <c r="Q476" s="13"/>
      <c r="R476" s="13"/>
      <c r="U476" s="13"/>
      <c r="W476" s="13"/>
      <c r="X476" s="13"/>
      <c r="Z476" s="13"/>
      <c r="AB476" s="13"/>
      <c r="AC476" s="13"/>
      <c r="AE476" s="13"/>
      <c r="AF476" s="13"/>
      <c r="AG476" s="13"/>
      <c r="AH476" s="13"/>
      <c r="AZ476" s="14"/>
      <c r="BA476" s="14"/>
      <c r="BB476" s="14"/>
    </row>
    <row r="477" ht="15.75" customHeight="1">
      <c r="B477" s="146"/>
      <c r="F477" s="13"/>
      <c r="K477" s="13"/>
      <c r="P477" s="13"/>
      <c r="Q477" s="13"/>
      <c r="R477" s="13"/>
      <c r="U477" s="13"/>
      <c r="W477" s="13"/>
      <c r="X477" s="13"/>
      <c r="Z477" s="13"/>
      <c r="AB477" s="13"/>
      <c r="AC477" s="13"/>
      <c r="AE477" s="13"/>
      <c r="AF477" s="13"/>
      <c r="AG477" s="13"/>
      <c r="AH477" s="13"/>
      <c r="AZ477" s="14"/>
      <c r="BA477" s="14"/>
      <c r="BB477" s="14"/>
    </row>
    <row r="478" ht="15.75" customHeight="1">
      <c r="B478" s="146"/>
      <c r="F478" s="13"/>
      <c r="K478" s="13"/>
      <c r="P478" s="13"/>
      <c r="Q478" s="13"/>
      <c r="R478" s="13"/>
      <c r="U478" s="13"/>
      <c r="W478" s="13"/>
      <c r="X478" s="13"/>
      <c r="Z478" s="13"/>
      <c r="AB478" s="13"/>
      <c r="AC478" s="13"/>
      <c r="AE478" s="13"/>
      <c r="AF478" s="13"/>
      <c r="AG478" s="13"/>
      <c r="AH478" s="13"/>
      <c r="AZ478" s="14"/>
      <c r="BA478" s="14"/>
      <c r="BB478" s="14"/>
    </row>
    <row r="479" ht="15.75" customHeight="1">
      <c r="B479" s="146"/>
      <c r="F479" s="13"/>
      <c r="K479" s="13"/>
      <c r="P479" s="13"/>
      <c r="Q479" s="13"/>
      <c r="R479" s="13"/>
      <c r="U479" s="13"/>
      <c r="W479" s="13"/>
      <c r="X479" s="13"/>
      <c r="Z479" s="13"/>
      <c r="AB479" s="13"/>
      <c r="AC479" s="13"/>
      <c r="AE479" s="13"/>
      <c r="AF479" s="13"/>
      <c r="AG479" s="13"/>
      <c r="AH479" s="13"/>
      <c r="AZ479" s="14"/>
      <c r="BA479" s="14"/>
      <c r="BB479" s="14"/>
    </row>
    <row r="480" ht="15.75" customHeight="1">
      <c r="B480" s="146"/>
      <c r="F480" s="13"/>
      <c r="K480" s="13"/>
      <c r="P480" s="13"/>
      <c r="Q480" s="13"/>
      <c r="R480" s="13"/>
      <c r="U480" s="13"/>
      <c r="W480" s="13"/>
      <c r="X480" s="13"/>
      <c r="Z480" s="13"/>
      <c r="AB480" s="13"/>
      <c r="AC480" s="13"/>
      <c r="AE480" s="13"/>
      <c r="AF480" s="13"/>
      <c r="AG480" s="13"/>
      <c r="AH480" s="13"/>
      <c r="AZ480" s="14"/>
      <c r="BA480" s="14"/>
      <c r="BB480" s="14"/>
    </row>
    <row r="481" ht="15.75" customHeight="1">
      <c r="B481" s="146"/>
      <c r="F481" s="13"/>
      <c r="K481" s="13"/>
      <c r="P481" s="13"/>
      <c r="Q481" s="13"/>
      <c r="R481" s="13"/>
      <c r="U481" s="13"/>
      <c r="W481" s="13"/>
      <c r="X481" s="13"/>
      <c r="Z481" s="13"/>
      <c r="AB481" s="13"/>
      <c r="AC481" s="13"/>
      <c r="AE481" s="13"/>
      <c r="AF481" s="13"/>
      <c r="AG481" s="13"/>
      <c r="AH481" s="13"/>
      <c r="AZ481" s="14"/>
      <c r="BA481" s="14"/>
      <c r="BB481" s="14"/>
    </row>
    <row r="482" ht="15.75" customHeight="1">
      <c r="B482" s="146"/>
      <c r="F482" s="13"/>
      <c r="K482" s="13"/>
      <c r="P482" s="13"/>
      <c r="Q482" s="13"/>
      <c r="R482" s="13"/>
      <c r="U482" s="13"/>
      <c r="W482" s="13"/>
      <c r="X482" s="13"/>
      <c r="Z482" s="13"/>
      <c r="AB482" s="13"/>
      <c r="AC482" s="13"/>
      <c r="AE482" s="13"/>
      <c r="AF482" s="13"/>
      <c r="AG482" s="13"/>
      <c r="AH482" s="13"/>
      <c r="AZ482" s="14"/>
      <c r="BA482" s="14"/>
      <c r="BB482" s="14"/>
    </row>
    <row r="483" ht="15.75" customHeight="1">
      <c r="B483" s="146"/>
      <c r="F483" s="13"/>
      <c r="K483" s="13"/>
      <c r="P483" s="13"/>
      <c r="Q483" s="13"/>
      <c r="R483" s="13"/>
      <c r="U483" s="13"/>
      <c r="W483" s="13"/>
      <c r="X483" s="13"/>
      <c r="Z483" s="13"/>
      <c r="AB483" s="13"/>
      <c r="AC483" s="13"/>
      <c r="AE483" s="13"/>
      <c r="AF483" s="13"/>
      <c r="AG483" s="13"/>
      <c r="AH483" s="13"/>
      <c r="AZ483" s="14"/>
      <c r="BA483" s="14"/>
      <c r="BB483" s="14"/>
    </row>
    <row r="484" ht="15.75" customHeight="1">
      <c r="B484" s="146"/>
      <c r="F484" s="13"/>
      <c r="K484" s="13"/>
      <c r="P484" s="13"/>
      <c r="Q484" s="13"/>
      <c r="R484" s="13"/>
      <c r="U484" s="13"/>
      <c r="W484" s="13"/>
      <c r="X484" s="13"/>
      <c r="Z484" s="13"/>
      <c r="AB484" s="13"/>
      <c r="AC484" s="13"/>
      <c r="AE484" s="13"/>
      <c r="AF484" s="13"/>
      <c r="AG484" s="13"/>
      <c r="AH484" s="13"/>
      <c r="AZ484" s="14"/>
      <c r="BA484" s="14"/>
      <c r="BB484" s="14"/>
    </row>
    <row r="485" ht="15.75" customHeight="1">
      <c r="B485" s="146"/>
      <c r="F485" s="13"/>
      <c r="K485" s="13"/>
      <c r="P485" s="13"/>
      <c r="Q485" s="13"/>
      <c r="R485" s="13"/>
      <c r="U485" s="13"/>
      <c r="W485" s="13"/>
      <c r="X485" s="13"/>
      <c r="Z485" s="13"/>
      <c r="AB485" s="13"/>
      <c r="AC485" s="13"/>
      <c r="AE485" s="13"/>
      <c r="AF485" s="13"/>
      <c r="AG485" s="13"/>
      <c r="AH485" s="13"/>
      <c r="AZ485" s="14"/>
      <c r="BA485" s="14"/>
      <c r="BB485" s="14"/>
    </row>
    <row r="486" ht="15.75" customHeight="1">
      <c r="B486" s="146"/>
      <c r="F486" s="13"/>
      <c r="K486" s="13"/>
      <c r="P486" s="13"/>
      <c r="Q486" s="13"/>
      <c r="R486" s="13"/>
      <c r="U486" s="13"/>
      <c r="W486" s="13"/>
      <c r="X486" s="13"/>
      <c r="Z486" s="13"/>
      <c r="AB486" s="13"/>
      <c r="AC486" s="13"/>
      <c r="AE486" s="13"/>
      <c r="AF486" s="13"/>
      <c r="AG486" s="13"/>
      <c r="AH486" s="13"/>
      <c r="AZ486" s="14"/>
      <c r="BA486" s="14"/>
      <c r="BB486" s="14"/>
    </row>
    <row r="487" ht="15.75" customHeight="1">
      <c r="B487" s="146"/>
      <c r="F487" s="13"/>
      <c r="K487" s="13"/>
      <c r="P487" s="13"/>
      <c r="Q487" s="13"/>
      <c r="R487" s="13"/>
      <c r="U487" s="13"/>
      <c r="W487" s="13"/>
      <c r="X487" s="13"/>
      <c r="Z487" s="13"/>
      <c r="AB487" s="13"/>
      <c r="AC487" s="13"/>
      <c r="AE487" s="13"/>
      <c r="AF487" s="13"/>
      <c r="AG487" s="13"/>
      <c r="AH487" s="13"/>
      <c r="AZ487" s="14"/>
      <c r="BA487" s="14"/>
      <c r="BB487" s="14"/>
    </row>
    <row r="488" ht="15.75" customHeight="1">
      <c r="B488" s="146"/>
      <c r="F488" s="13"/>
      <c r="K488" s="13"/>
      <c r="P488" s="13"/>
      <c r="Q488" s="13"/>
      <c r="R488" s="13"/>
      <c r="U488" s="13"/>
      <c r="W488" s="13"/>
      <c r="X488" s="13"/>
      <c r="Z488" s="13"/>
      <c r="AB488" s="13"/>
      <c r="AC488" s="13"/>
      <c r="AE488" s="13"/>
      <c r="AF488" s="13"/>
      <c r="AG488" s="13"/>
      <c r="AH488" s="13"/>
      <c r="AZ488" s="14"/>
      <c r="BA488" s="14"/>
      <c r="BB488" s="14"/>
    </row>
    <row r="489" ht="15.75" customHeight="1">
      <c r="B489" s="146"/>
      <c r="F489" s="13"/>
      <c r="K489" s="13"/>
      <c r="P489" s="13"/>
      <c r="Q489" s="13"/>
      <c r="R489" s="13"/>
      <c r="U489" s="13"/>
      <c r="W489" s="13"/>
      <c r="X489" s="13"/>
      <c r="Z489" s="13"/>
      <c r="AB489" s="13"/>
      <c r="AC489" s="13"/>
      <c r="AE489" s="13"/>
      <c r="AF489" s="13"/>
      <c r="AG489" s="13"/>
      <c r="AH489" s="13"/>
      <c r="AZ489" s="14"/>
      <c r="BA489" s="14"/>
      <c r="BB489" s="14"/>
    </row>
    <row r="490" ht="15.75" customHeight="1">
      <c r="B490" s="146"/>
      <c r="F490" s="13"/>
      <c r="K490" s="13"/>
      <c r="P490" s="13"/>
      <c r="Q490" s="13"/>
      <c r="R490" s="13"/>
      <c r="U490" s="13"/>
      <c r="W490" s="13"/>
      <c r="X490" s="13"/>
      <c r="Z490" s="13"/>
      <c r="AB490" s="13"/>
      <c r="AC490" s="13"/>
      <c r="AE490" s="13"/>
      <c r="AF490" s="13"/>
      <c r="AG490" s="13"/>
      <c r="AH490" s="13"/>
      <c r="AZ490" s="14"/>
      <c r="BA490" s="14"/>
      <c r="BB490" s="14"/>
    </row>
    <row r="491" ht="15.75" customHeight="1">
      <c r="B491" s="146"/>
      <c r="F491" s="13"/>
      <c r="K491" s="13"/>
      <c r="P491" s="13"/>
      <c r="Q491" s="13"/>
      <c r="R491" s="13"/>
      <c r="U491" s="13"/>
      <c r="W491" s="13"/>
      <c r="X491" s="13"/>
      <c r="Z491" s="13"/>
      <c r="AB491" s="13"/>
      <c r="AC491" s="13"/>
      <c r="AE491" s="13"/>
      <c r="AF491" s="13"/>
      <c r="AG491" s="13"/>
      <c r="AH491" s="13"/>
      <c r="AZ491" s="14"/>
      <c r="BA491" s="14"/>
      <c r="BB491" s="14"/>
    </row>
    <row r="492" ht="15.75" customHeight="1">
      <c r="B492" s="146"/>
      <c r="F492" s="13"/>
      <c r="K492" s="13"/>
      <c r="P492" s="13"/>
      <c r="Q492" s="13"/>
      <c r="R492" s="13"/>
      <c r="U492" s="13"/>
      <c r="W492" s="13"/>
      <c r="X492" s="13"/>
      <c r="Z492" s="13"/>
      <c r="AB492" s="13"/>
      <c r="AC492" s="13"/>
      <c r="AE492" s="13"/>
      <c r="AF492" s="13"/>
      <c r="AG492" s="13"/>
      <c r="AH492" s="13"/>
      <c r="AZ492" s="14"/>
      <c r="BA492" s="14"/>
      <c r="BB492" s="14"/>
    </row>
    <row r="493" ht="15.75" customHeight="1">
      <c r="B493" s="146"/>
      <c r="F493" s="13"/>
      <c r="K493" s="13"/>
      <c r="P493" s="13"/>
      <c r="Q493" s="13"/>
      <c r="R493" s="13"/>
      <c r="U493" s="13"/>
      <c r="W493" s="13"/>
      <c r="X493" s="13"/>
      <c r="Z493" s="13"/>
      <c r="AB493" s="13"/>
      <c r="AC493" s="13"/>
      <c r="AE493" s="13"/>
      <c r="AF493" s="13"/>
      <c r="AG493" s="13"/>
      <c r="AH493" s="13"/>
      <c r="AZ493" s="14"/>
      <c r="BA493" s="14"/>
      <c r="BB493" s="14"/>
    </row>
    <row r="494" ht="15.75" customHeight="1">
      <c r="B494" s="146"/>
      <c r="F494" s="13"/>
      <c r="K494" s="13"/>
      <c r="P494" s="13"/>
      <c r="Q494" s="13"/>
      <c r="R494" s="13"/>
      <c r="U494" s="13"/>
      <c r="W494" s="13"/>
      <c r="X494" s="13"/>
      <c r="Z494" s="13"/>
      <c r="AB494" s="13"/>
      <c r="AC494" s="13"/>
      <c r="AE494" s="13"/>
      <c r="AF494" s="13"/>
      <c r="AG494" s="13"/>
      <c r="AH494" s="13"/>
      <c r="AZ494" s="14"/>
      <c r="BA494" s="14"/>
      <c r="BB494" s="14"/>
    </row>
    <row r="495" ht="15.75" customHeight="1">
      <c r="B495" s="146"/>
      <c r="F495" s="13"/>
      <c r="K495" s="13"/>
      <c r="P495" s="13"/>
      <c r="Q495" s="13"/>
      <c r="R495" s="13"/>
      <c r="U495" s="13"/>
      <c r="W495" s="13"/>
      <c r="X495" s="13"/>
      <c r="Z495" s="13"/>
      <c r="AB495" s="13"/>
      <c r="AC495" s="13"/>
      <c r="AE495" s="13"/>
      <c r="AF495" s="13"/>
      <c r="AG495" s="13"/>
      <c r="AH495" s="13"/>
      <c r="AZ495" s="14"/>
      <c r="BA495" s="14"/>
      <c r="BB495" s="14"/>
    </row>
    <row r="496" ht="15.75" customHeight="1">
      <c r="B496" s="146"/>
      <c r="F496" s="13"/>
      <c r="K496" s="13"/>
      <c r="P496" s="13"/>
      <c r="Q496" s="13"/>
      <c r="R496" s="13"/>
      <c r="U496" s="13"/>
      <c r="W496" s="13"/>
      <c r="X496" s="13"/>
      <c r="Z496" s="13"/>
      <c r="AB496" s="13"/>
      <c r="AC496" s="13"/>
      <c r="AE496" s="13"/>
      <c r="AF496" s="13"/>
      <c r="AG496" s="13"/>
      <c r="AH496" s="13"/>
      <c r="AZ496" s="14"/>
      <c r="BA496" s="14"/>
      <c r="BB496" s="14"/>
    </row>
    <row r="497" ht="15.75" customHeight="1">
      <c r="B497" s="146"/>
      <c r="F497" s="13"/>
      <c r="K497" s="13"/>
      <c r="P497" s="13"/>
      <c r="Q497" s="13"/>
      <c r="R497" s="13"/>
      <c r="U497" s="13"/>
      <c r="W497" s="13"/>
      <c r="X497" s="13"/>
      <c r="Z497" s="13"/>
      <c r="AB497" s="13"/>
      <c r="AC497" s="13"/>
      <c r="AE497" s="13"/>
      <c r="AF497" s="13"/>
      <c r="AG497" s="13"/>
      <c r="AH497" s="13"/>
      <c r="AZ497" s="14"/>
      <c r="BA497" s="14"/>
      <c r="BB497" s="14"/>
    </row>
    <row r="498" ht="15.75" customHeight="1">
      <c r="B498" s="146"/>
      <c r="F498" s="13"/>
      <c r="K498" s="13"/>
      <c r="P498" s="13"/>
      <c r="Q498" s="13"/>
      <c r="R498" s="13"/>
      <c r="U498" s="13"/>
      <c r="W498" s="13"/>
      <c r="X498" s="13"/>
      <c r="Z498" s="13"/>
      <c r="AB498" s="13"/>
      <c r="AC498" s="13"/>
      <c r="AE498" s="13"/>
      <c r="AF498" s="13"/>
      <c r="AG498" s="13"/>
      <c r="AH498" s="13"/>
      <c r="AZ498" s="14"/>
      <c r="BA498" s="14"/>
      <c r="BB498" s="14"/>
    </row>
    <row r="499" ht="15.75" customHeight="1">
      <c r="B499" s="146"/>
      <c r="F499" s="13"/>
      <c r="K499" s="13"/>
      <c r="P499" s="13"/>
      <c r="Q499" s="13"/>
      <c r="R499" s="13"/>
      <c r="U499" s="13"/>
      <c r="W499" s="13"/>
      <c r="X499" s="13"/>
      <c r="Z499" s="13"/>
      <c r="AB499" s="13"/>
      <c r="AC499" s="13"/>
      <c r="AE499" s="13"/>
      <c r="AF499" s="13"/>
      <c r="AG499" s="13"/>
      <c r="AH499" s="13"/>
      <c r="AZ499" s="14"/>
      <c r="BA499" s="14"/>
      <c r="BB499" s="14"/>
    </row>
    <row r="500" ht="15.75" customHeight="1">
      <c r="B500" s="146"/>
      <c r="F500" s="13"/>
      <c r="K500" s="13"/>
      <c r="P500" s="13"/>
      <c r="Q500" s="13"/>
      <c r="R500" s="13"/>
      <c r="U500" s="13"/>
      <c r="W500" s="13"/>
      <c r="X500" s="13"/>
      <c r="Z500" s="13"/>
      <c r="AB500" s="13"/>
      <c r="AC500" s="13"/>
      <c r="AE500" s="13"/>
      <c r="AF500" s="13"/>
      <c r="AG500" s="13"/>
      <c r="AH500" s="13"/>
      <c r="AZ500" s="14"/>
      <c r="BA500" s="14"/>
      <c r="BB500" s="14"/>
    </row>
    <row r="501" ht="15.75" customHeight="1">
      <c r="B501" s="146"/>
      <c r="F501" s="13"/>
      <c r="K501" s="13"/>
      <c r="P501" s="13"/>
      <c r="Q501" s="13"/>
      <c r="R501" s="13"/>
      <c r="U501" s="13"/>
      <c r="W501" s="13"/>
      <c r="X501" s="13"/>
      <c r="Z501" s="13"/>
      <c r="AB501" s="13"/>
      <c r="AC501" s="13"/>
      <c r="AE501" s="13"/>
      <c r="AF501" s="13"/>
      <c r="AG501" s="13"/>
      <c r="AH501" s="13"/>
      <c r="AZ501" s="14"/>
      <c r="BA501" s="14"/>
      <c r="BB501" s="14"/>
    </row>
    <row r="502" ht="15.75" customHeight="1">
      <c r="B502" s="146"/>
      <c r="F502" s="13"/>
      <c r="K502" s="13"/>
      <c r="P502" s="13"/>
      <c r="Q502" s="13"/>
      <c r="R502" s="13"/>
      <c r="U502" s="13"/>
      <c r="W502" s="13"/>
      <c r="X502" s="13"/>
      <c r="Z502" s="13"/>
      <c r="AB502" s="13"/>
      <c r="AC502" s="13"/>
      <c r="AE502" s="13"/>
      <c r="AF502" s="13"/>
      <c r="AG502" s="13"/>
      <c r="AH502" s="13"/>
      <c r="AZ502" s="14"/>
      <c r="BA502" s="14"/>
      <c r="BB502" s="14"/>
    </row>
    <row r="503" ht="15.75" customHeight="1">
      <c r="B503" s="146"/>
      <c r="F503" s="13"/>
      <c r="K503" s="13"/>
      <c r="P503" s="13"/>
      <c r="Q503" s="13"/>
      <c r="R503" s="13"/>
      <c r="U503" s="13"/>
      <c r="W503" s="13"/>
      <c r="X503" s="13"/>
      <c r="Z503" s="13"/>
      <c r="AB503" s="13"/>
      <c r="AC503" s="13"/>
      <c r="AE503" s="13"/>
      <c r="AF503" s="13"/>
      <c r="AG503" s="13"/>
      <c r="AH503" s="13"/>
      <c r="AZ503" s="14"/>
      <c r="BA503" s="14"/>
      <c r="BB503" s="14"/>
    </row>
    <row r="504" ht="15.75" customHeight="1">
      <c r="B504" s="146"/>
      <c r="F504" s="13"/>
      <c r="K504" s="13"/>
      <c r="P504" s="13"/>
      <c r="Q504" s="13"/>
      <c r="R504" s="13"/>
      <c r="U504" s="13"/>
      <c r="W504" s="13"/>
      <c r="X504" s="13"/>
      <c r="Z504" s="13"/>
      <c r="AB504" s="13"/>
      <c r="AC504" s="13"/>
      <c r="AE504" s="13"/>
      <c r="AF504" s="13"/>
      <c r="AG504" s="13"/>
      <c r="AH504" s="13"/>
      <c r="AZ504" s="14"/>
      <c r="BA504" s="14"/>
      <c r="BB504" s="14"/>
    </row>
    <row r="505" ht="15.75" customHeight="1">
      <c r="B505" s="146"/>
      <c r="F505" s="13"/>
      <c r="K505" s="13"/>
      <c r="P505" s="13"/>
      <c r="Q505" s="13"/>
      <c r="R505" s="13"/>
      <c r="U505" s="13"/>
      <c r="W505" s="13"/>
      <c r="X505" s="13"/>
      <c r="Z505" s="13"/>
      <c r="AB505" s="13"/>
      <c r="AC505" s="13"/>
      <c r="AE505" s="13"/>
      <c r="AF505" s="13"/>
      <c r="AG505" s="13"/>
      <c r="AH505" s="13"/>
      <c r="AZ505" s="14"/>
      <c r="BA505" s="14"/>
      <c r="BB505" s="14"/>
    </row>
    <row r="506" ht="15.75" customHeight="1">
      <c r="B506" s="146"/>
      <c r="F506" s="13"/>
      <c r="K506" s="13"/>
      <c r="P506" s="13"/>
      <c r="Q506" s="13"/>
      <c r="R506" s="13"/>
      <c r="U506" s="13"/>
      <c r="W506" s="13"/>
      <c r="X506" s="13"/>
      <c r="Z506" s="13"/>
      <c r="AB506" s="13"/>
      <c r="AC506" s="13"/>
      <c r="AE506" s="13"/>
      <c r="AF506" s="13"/>
      <c r="AG506" s="13"/>
      <c r="AH506" s="13"/>
      <c r="AZ506" s="14"/>
      <c r="BA506" s="14"/>
      <c r="BB506" s="14"/>
    </row>
    <row r="507" ht="15.75" customHeight="1">
      <c r="B507" s="146"/>
      <c r="F507" s="13"/>
      <c r="K507" s="13"/>
      <c r="P507" s="13"/>
      <c r="Q507" s="13"/>
      <c r="R507" s="13"/>
      <c r="U507" s="13"/>
      <c r="W507" s="13"/>
      <c r="X507" s="13"/>
      <c r="Z507" s="13"/>
      <c r="AB507" s="13"/>
      <c r="AC507" s="13"/>
      <c r="AE507" s="13"/>
      <c r="AF507" s="13"/>
      <c r="AG507" s="13"/>
      <c r="AH507" s="13"/>
      <c r="AZ507" s="14"/>
      <c r="BA507" s="14"/>
      <c r="BB507" s="14"/>
    </row>
    <row r="508" ht="15.75" customHeight="1">
      <c r="B508" s="146"/>
      <c r="F508" s="13"/>
      <c r="K508" s="13"/>
      <c r="P508" s="13"/>
      <c r="Q508" s="13"/>
      <c r="R508" s="13"/>
      <c r="U508" s="13"/>
      <c r="W508" s="13"/>
      <c r="X508" s="13"/>
      <c r="Z508" s="13"/>
      <c r="AB508" s="13"/>
      <c r="AC508" s="13"/>
      <c r="AE508" s="13"/>
      <c r="AF508" s="13"/>
      <c r="AG508" s="13"/>
      <c r="AH508" s="13"/>
      <c r="AZ508" s="14"/>
      <c r="BA508" s="14"/>
      <c r="BB508" s="14"/>
    </row>
    <row r="509" ht="15.75" customHeight="1">
      <c r="B509" s="146"/>
      <c r="F509" s="13"/>
      <c r="K509" s="13"/>
      <c r="P509" s="13"/>
      <c r="Q509" s="13"/>
      <c r="R509" s="13"/>
      <c r="U509" s="13"/>
      <c r="W509" s="13"/>
      <c r="X509" s="13"/>
      <c r="Z509" s="13"/>
      <c r="AB509" s="13"/>
      <c r="AC509" s="13"/>
      <c r="AE509" s="13"/>
      <c r="AF509" s="13"/>
      <c r="AG509" s="13"/>
      <c r="AH509" s="13"/>
      <c r="AZ509" s="14"/>
      <c r="BA509" s="14"/>
      <c r="BB509" s="14"/>
    </row>
    <row r="510" ht="15.75" customHeight="1">
      <c r="B510" s="146"/>
      <c r="F510" s="13"/>
      <c r="K510" s="13"/>
      <c r="P510" s="13"/>
      <c r="Q510" s="13"/>
      <c r="R510" s="13"/>
      <c r="U510" s="13"/>
      <c r="W510" s="13"/>
      <c r="X510" s="13"/>
      <c r="Z510" s="13"/>
      <c r="AB510" s="13"/>
      <c r="AC510" s="13"/>
      <c r="AE510" s="13"/>
      <c r="AF510" s="13"/>
      <c r="AG510" s="13"/>
      <c r="AH510" s="13"/>
      <c r="AZ510" s="14"/>
      <c r="BA510" s="14"/>
      <c r="BB510" s="14"/>
    </row>
    <row r="511" ht="15.75" customHeight="1">
      <c r="B511" s="146"/>
      <c r="F511" s="13"/>
      <c r="K511" s="13"/>
      <c r="P511" s="13"/>
      <c r="Q511" s="13"/>
      <c r="R511" s="13"/>
      <c r="U511" s="13"/>
      <c r="W511" s="13"/>
      <c r="X511" s="13"/>
      <c r="Z511" s="13"/>
      <c r="AB511" s="13"/>
      <c r="AC511" s="13"/>
      <c r="AE511" s="13"/>
      <c r="AF511" s="13"/>
      <c r="AG511" s="13"/>
      <c r="AH511" s="13"/>
      <c r="AZ511" s="14"/>
      <c r="BA511" s="14"/>
      <c r="BB511" s="14"/>
    </row>
    <row r="512" ht="15.75" customHeight="1">
      <c r="B512" s="146"/>
      <c r="F512" s="13"/>
      <c r="K512" s="13"/>
      <c r="P512" s="13"/>
      <c r="Q512" s="13"/>
      <c r="R512" s="13"/>
      <c r="U512" s="13"/>
      <c r="W512" s="13"/>
      <c r="X512" s="13"/>
      <c r="Z512" s="13"/>
      <c r="AB512" s="13"/>
      <c r="AC512" s="13"/>
      <c r="AE512" s="13"/>
      <c r="AF512" s="13"/>
      <c r="AG512" s="13"/>
      <c r="AH512" s="13"/>
      <c r="AZ512" s="14"/>
      <c r="BA512" s="14"/>
      <c r="BB512" s="14"/>
    </row>
    <row r="513" ht="15.75" customHeight="1">
      <c r="B513" s="146"/>
      <c r="F513" s="13"/>
      <c r="K513" s="13"/>
      <c r="P513" s="13"/>
      <c r="Q513" s="13"/>
      <c r="R513" s="13"/>
      <c r="U513" s="13"/>
      <c r="W513" s="13"/>
      <c r="X513" s="13"/>
      <c r="Z513" s="13"/>
      <c r="AB513" s="13"/>
      <c r="AC513" s="13"/>
      <c r="AE513" s="13"/>
      <c r="AF513" s="13"/>
      <c r="AG513" s="13"/>
      <c r="AH513" s="13"/>
      <c r="AZ513" s="14"/>
      <c r="BA513" s="14"/>
      <c r="BB513" s="14"/>
    </row>
    <row r="514" ht="15.75" customHeight="1">
      <c r="B514" s="146"/>
      <c r="F514" s="13"/>
      <c r="K514" s="13"/>
      <c r="P514" s="13"/>
      <c r="Q514" s="13"/>
      <c r="R514" s="13"/>
      <c r="U514" s="13"/>
      <c r="W514" s="13"/>
      <c r="X514" s="13"/>
      <c r="Z514" s="13"/>
      <c r="AB514" s="13"/>
      <c r="AC514" s="13"/>
      <c r="AE514" s="13"/>
      <c r="AF514" s="13"/>
      <c r="AG514" s="13"/>
      <c r="AH514" s="13"/>
      <c r="AZ514" s="14"/>
      <c r="BA514" s="14"/>
      <c r="BB514" s="14"/>
    </row>
    <row r="515" ht="15.75" customHeight="1">
      <c r="B515" s="146"/>
      <c r="F515" s="13"/>
      <c r="K515" s="13"/>
      <c r="P515" s="13"/>
      <c r="Q515" s="13"/>
      <c r="R515" s="13"/>
      <c r="U515" s="13"/>
      <c r="W515" s="13"/>
      <c r="X515" s="13"/>
      <c r="Z515" s="13"/>
      <c r="AB515" s="13"/>
      <c r="AC515" s="13"/>
      <c r="AE515" s="13"/>
      <c r="AF515" s="13"/>
      <c r="AG515" s="13"/>
      <c r="AH515" s="13"/>
      <c r="AZ515" s="14"/>
      <c r="BA515" s="14"/>
      <c r="BB515" s="14"/>
    </row>
    <row r="516" ht="15.75" customHeight="1">
      <c r="B516" s="146"/>
      <c r="F516" s="13"/>
      <c r="K516" s="13"/>
      <c r="P516" s="13"/>
      <c r="Q516" s="13"/>
      <c r="R516" s="13"/>
      <c r="U516" s="13"/>
      <c r="W516" s="13"/>
      <c r="X516" s="13"/>
      <c r="Z516" s="13"/>
      <c r="AB516" s="13"/>
      <c r="AC516" s="13"/>
      <c r="AE516" s="13"/>
      <c r="AF516" s="13"/>
      <c r="AG516" s="13"/>
      <c r="AH516" s="13"/>
      <c r="AZ516" s="14"/>
      <c r="BA516" s="14"/>
      <c r="BB516" s="14"/>
    </row>
    <row r="517" ht="15.75" customHeight="1">
      <c r="B517" s="146"/>
      <c r="F517" s="13"/>
      <c r="K517" s="13"/>
      <c r="P517" s="13"/>
      <c r="Q517" s="13"/>
      <c r="R517" s="13"/>
      <c r="U517" s="13"/>
      <c r="W517" s="13"/>
      <c r="X517" s="13"/>
      <c r="Z517" s="13"/>
      <c r="AB517" s="13"/>
      <c r="AC517" s="13"/>
      <c r="AE517" s="13"/>
      <c r="AF517" s="13"/>
      <c r="AG517" s="13"/>
      <c r="AH517" s="13"/>
      <c r="AZ517" s="14"/>
      <c r="BA517" s="14"/>
      <c r="BB517" s="14"/>
    </row>
    <row r="518" ht="15.75" customHeight="1">
      <c r="B518" s="146"/>
      <c r="F518" s="13"/>
      <c r="K518" s="13"/>
      <c r="P518" s="13"/>
      <c r="Q518" s="13"/>
      <c r="R518" s="13"/>
      <c r="U518" s="13"/>
      <c r="W518" s="13"/>
      <c r="X518" s="13"/>
      <c r="Z518" s="13"/>
      <c r="AB518" s="13"/>
      <c r="AC518" s="13"/>
      <c r="AE518" s="13"/>
      <c r="AF518" s="13"/>
      <c r="AG518" s="13"/>
      <c r="AH518" s="13"/>
      <c r="AZ518" s="14"/>
      <c r="BA518" s="14"/>
      <c r="BB518" s="14"/>
    </row>
    <row r="519" ht="15.75" customHeight="1">
      <c r="B519" s="146"/>
      <c r="F519" s="13"/>
      <c r="K519" s="13"/>
      <c r="P519" s="13"/>
      <c r="Q519" s="13"/>
      <c r="R519" s="13"/>
      <c r="U519" s="13"/>
      <c r="W519" s="13"/>
      <c r="X519" s="13"/>
      <c r="Z519" s="13"/>
      <c r="AB519" s="13"/>
      <c r="AC519" s="13"/>
      <c r="AE519" s="13"/>
      <c r="AF519" s="13"/>
      <c r="AG519" s="13"/>
      <c r="AH519" s="13"/>
      <c r="AZ519" s="14"/>
      <c r="BA519" s="14"/>
      <c r="BB519" s="14"/>
    </row>
    <row r="520" ht="15.75" customHeight="1">
      <c r="B520" s="146"/>
      <c r="F520" s="13"/>
      <c r="K520" s="13"/>
      <c r="P520" s="13"/>
      <c r="Q520" s="13"/>
      <c r="R520" s="13"/>
      <c r="U520" s="13"/>
      <c r="W520" s="13"/>
      <c r="X520" s="13"/>
      <c r="Z520" s="13"/>
      <c r="AB520" s="13"/>
      <c r="AC520" s="13"/>
      <c r="AE520" s="13"/>
      <c r="AF520" s="13"/>
      <c r="AG520" s="13"/>
      <c r="AH520" s="13"/>
      <c r="AZ520" s="14"/>
      <c r="BA520" s="14"/>
      <c r="BB520" s="14"/>
    </row>
    <row r="521" ht="15.75" customHeight="1">
      <c r="B521" s="146"/>
      <c r="F521" s="13"/>
      <c r="K521" s="13"/>
      <c r="P521" s="13"/>
      <c r="Q521" s="13"/>
      <c r="R521" s="13"/>
      <c r="U521" s="13"/>
      <c r="W521" s="13"/>
      <c r="X521" s="13"/>
      <c r="Z521" s="13"/>
      <c r="AB521" s="13"/>
      <c r="AC521" s="13"/>
      <c r="AE521" s="13"/>
      <c r="AF521" s="13"/>
      <c r="AG521" s="13"/>
      <c r="AH521" s="13"/>
      <c r="AZ521" s="14"/>
      <c r="BA521" s="14"/>
      <c r="BB521" s="14"/>
    </row>
    <row r="522" ht="15.75" customHeight="1">
      <c r="B522" s="146"/>
      <c r="F522" s="13"/>
      <c r="K522" s="13"/>
      <c r="P522" s="13"/>
      <c r="Q522" s="13"/>
      <c r="R522" s="13"/>
      <c r="U522" s="13"/>
      <c r="W522" s="13"/>
      <c r="X522" s="13"/>
      <c r="Z522" s="13"/>
      <c r="AB522" s="13"/>
      <c r="AC522" s="13"/>
      <c r="AE522" s="13"/>
      <c r="AF522" s="13"/>
      <c r="AG522" s="13"/>
      <c r="AH522" s="13"/>
      <c r="AZ522" s="14"/>
      <c r="BA522" s="14"/>
      <c r="BB522" s="14"/>
    </row>
    <row r="523" ht="15.75" customHeight="1">
      <c r="B523" s="146"/>
      <c r="F523" s="13"/>
      <c r="K523" s="13"/>
      <c r="P523" s="13"/>
      <c r="Q523" s="13"/>
      <c r="R523" s="13"/>
      <c r="U523" s="13"/>
      <c r="W523" s="13"/>
      <c r="X523" s="13"/>
      <c r="Z523" s="13"/>
      <c r="AB523" s="13"/>
      <c r="AC523" s="13"/>
      <c r="AE523" s="13"/>
      <c r="AF523" s="13"/>
      <c r="AG523" s="13"/>
      <c r="AH523" s="13"/>
      <c r="AZ523" s="14"/>
      <c r="BA523" s="14"/>
      <c r="BB523" s="14"/>
    </row>
    <row r="524" ht="15.75" customHeight="1">
      <c r="B524" s="146"/>
      <c r="F524" s="13"/>
      <c r="K524" s="13"/>
      <c r="P524" s="13"/>
      <c r="Q524" s="13"/>
      <c r="R524" s="13"/>
      <c r="U524" s="13"/>
      <c r="W524" s="13"/>
      <c r="X524" s="13"/>
      <c r="Z524" s="13"/>
      <c r="AB524" s="13"/>
      <c r="AC524" s="13"/>
      <c r="AE524" s="13"/>
      <c r="AF524" s="13"/>
      <c r="AG524" s="13"/>
      <c r="AH524" s="13"/>
      <c r="AZ524" s="14"/>
      <c r="BA524" s="14"/>
      <c r="BB524" s="14"/>
    </row>
    <row r="525" ht="15.75" customHeight="1">
      <c r="B525" s="146"/>
      <c r="F525" s="13"/>
      <c r="K525" s="13"/>
      <c r="P525" s="13"/>
      <c r="Q525" s="13"/>
      <c r="R525" s="13"/>
      <c r="U525" s="13"/>
      <c r="W525" s="13"/>
      <c r="X525" s="13"/>
      <c r="Z525" s="13"/>
      <c r="AB525" s="13"/>
      <c r="AC525" s="13"/>
      <c r="AE525" s="13"/>
      <c r="AF525" s="13"/>
      <c r="AG525" s="13"/>
      <c r="AH525" s="13"/>
      <c r="AZ525" s="14"/>
      <c r="BA525" s="14"/>
      <c r="BB525" s="14"/>
    </row>
    <row r="526" ht="15.75" customHeight="1">
      <c r="B526" s="146"/>
      <c r="F526" s="13"/>
      <c r="K526" s="13"/>
      <c r="P526" s="13"/>
      <c r="Q526" s="13"/>
      <c r="R526" s="13"/>
      <c r="U526" s="13"/>
      <c r="W526" s="13"/>
      <c r="X526" s="13"/>
      <c r="Z526" s="13"/>
      <c r="AB526" s="13"/>
      <c r="AC526" s="13"/>
      <c r="AE526" s="13"/>
      <c r="AF526" s="13"/>
      <c r="AG526" s="13"/>
      <c r="AH526" s="13"/>
      <c r="AZ526" s="14"/>
      <c r="BA526" s="14"/>
      <c r="BB526" s="14"/>
    </row>
    <row r="527" ht="15.75" customHeight="1">
      <c r="B527" s="146"/>
      <c r="F527" s="13"/>
      <c r="K527" s="13"/>
      <c r="P527" s="13"/>
      <c r="Q527" s="13"/>
      <c r="R527" s="13"/>
      <c r="U527" s="13"/>
      <c r="W527" s="13"/>
      <c r="X527" s="13"/>
      <c r="Z527" s="13"/>
      <c r="AB527" s="13"/>
      <c r="AC527" s="13"/>
      <c r="AE527" s="13"/>
      <c r="AF527" s="13"/>
      <c r="AG527" s="13"/>
      <c r="AH527" s="13"/>
      <c r="AZ527" s="14"/>
      <c r="BA527" s="14"/>
      <c r="BB527" s="14"/>
    </row>
    <row r="528" ht="15.75" customHeight="1">
      <c r="B528" s="146"/>
      <c r="F528" s="13"/>
      <c r="K528" s="13"/>
      <c r="P528" s="13"/>
      <c r="Q528" s="13"/>
      <c r="R528" s="13"/>
      <c r="U528" s="13"/>
      <c r="W528" s="13"/>
      <c r="X528" s="13"/>
      <c r="Z528" s="13"/>
      <c r="AB528" s="13"/>
      <c r="AC528" s="13"/>
      <c r="AE528" s="13"/>
      <c r="AF528" s="13"/>
      <c r="AG528" s="13"/>
      <c r="AH528" s="13"/>
      <c r="AZ528" s="14"/>
      <c r="BA528" s="14"/>
      <c r="BB528" s="14"/>
    </row>
    <row r="529" ht="15.75" customHeight="1">
      <c r="B529" s="146"/>
      <c r="F529" s="13"/>
      <c r="K529" s="13"/>
      <c r="P529" s="13"/>
      <c r="Q529" s="13"/>
      <c r="R529" s="13"/>
      <c r="U529" s="13"/>
      <c r="W529" s="13"/>
      <c r="X529" s="13"/>
      <c r="Z529" s="13"/>
      <c r="AB529" s="13"/>
      <c r="AC529" s="13"/>
      <c r="AE529" s="13"/>
      <c r="AF529" s="13"/>
      <c r="AG529" s="13"/>
      <c r="AH529" s="13"/>
      <c r="AZ529" s="14"/>
      <c r="BA529" s="14"/>
      <c r="BB529" s="14"/>
    </row>
    <row r="530" ht="15.75" customHeight="1">
      <c r="B530" s="146"/>
      <c r="F530" s="13"/>
      <c r="K530" s="13"/>
      <c r="P530" s="13"/>
      <c r="Q530" s="13"/>
      <c r="R530" s="13"/>
      <c r="U530" s="13"/>
      <c r="W530" s="13"/>
      <c r="X530" s="13"/>
      <c r="Z530" s="13"/>
      <c r="AB530" s="13"/>
      <c r="AC530" s="13"/>
      <c r="AE530" s="13"/>
      <c r="AF530" s="13"/>
      <c r="AG530" s="13"/>
      <c r="AH530" s="13"/>
      <c r="AZ530" s="14"/>
      <c r="BA530" s="14"/>
      <c r="BB530" s="14"/>
    </row>
    <row r="531" ht="15.75" customHeight="1">
      <c r="B531" s="146"/>
      <c r="F531" s="13"/>
      <c r="K531" s="13"/>
      <c r="P531" s="13"/>
      <c r="Q531" s="13"/>
      <c r="R531" s="13"/>
      <c r="U531" s="13"/>
      <c r="W531" s="13"/>
      <c r="X531" s="13"/>
      <c r="Z531" s="13"/>
      <c r="AB531" s="13"/>
      <c r="AC531" s="13"/>
      <c r="AE531" s="13"/>
      <c r="AF531" s="13"/>
      <c r="AG531" s="13"/>
      <c r="AH531" s="13"/>
      <c r="AZ531" s="14"/>
      <c r="BA531" s="14"/>
      <c r="BB531" s="14"/>
    </row>
    <row r="532" ht="15.75" customHeight="1">
      <c r="B532" s="146"/>
      <c r="F532" s="13"/>
      <c r="K532" s="13"/>
      <c r="P532" s="13"/>
      <c r="Q532" s="13"/>
      <c r="R532" s="13"/>
      <c r="U532" s="13"/>
      <c r="W532" s="13"/>
      <c r="X532" s="13"/>
      <c r="Z532" s="13"/>
      <c r="AB532" s="13"/>
      <c r="AC532" s="13"/>
      <c r="AE532" s="13"/>
      <c r="AF532" s="13"/>
      <c r="AG532" s="13"/>
      <c r="AH532" s="13"/>
      <c r="AZ532" s="14"/>
      <c r="BA532" s="14"/>
      <c r="BB532" s="14"/>
    </row>
    <row r="533" ht="15.75" customHeight="1">
      <c r="B533" s="146"/>
      <c r="F533" s="13"/>
      <c r="K533" s="13"/>
      <c r="P533" s="13"/>
      <c r="Q533" s="13"/>
      <c r="R533" s="13"/>
      <c r="U533" s="13"/>
      <c r="W533" s="13"/>
      <c r="X533" s="13"/>
      <c r="Z533" s="13"/>
      <c r="AB533" s="13"/>
      <c r="AC533" s="13"/>
      <c r="AE533" s="13"/>
      <c r="AF533" s="13"/>
      <c r="AG533" s="13"/>
      <c r="AH533" s="13"/>
      <c r="AZ533" s="14"/>
      <c r="BA533" s="14"/>
      <c r="BB533" s="14"/>
    </row>
    <row r="534" ht="15.75" customHeight="1">
      <c r="B534" s="146"/>
      <c r="F534" s="13"/>
      <c r="K534" s="13"/>
      <c r="P534" s="13"/>
      <c r="Q534" s="13"/>
      <c r="R534" s="13"/>
      <c r="U534" s="13"/>
      <c r="W534" s="13"/>
      <c r="X534" s="13"/>
      <c r="Z534" s="13"/>
      <c r="AB534" s="13"/>
      <c r="AC534" s="13"/>
      <c r="AE534" s="13"/>
      <c r="AF534" s="13"/>
      <c r="AG534" s="13"/>
      <c r="AH534" s="13"/>
      <c r="AZ534" s="14"/>
      <c r="BA534" s="14"/>
      <c r="BB534" s="14"/>
    </row>
    <row r="535" ht="15.75" customHeight="1">
      <c r="B535" s="146"/>
      <c r="F535" s="13"/>
      <c r="K535" s="13"/>
      <c r="P535" s="13"/>
      <c r="Q535" s="13"/>
      <c r="R535" s="13"/>
      <c r="U535" s="13"/>
      <c r="W535" s="13"/>
      <c r="X535" s="13"/>
      <c r="Z535" s="13"/>
      <c r="AB535" s="13"/>
      <c r="AC535" s="13"/>
      <c r="AE535" s="13"/>
      <c r="AF535" s="13"/>
      <c r="AG535" s="13"/>
      <c r="AH535" s="13"/>
      <c r="AZ535" s="14"/>
      <c r="BA535" s="14"/>
      <c r="BB535" s="14"/>
    </row>
    <row r="536" ht="15.75" customHeight="1">
      <c r="B536" s="146"/>
      <c r="F536" s="13"/>
      <c r="K536" s="13"/>
      <c r="P536" s="13"/>
      <c r="Q536" s="13"/>
      <c r="R536" s="13"/>
      <c r="U536" s="13"/>
      <c r="W536" s="13"/>
      <c r="X536" s="13"/>
      <c r="Z536" s="13"/>
      <c r="AB536" s="13"/>
      <c r="AC536" s="13"/>
      <c r="AE536" s="13"/>
      <c r="AF536" s="13"/>
      <c r="AG536" s="13"/>
      <c r="AH536" s="13"/>
      <c r="AZ536" s="14"/>
      <c r="BA536" s="14"/>
      <c r="BB536" s="14"/>
    </row>
    <row r="537" ht="15.75" customHeight="1">
      <c r="B537" s="146"/>
      <c r="F537" s="13"/>
      <c r="K537" s="13"/>
      <c r="P537" s="13"/>
      <c r="Q537" s="13"/>
      <c r="R537" s="13"/>
      <c r="U537" s="13"/>
      <c r="W537" s="13"/>
      <c r="X537" s="13"/>
      <c r="Z537" s="13"/>
      <c r="AB537" s="13"/>
      <c r="AC537" s="13"/>
      <c r="AE537" s="13"/>
      <c r="AF537" s="13"/>
      <c r="AG537" s="13"/>
      <c r="AH537" s="13"/>
      <c r="AZ537" s="14"/>
      <c r="BA537" s="14"/>
      <c r="BB537" s="14"/>
    </row>
    <row r="538" ht="15.75" customHeight="1">
      <c r="B538" s="146"/>
      <c r="F538" s="13"/>
      <c r="K538" s="13"/>
      <c r="P538" s="13"/>
      <c r="Q538" s="13"/>
      <c r="R538" s="13"/>
      <c r="U538" s="13"/>
      <c r="W538" s="13"/>
      <c r="X538" s="13"/>
      <c r="Z538" s="13"/>
      <c r="AB538" s="13"/>
      <c r="AC538" s="13"/>
      <c r="AE538" s="13"/>
      <c r="AF538" s="13"/>
      <c r="AG538" s="13"/>
      <c r="AH538" s="13"/>
      <c r="AZ538" s="14"/>
      <c r="BA538" s="14"/>
      <c r="BB538" s="14"/>
    </row>
    <row r="539" ht="15.75" customHeight="1">
      <c r="B539" s="146"/>
      <c r="F539" s="13"/>
      <c r="K539" s="13"/>
      <c r="P539" s="13"/>
      <c r="Q539" s="13"/>
      <c r="R539" s="13"/>
      <c r="U539" s="13"/>
      <c r="W539" s="13"/>
      <c r="X539" s="13"/>
      <c r="Z539" s="13"/>
      <c r="AB539" s="13"/>
      <c r="AC539" s="13"/>
      <c r="AE539" s="13"/>
      <c r="AF539" s="13"/>
      <c r="AG539" s="13"/>
      <c r="AH539" s="13"/>
      <c r="AZ539" s="14"/>
      <c r="BA539" s="14"/>
      <c r="BB539" s="14"/>
    </row>
    <row r="540" ht="15.75" customHeight="1">
      <c r="B540" s="146"/>
      <c r="F540" s="13"/>
      <c r="K540" s="13"/>
      <c r="P540" s="13"/>
      <c r="Q540" s="13"/>
      <c r="R540" s="13"/>
      <c r="U540" s="13"/>
      <c r="W540" s="13"/>
      <c r="X540" s="13"/>
      <c r="Z540" s="13"/>
      <c r="AB540" s="13"/>
      <c r="AC540" s="13"/>
      <c r="AE540" s="13"/>
      <c r="AF540" s="13"/>
      <c r="AG540" s="13"/>
      <c r="AH540" s="13"/>
      <c r="AZ540" s="14"/>
      <c r="BA540" s="14"/>
      <c r="BB540" s="14"/>
    </row>
    <row r="541" ht="15.75" customHeight="1">
      <c r="B541" s="146"/>
      <c r="F541" s="13"/>
      <c r="K541" s="13"/>
      <c r="P541" s="13"/>
      <c r="Q541" s="13"/>
      <c r="R541" s="13"/>
      <c r="U541" s="13"/>
      <c r="W541" s="13"/>
      <c r="X541" s="13"/>
      <c r="Z541" s="13"/>
      <c r="AB541" s="13"/>
      <c r="AC541" s="13"/>
      <c r="AE541" s="13"/>
      <c r="AF541" s="13"/>
      <c r="AG541" s="13"/>
      <c r="AH541" s="13"/>
      <c r="AZ541" s="14"/>
      <c r="BA541" s="14"/>
      <c r="BB541" s="14"/>
    </row>
    <row r="542" ht="15.75" customHeight="1">
      <c r="B542" s="146"/>
      <c r="F542" s="13"/>
      <c r="K542" s="13"/>
      <c r="P542" s="13"/>
      <c r="Q542" s="13"/>
      <c r="R542" s="13"/>
      <c r="U542" s="13"/>
      <c r="W542" s="13"/>
      <c r="X542" s="13"/>
      <c r="Z542" s="13"/>
      <c r="AB542" s="13"/>
      <c r="AC542" s="13"/>
      <c r="AE542" s="13"/>
      <c r="AF542" s="13"/>
      <c r="AG542" s="13"/>
      <c r="AH542" s="13"/>
      <c r="AZ542" s="14"/>
      <c r="BA542" s="14"/>
      <c r="BB542" s="14"/>
    </row>
    <row r="543" ht="15.75" customHeight="1">
      <c r="B543" s="146"/>
      <c r="F543" s="13"/>
      <c r="K543" s="13"/>
      <c r="P543" s="13"/>
      <c r="Q543" s="13"/>
      <c r="R543" s="13"/>
      <c r="U543" s="13"/>
      <c r="W543" s="13"/>
      <c r="X543" s="13"/>
      <c r="Z543" s="13"/>
      <c r="AB543" s="13"/>
      <c r="AC543" s="13"/>
      <c r="AE543" s="13"/>
      <c r="AF543" s="13"/>
      <c r="AG543" s="13"/>
      <c r="AH543" s="13"/>
      <c r="AZ543" s="14"/>
      <c r="BA543" s="14"/>
      <c r="BB543" s="14"/>
    </row>
    <row r="544" ht="15.75" customHeight="1">
      <c r="B544" s="146"/>
      <c r="F544" s="13"/>
      <c r="K544" s="13"/>
      <c r="P544" s="13"/>
      <c r="Q544" s="13"/>
      <c r="R544" s="13"/>
      <c r="U544" s="13"/>
      <c r="W544" s="13"/>
      <c r="X544" s="13"/>
      <c r="Z544" s="13"/>
      <c r="AB544" s="13"/>
      <c r="AC544" s="13"/>
      <c r="AE544" s="13"/>
      <c r="AF544" s="13"/>
      <c r="AG544" s="13"/>
      <c r="AH544" s="13"/>
      <c r="AZ544" s="14"/>
      <c r="BA544" s="14"/>
      <c r="BB544" s="14"/>
    </row>
    <row r="545" ht="15.75" customHeight="1">
      <c r="B545" s="146"/>
      <c r="F545" s="13"/>
      <c r="K545" s="13"/>
      <c r="P545" s="13"/>
      <c r="Q545" s="13"/>
      <c r="R545" s="13"/>
      <c r="U545" s="13"/>
      <c r="W545" s="13"/>
      <c r="X545" s="13"/>
      <c r="Z545" s="13"/>
      <c r="AB545" s="13"/>
      <c r="AC545" s="13"/>
      <c r="AE545" s="13"/>
      <c r="AF545" s="13"/>
      <c r="AG545" s="13"/>
      <c r="AH545" s="13"/>
      <c r="AZ545" s="14"/>
      <c r="BA545" s="14"/>
      <c r="BB545" s="14"/>
    </row>
    <row r="546" ht="15.75" customHeight="1">
      <c r="B546" s="146"/>
      <c r="F546" s="13"/>
      <c r="K546" s="13"/>
      <c r="P546" s="13"/>
      <c r="Q546" s="13"/>
      <c r="R546" s="13"/>
      <c r="U546" s="13"/>
      <c r="W546" s="13"/>
      <c r="X546" s="13"/>
      <c r="Z546" s="13"/>
      <c r="AB546" s="13"/>
      <c r="AC546" s="13"/>
      <c r="AE546" s="13"/>
      <c r="AF546" s="13"/>
      <c r="AG546" s="13"/>
      <c r="AH546" s="13"/>
      <c r="AZ546" s="14"/>
      <c r="BA546" s="14"/>
      <c r="BB546" s="14"/>
    </row>
    <row r="547" ht="15.75" customHeight="1">
      <c r="B547" s="146"/>
      <c r="F547" s="13"/>
      <c r="K547" s="13"/>
      <c r="P547" s="13"/>
      <c r="Q547" s="13"/>
      <c r="R547" s="13"/>
      <c r="U547" s="13"/>
      <c r="W547" s="13"/>
      <c r="X547" s="13"/>
      <c r="Z547" s="13"/>
      <c r="AB547" s="13"/>
      <c r="AC547" s="13"/>
      <c r="AE547" s="13"/>
      <c r="AF547" s="13"/>
      <c r="AG547" s="13"/>
      <c r="AH547" s="13"/>
      <c r="AZ547" s="14"/>
      <c r="BA547" s="14"/>
      <c r="BB547" s="14"/>
    </row>
    <row r="548" ht="15.75" customHeight="1">
      <c r="B548" s="146"/>
      <c r="F548" s="13"/>
      <c r="K548" s="13"/>
      <c r="P548" s="13"/>
      <c r="Q548" s="13"/>
      <c r="R548" s="13"/>
      <c r="U548" s="13"/>
      <c r="W548" s="13"/>
      <c r="X548" s="13"/>
      <c r="Z548" s="13"/>
      <c r="AB548" s="13"/>
      <c r="AC548" s="13"/>
      <c r="AE548" s="13"/>
      <c r="AF548" s="13"/>
      <c r="AG548" s="13"/>
      <c r="AH548" s="13"/>
      <c r="AZ548" s="14"/>
      <c r="BA548" s="14"/>
      <c r="BB548" s="14"/>
    </row>
    <row r="549" ht="15.75" customHeight="1">
      <c r="B549" s="146"/>
      <c r="F549" s="13"/>
      <c r="K549" s="13"/>
      <c r="P549" s="13"/>
      <c r="Q549" s="13"/>
      <c r="R549" s="13"/>
      <c r="U549" s="13"/>
      <c r="W549" s="13"/>
      <c r="X549" s="13"/>
      <c r="Z549" s="13"/>
      <c r="AB549" s="13"/>
      <c r="AC549" s="13"/>
      <c r="AE549" s="13"/>
      <c r="AF549" s="13"/>
      <c r="AG549" s="13"/>
      <c r="AH549" s="13"/>
      <c r="AZ549" s="14"/>
      <c r="BA549" s="14"/>
      <c r="BB549" s="14"/>
    </row>
    <row r="550" ht="15.75" customHeight="1">
      <c r="B550" s="146"/>
      <c r="F550" s="13"/>
      <c r="K550" s="13"/>
      <c r="P550" s="13"/>
      <c r="Q550" s="13"/>
      <c r="R550" s="13"/>
      <c r="U550" s="13"/>
      <c r="W550" s="13"/>
      <c r="X550" s="13"/>
      <c r="Z550" s="13"/>
      <c r="AB550" s="13"/>
      <c r="AC550" s="13"/>
      <c r="AE550" s="13"/>
      <c r="AF550" s="13"/>
      <c r="AG550" s="13"/>
      <c r="AH550" s="13"/>
      <c r="AZ550" s="14"/>
      <c r="BA550" s="14"/>
      <c r="BB550" s="14"/>
    </row>
    <row r="551" ht="15.75" customHeight="1">
      <c r="B551" s="146"/>
      <c r="F551" s="13"/>
      <c r="K551" s="13"/>
      <c r="P551" s="13"/>
      <c r="Q551" s="13"/>
      <c r="R551" s="13"/>
      <c r="U551" s="13"/>
      <c r="W551" s="13"/>
      <c r="X551" s="13"/>
      <c r="Z551" s="13"/>
      <c r="AB551" s="13"/>
      <c r="AC551" s="13"/>
      <c r="AE551" s="13"/>
      <c r="AF551" s="13"/>
      <c r="AG551" s="13"/>
      <c r="AH551" s="13"/>
      <c r="AZ551" s="14"/>
      <c r="BA551" s="14"/>
      <c r="BB551" s="14"/>
    </row>
    <row r="552" ht="15.75" customHeight="1">
      <c r="B552" s="146"/>
      <c r="F552" s="13"/>
      <c r="K552" s="13"/>
      <c r="P552" s="13"/>
      <c r="Q552" s="13"/>
      <c r="R552" s="13"/>
      <c r="U552" s="13"/>
      <c r="W552" s="13"/>
      <c r="X552" s="13"/>
      <c r="Z552" s="13"/>
      <c r="AB552" s="13"/>
      <c r="AC552" s="13"/>
      <c r="AE552" s="13"/>
      <c r="AF552" s="13"/>
      <c r="AG552" s="13"/>
      <c r="AH552" s="13"/>
      <c r="AZ552" s="14"/>
      <c r="BA552" s="14"/>
      <c r="BB552" s="14"/>
    </row>
    <row r="553" ht="15.75" customHeight="1">
      <c r="B553" s="146"/>
      <c r="F553" s="13"/>
      <c r="K553" s="13"/>
      <c r="P553" s="13"/>
      <c r="Q553" s="13"/>
      <c r="R553" s="13"/>
      <c r="U553" s="13"/>
      <c r="W553" s="13"/>
      <c r="X553" s="13"/>
      <c r="Z553" s="13"/>
      <c r="AB553" s="13"/>
      <c r="AC553" s="13"/>
      <c r="AE553" s="13"/>
      <c r="AF553" s="13"/>
      <c r="AG553" s="13"/>
      <c r="AH553" s="13"/>
      <c r="AZ553" s="14"/>
      <c r="BA553" s="14"/>
      <c r="BB553" s="14"/>
    </row>
    <row r="554" ht="15.75" customHeight="1">
      <c r="B554" s="146"/>
      <c r="F554" s="13"/>
      <c r="K554" s="13"/>
      <c r="P554" s="13"/>
      <c r="Q554" s="13"/>
      <c r="R554" s="13"/>
      <c r="U554" s="13"/>
      <c r="W554" s="13"/>
      <c r="X554" s="13"/>
      <c r="Z554" s="13"/>
      <c r="AB554" s="13"/>
      <c r="AC554" s="13"/>
      <c r="AE554" s="13"/>
      <c r="AF554" s="13"/>
      <c r="AG554" s="13"/>
      <c r="AH554" s="13"/>
      <c r="AZ554" s="14"/>
      <c r="BA554" s="14"/>
      <c r="BB554" s="14"/>
    </row>
    <row r="555" ht="15.75" customHeight="1">
      <c r="B555" s="146"/>
      <c r="F555" s="13"/>
      <c r="K555" s="13"/>
      <c r="P555" s="13"/>
      <c r="Q555" s="13"/>
      <c r="R555" s="13"/>
      <c r="U555" s="13"/>
      <c r="W555" s="13"/>
      <c r="X555" s="13"/>
      <c r="Z555" s="13"/>
      <c r="AB555" s="13"/>
      <c r="AC555" s="13"/>
      <c r="AE555" s="13"/>
      <c r="AF555" s="13"/>
      <c r="AG555" s="13"/>
      <c r="AH555" s="13"/>
      <c r="AZ555" s="14"/>
      <c r="BA555" s="14"/>
      <c r="BB555" s="14"/>
    </row>
    <row r="556" ht="15.75" customHeight="1">
      <c r="B556" s="146"/>
      <c r="F556" s="13"/>
      <c r="K556" s="13"/>
      <c r="P556" s="13"/>
      <c r="Q556" s="13"/>
      <c r="R556" s="13"/>
      <c r="U556" s="13"/>
      <c r="W556" s="13"/>
      <c r="X556" s="13"/>
      <c r="Z556" s="13"/>
      <c r="AB556" s="13"/>
      <c r="AC556" s="13"/>
      <c r="AE556" s="13"/>
      <c r="AF556" s="13"/>
      <c r="AG556" s="13"/>
      <c r="AH556" s="13"/>
      <c r="AZ556" s="14"/>
      <c r="BA556" s="14"/>
      <c r="BB556" s="14"/>
    </row>
    <row r="557" ht="15.75" customHeight="1">
      <c r="B557" s="146"/>
      <c r="F557" s="13"/>
      <c r="K557" s="13"/>
      <c r="P557" s="13"/>
      <c r="Q557" s="13"/>
      <c r="R557" s="13"/>
      <c r="U557" s="13"/>
      <c r="W557" s="13"/>
      <c r="X557" s="13"/>
      <c r="Z557" s="13"/>
      <c r="AB557" s="13"/>
      <c r="AC557" s="13"/>
      <c r="AE557" s="13"/>
      <c r="AF557" s="13"/>
      <c r="AG557" s="13"/>
      <c r="AH557" s="13"/>
      <c r="AZ557" s="14"/>
      <c r="BA557" s="14"/>
      <c r="BB557" s="14"/>
    </row>
    <row r="558" ht="15.75" customHeight="1">
      <c r="B558" s="146"/>
      <c r="F558" s="13"/>
      <c r="K558" s="13"/>
      <c r="P558" s="13"/>
      <c r="Q558" s="13"/>
      <c r="R558" s="13"/>
      <c r="U558" s="13"/>
      <c r="W558" s="13"/>
      <c r="X558" s="13"/>
      <c r="Z558" s="13"/>
      <c r="AB558" s="13"/>
      <c r="AC558" s="13"/>
      <c r="AE558" s="13"/>
      <c r="AF558" s="13"/>
      <c r="AG558" s="13"/>
      <c r="AH558" s="13"/>
      <c r="AZ558" s="14"/>
      <c r="BA558" s="14"/>
      <c r="BB558" s="14"/>
    </row>
    <row r="559" ht="15.75" customHeight="1">
      <c r="B559" s="146"/>
      <c r="F559" s="13"/>
      <c r="K559" s="13"/>
      <c r="P559" s="13"/>
      <c r="Q559" s="13"/>
      <c r="R559" s="13"/>
      <c r="U559" s="13"/>
      <c r="W559" s="13"/>
      <c r="X559" s="13"/>
      <c r="Z559" s="13"/>
      <c r="AB559" s="13"/>
      <c r="AC559" s="13"/>
      <c r="AE559" s="13"/>
      <c r="AF559" s="13"/>
      <c r="AG559" s="13"/>
      <c r="AH559" s="13"/>
      <c r="AZ559" s="14"/>
      <c r="BA559" s="14"/>
      <c r="BB559" s="14"/>
    </row>
    <row r="560" ht="15.75" customHeight="1">
      <c r="B560" s="146"/>
      <c r="F560" s="13"/>
      <c r="K560" s="13"/>
      <c r="P560" s="13"/>
      <c r="Q560" s="13"/>
      <c r="R560" s="13"/>
      <c r="U560" s="13"/>
      <c r="W560" s="13"/>
      <c r="X560" s="13"/>
      <c r="Z560" s="13"/>
      <c r="AB560" s="13"/>
      <c r="AC560" s="13"/>
      <c r="AE560" s="13"/>
      <c r="AF560" s="13"/>
      <c r="AG560" s="13"/>
      <c r="AH560" s="13"/>
      <c r="AZ560" s="14"/>
      <c r="BA560" s="14"/>
      <c r="BB560" s="14"/>
    </row>
    <row r="561" ht="15.75" customHeight="1">
      <c r="B561" s="146"/>
      <c r="F561" s="13"/>
      <c r="K561" s="13"/>
      <c r="P561" s="13"/>
      <c r="Q561" s="13"/>
      <c r="R561" s="13"/>
      <c r="U561" s="13"/>
      <c r="W561" s="13"/>
      <c r="X561" s="13"/>
      <c r="Z561" s="13"/>
      <c r="AB561" s="13"/>
      <c r="AC561" s="13"/>
      <c r="AE561" s="13"/>
      <c r="AF561" s="13"/>
      <c r="AG561" s="13"/>
      <c r="AH561" s="13"/>
      <c r="AZ561" s="14"/>
      <c r="BA561" s="14"/>
      <c r="BB561" s="14"/>
    </row>
    <row r="562" ht="15.75" customHeight="1">
      <c r="B562" s="146"/>
      <c r="F562" s="13"/>
      <c r="K562" s="13"/>
      <c r="P562" s="13"/>
      <c r="Q562" s="13"/>
      <c r="R562" s="13"/>
      <c r="U562" s="13"/>
      <c r="W562" s="13"/>
      <c r="X562" s="13"/>
      <c r="Z562" s="13"/>
      <c r="AB562" s="13"/>
      <c r="AC562" s="13"/>
      <c r="AE562" s="13"/>
      <c r="AF562" s="13"/>
      <c r="AG562" s="13"/>
      <c r="AH562" s="13"/>
      <c r="AZ562" s="14"/>
      <c r="BA562" s="14"/>
      <c r="BB562" s="14"/>
    </row>
    <row r="563" ht="15.75" customHeight="1">
      <c r="B563" s="146"/>
      <c r="F563" s="13"/>
      <c r="K563" s="13"/>
      <c r="P563" s="13"/>
      <c r="Q563" s="13"/>
      <c r="R563" s="13"/>
      <c r="U563" s="13"/>
      <c r="W563" s="13"/>
      <c r="X563" s="13"/>
      <c r="Z563" s="13"/>
      <c r="AB563" s="13"/>
      <c r="AC563" s="13"/>
      <c r="AE563" s="13"/>
      <c r="AF563" s="13"/>
      <c r="AG563" s="13"/>
      <c r="AH563" s="13"/>
      <c r="AZ563" s="14"/>
      <c r="BA563" s="14"/>
      <c r="BB563" s="14"/>
    </row>
    <row r="564" ht="15.75" customHeight="1">
      <c r="B564" s="146"/>
      <c r="F564" s="13"/>
      <c r="K564" s="13"/>
      <c r="P564" s="13"/>
      <c r="Q564" s="13"/>
      <c r="R564" s="13"/>
      <c r="U564" s="13"/>
      <c r="W564" s="13"/>
      <c r="X564" s="13"/>
      <c r="Z564" s="13"/>
      <c r="AB564" s="13"/>
      <c r="AC564" s="13"/>
      <c r="AE564" s="13"/>
      <c r="AF564" s="13"/>
      <c r="AG564" s="13"/>
      <c r="AH564" s="13"/>
      <c r="AZ564" s="14"/>
      <c r="BA564" s="14"/>
      <c r="BB564" s="14"/>
    </row>
    <row r="565" ht="15.75" customHeight="1">
      <c r="B565" s="146"/>
      <c r="F565" s="13"/>
      <c r="K565" s="13"/>
      <c r="P565" s="13"/>
      <c r="Q565" s="13"/>
      <c r="R565" s="13"/>
      <c r="U565" s="13"/>
      <c r="W565" s="13"/>
      <c r="X565" s="13"/>
      <c r="Z565" s="13"/>
      <c r="AB565" s="13"/>
      <c r="AC565" s="13"/>
      <c r="AE565" s="13"/>
      <c r="AF565" s="13"/>
      <c r="AG565" s="13"/>
      <c r="AH565" s="13"/>
      <c r="AZ565" s="14"/>
      <c r="BA565" s="14"/>
      <c r="BB565" s="14"/>
    </row>
    <row r="566" ht="15.75" customHeight="1">
      <c r="B566" s="146"/>
      <c r="F566" s="13"/>
      <c r="K566" s="13"/>
      <c r="P566" s="13"/>
      <c r="Q566" s="13"/>
      <c r="R566" s="13"/>
      <c r="U566" s="13"/>
      <c r="W566" s="13"/>
      <c r="X566" s="13"/>
      <c r="Z566" s="13"/>
      <c r="AB566" s="13"/>
      <c r="AC566" s="13"/>
      <c r="AE566" s="13"/>
      <c r="AF566" s="13"/>
      <c r="AG566" s="13"/>
      <c r="AH566" s="13"/>
      <c r="AZ566" s="14"/>
      <c r="BA566" s="14"/>
      <c r="BB566" s="14"/>
    </row>
    <row r="567" ht="15.75" customHeight="1">
      <c r="B567" s="146"/>
      <c r="F567" s="13"/>
      <c r="K567" s="13"/>
      <c r="P567" s="13"/>
      <c r="Q567" s="13"/>
      <c r="R567" s="13"/>
      <c r="U567" s="13"/>
      <c r="W567" s="13"/>
      <c r="X567" s="13"/>
      <c r="Z567" s="13"/>
      <c r="AB567" s="13"/>
      <c r="AC567" s="13"/>
      <c r="AE567" s="13"/>
      <c r="AF567" s="13"/>
      <c r="AG567" s="13"/>
      <c r="AH567" s="13"/>
      <c r="AZ567" s="14"/>
      <c r="BA567" s="14"/>
      <c r="BB567" s="14"/>
    </row>
    <row r="568" ht="15.75" customHeight="1">
      <c r="B568" s="146"/>
      <c r="F568" s="13"/>
      <c r="K568" s="13"/>
      <c r="P568" s="13"/>
      <c r="Q568" s="13"/>
      <c r="R568" s="13"/>
      <c r="U568" s="13"/>
      <c r="W568" s="13"/>
      <c r="X568" s="13"/>
      <c r="Z568" s="13"/>
      <c r="AB568" s="13"/>
      <c r="AC568" s="13"/>
      <c r="AE568" s="13"/>
      <c r="AF568" s="13"/>
      <c r="AG568" s="13"/>
      <c r="AH568" s="13"/>
      <c r="AZ568" s="14"/>
      <c r="BA568" s="14"/>
      <c r="BB568" s="14"/>
    </row>
    <row r="569" ht="15.75" customHeight="1">
      <c r="B569" s="146"/>
      <c r="F569" s="13"/>
      <c r="K569" s="13"/>
      <c r="P569" s="13"/>
      <c r="Q569" s="13"/>
      <c r="R569" s="13"/>
      <c r="U569" s="13"/>
      <c r="W569" s="13"/>
      <c r="X569" s="13"/>
      <c r="Z569" s="13"/>
      <c r="AB569" s="13"/>
      <c r="AC569" s="13"/>
      <c r="AE569" s="13"/>
      <c r="AF569" s="13"/>
      <c r="AG569" s="13"/>
      <c r="AH569" s="13"/>
      <c r="AZ569" s="14"/>
      <c r="BA569" s="14"/>
      <c r="BB569" s="14"/>
    </row>
    <row r="570" ht="15.75" customHeight="1">
      <c r="B570" s="146"/>
      <c r="F570" s="13"/>
      <c r="K570" s="13"/>
      <c r="P570" s="13"/>
      <c r="Q570" s="13"/>
      <c r="R570" s="13"/>
      <c r="U570" s="13"/>
      <c r="W570" s="13"/>
      <c r="X570" s="13"/>
      <c r="Z570" s="13"/>
      <c r="AB570" s="13"/>
      <c r="AC570" s="13"/>
      <c r="AE570" s="13"/>
      <c r="AF570" s="13"/>
      <c r="AG570" s="13"/>
      <c r="AH570" s="13"/>
      <c r="AZ570" s="14"/>
      <c r="BA570" s="14"/>
      <c r="BB570" s="14"/>
    </row>
    <row r="571" ht="15.75" customHeight="1">
      <c r="B571" s="146"/>
      <c r="F571" s="13"/>
      <c r="K571" s="13"/>
      <c r="P571" s="13"/>
      <c r="Q571" s="13"/>
      <c r="R571" s="13"/>
      <c r="U571" s="13"/>
      <c r="W571" s="13"/>
      <c r="X571" s="13"/>
      <c r="Z571" s="13"/>
      <c r="AB571" s="13"/>
      <c r="AC571" s="13"/>
      <c r="AE571" s="13"/>
      <c r="AF571" s="13"/>
      <c r="AG571" s="13"/>
      <c r="AH571" s="13"/>
      <c r="AZ571" s="14"/>
      <c r="BA571" s="14"/>
      <c r="BB571" s="14"/>
    </row>
    <row r="572" ht="15.75" customHeight="1">
      <c r="B572" s="146"/>
      <c r="F572" s="13"/>
      <c r="K572" s="13"/>
      <c r="P572" s="13"/>
      <c r="Q572" s="13"/>
      <c r="R572" s="13"/>
      <c r="U572" s="13"/>
      <c r="W572" s="13"/>
      <c r="X572" s="13"/>
      <c r="Z572" s="13"/>
      <c r="AB572" s="13"/>
      <c r="AC572" s="13"/>
      <c r="AE572" s="13"/>
      <c r="AF572" s="13"/>
      <c r="AG572" s="13"/>
      <c r="AH572" s="13"/>
      <c r="AZ572" s="14"/>
      <c r="BA572" s="14"/>
      <c r="BB572" s="14"/>
    </row>
    <row r="573" ht="15.75" customHeight="1">
      <c r="B573" s="146"/>
      <c r="F573" s="13"/>
      <c r="K573" s="13"/>
      <c r="P573" s="13"/>
      <c r="Q573" s="13"/>
      <c r="R573" s="13"/>
      <c r="U573" s="13"/>
      <c r="W573" s="13"/>
      <c r="X573" s="13"/>
      <c r="Z573" s="13"/>
      <c r="AB573" s="13"/>
      <c r="AC573" s="13"/>
      <c r="AE573" s="13"/>
      <c r="AF573" s="13"/>
      <c r="AG573" s="13"/>
      <c r="AH573" s="13"/>
      <c r="AZ573" s="14"/>
      <c r="BA573" s="14"/>
      <c r="BB573" s="14"/>
    </row>
    <row r="574" ht="15.75" customHeight="1">
      <c r="B574" s="146"/>
      <c r="F574" s="13"/>
      <c r="K574" s="13"/>
      <c r="P574" s="13"/>
      <c r="Q574" s="13"/>
      <c r="R574" s="13"/>
      <c r="U574" s="13"/>
      <c r="W574" s="13"/>
      <c r="X574" s="13"/>
      <c r="Z574" s="13"/>
      <c r="AB574" s="13"/>
      <c r="AC574" s="13"/>
      <c r="AE574" s="13"/>
      <c r="AF574" s="13"/>
      <c r="AG574" s="13"/>
      <c r="AH574" s="13"/>
      <c r="AZ574" s="14"/>
      <c r="BA574" s="14"/>
      <c r="BB574" s="14"/>
    </row>
    <row r="575" ht="15.75" customHeight="1">
      <c r="B575" s="146"/>
      <c r="F575" s="13"/>
      <c r="K575" s="13"/>
      <c r="P575" s="13"/>
      <c r="Q575" s="13"/>
      <c r="R575" s="13"/>
      <c r="U575" s="13"/>
      <c r="W575" s="13"/>
      <c r="X575" s="13"/>
      <c r="Z575" s="13"/>
      <c r="AB575" s="13"/>
      <c r="AC575" s="13"/>
      <c r="AE575" s="13"/>
      <c r="AF575" s="13"/>
      <c r="AG575" s="13"/>
      <c r="AH575" s="13"/>
      <c r="AZ575" s="14"/>
      <c r="BA575" s="14"/>
      <c r="BB575" s="14"/>
    </row>
    <row r="576" ht="15.75" customHeight="1">
      <c r="B576" s="146"/>
      <c r="F576" s="13"/>
      <c r="K576" s="13"/>
      <c r="P576" s="13"/>
      <c r="Q576" s="13"/>
      <c r="R576" s="13"/>
      <c r="U576" s="13"/>
      <c r="W576" s="13"/>
      <c r="X576" s="13"/>
      <c r="Z576" s="13"/>
      <c r="AB576" s="13"/>
      <c r="AC576" s="13"/>
      <c r="AE576" s="13"/>
      <c r="AF576" s="13"/>
      <c r="AG576" s="13"/>
      <c r="AH576" s="13"/>
      <c r="AZ576" s="14"/>
      <c r="BA576" s="14"/>
      <c r="BB576" s="14"/>
    </row>
    <row r="577" ht="15.75" customHeight="1">
      <c r="B577" s="146"/>
      <c r="F577" s="13"/>
      <c r="K577" s="13"/>
      <c r="P577" s="13"/>
      <c r="Q577" s="13"/>
      <c r="R577" s="13"/>
      <c r="U577" s="13"/>
      <c r="W577" s="13"/>
      <c r="X577" s="13"/>
      <c r="Z577" s="13"/>
      <c r="AB577" s="13"/>
      <c r="AC577" s="13"/>
      <c r="AE577" s="13"/>
      <c r="AF577" s="13"/>
      <c r="AG577" s="13"/>
      <c r="AH577" s="13"/>
      <c r="AZ577" s="14"/>
      <c r="BA577" s="14"/>
      <c r="BB577" s="14"/>
    </row>
    <row r="578" ht="15.75" customHeight="1">
      <c r="B578" s="146"/>
      <c r="F578" s="13"/>
      <c r="K578" s="13"/>
      <c r="P578" s="13"/>
      <c r="Q578" s="13"/>
      <c r="R578" s="13"/>
      <c r="U578" s="13"/>
      <c r="W578" s="13"/>
      <c r="X578" s="13"/>
      <c r="Z578" s="13"/>
      <c r="AB578" s="13"/>
      <c r="AC578" s="13"/>
      <c r="AE578" s="13"/>
      <c r="AF578" s="13"/>
      <c r="AG578" s="13"/>
      <c r="AH578" s="13"/>
      <c r="AZ578" s="14"/>
      <c r="BA578" s="14"/>
      <c r="BB578" s="14"/>
    </row>
    <row r="579" ht="15.75" customHeight="1">
      <c r="B579" s="146"/>
      <c r="F579" s="13"/>
      <c r="K579" s="13"/>
      <c r="P579" s="13"/>
      <c r="Q579" s="13"/>
      <c r="R579" s="13"/>
      <c r="U579" s="13"/>
      <c r="W579" s="13"/>
      <c r="X579" s="13"/>
      <c r="Z579" s="13"/>
      <c r="AB579" s="13"/>
      <c r="AC579" s="13"/>
      <c r="AE579" s="13"/>
      <c r="AF579" s="13"/>
      <c r="AG579" s="13"/>
      <c r="AH579" s="13"/>
      <c r="AZ579" s="14"/>
      <c r="BA579" s="14"/>
      <c r="BB579" s="14"/>
    </row>
    <row r="580" ht="15.75" customHeight="1">
      <c r="B580" s="146"/>
      <c r="F580" s="13"/>
      <c r="K580" s="13"/>
      <c r="P580" s="13"/>
      <c r="Q580" s="13"/>
      <c r="R580" s="13"/>
      <c r="U580" s="13"/>
      <c r="W580" s="13"/>
      <c r="X580" s="13"/>
      <c r="Z580" s="13"/>
      <c r="AB580" s="13"/>
      <c r="AC580" s="13"/>
      <c r="AE580" s="13"/>
      <c r="AF580" s="13"/>
      <c r="AG580" s="13"/>
      <c r="AH580" s="13"/>
      <c r="AZ580" s="14"/>
      <c r="BA580" s="14"/>
      <c r="BB580" s="14"/>
    </row>
    <row r="581" ht="15.75" customHeight="1">
      <c r="B581" s="146"/>
      <c r="F581" s="13"/>
      <c r="K581" s="13"/>
      <c r="P581" s="13"/>
      <c r="Q581" s="13"/>
      <c r="R581" s="13"/>
      <c r="U581" s="13"/>
      <c r="W581" s="13"/>
      <c r="X581" s="13"/>
      <c r="Z581" s="13"/>
      <c r="AB581" s="13"/>
      <c r="AC581" s="13"/>
      <c r="AE581" s="13"/>
      <c r="AF581" s="13"/>
      <c r="AG581" s="13"/>
      <c r="AH581" s="13"/>
      <c r="AZ581" s="14"/>
      <c r="BA581" s="14"/>
      <c r="BB581" s="14"/>
    </row>
    <row r="582" ht="15.75" customHeight="1">
      <c r="B582" s="146"/>
      <c r="F582" s="13"/>
      <c r="K582" s="13"/>
      <c r="P582" s="13"/>
      <c r="Q582" s="13"/>
      <c r="R582" s="13"/>
      <c r="U582" s="13"/>
      <c r="W582" s="13"/>
      <c r="X582" s="13"/>
      <c r="Z582" s="13"/>
      <c r="AB582" s="13"/>
      <c r="AC582" s="13"/>
      <c r="AE582" s="13"/>
      <c r="AF582" s="13"/>
      <c r="AG582" s="13"/>
      <c r="AH582" s="13"/>
      <c r="AZ582" s="14"/>
      <c r="BA582" s="14"/>
      <c r="BB582" s="14"/>
    </row>
    <row r="583" ht="15.75" customHeight="1">
      <c r="B583" s="146"/>
      <c r="F583" s="13"/>
      <c r="K583" s="13"/>
      <c r="P583" s="13"/>
      <c r="Q583" s="13"/>
      <c r="R583" s="13"/>
      <c r="U583" s="13"/>
      <c r="W583" s="13"/>
      <c r="X583" s="13"/>
      <c r="Z583" s="13"/>
      <c r="AB583" s="13"/>
      <c r="AC583" s="13"/>
      <c r="AE583" s="13"/>
      <c r="AF583" s="13"/>
      <c r="AG583" s="13"/>
      <c r="AH583" s="13"/>
      <c r="AZ583" s="14"/>
      <c r="BA583" s="14"/>
      <c r="BB583" s="14"/>
    </row>
    <row r="584" ht="15.75" customHeight="1">
      <c r="B584" s="146"/>
      <c r="F584" s="13"/>
      <c r="K584" s="13"/>
      <c r="P584" s="13"/>
      <c r="Q584" s="13"/>
      <c r="R584" s="13"/>
      <c r="U584" s="13"/>
      <c r="W584" s="13"/>
      <c r="X584" s="13"/>
      <c r="Z584" s="13"/>
      <c r="AB584" s="13"/>
      <c r="AC584" s="13"/>
      <c r="AE584" s="13"/>
      <c r="AF584" s="13"/>
      <c r="AG584" s="13"/>
      <c r="AH584" s="13"/>
      <c r="AZ584" s="14"/>
      <c r="BA584" s="14"/>
      <c r="BB584" s="14"/>
    </row>
    <row r="585" ht="15.75" customHeight="1">
      <c r="B585" s="146"/>
      <c r="F585" s="13"/>
      <c r="K585" s="13"/>
      <c r="P585" s="13"/>
      <c r="Q585" s="13"/>
      <c r="R585" s="13"/>
      <c r="U585" s="13"/>
      <c r="W585" s="13"/>
      <c r="X585" s="13"/>
      <c r="Z585" s="13"/>
      <c r="AB585" s="13"/>
      <c r="AC585" s="13"/>
      <c r="AE585" s="13"/>
      <c r="AF585" s="13"/>
      <c r="AG585" s="13"/>
      <c r="AH585" s="13"/>
      <c r="AZ585" s="14"/>
      <c r="BA585" s="14"/>
      <c r="BB585" s="14"/>
    </row>
    <row r="586" ht="15.75" customHeight="1">
      <c r="B586" s="146"/>
      <c r="F586" s="13"/>
      <c r="K586" s="13"/>
      <c r="P586" s="13"/>
      <c r="Q586" s="13"/>
      <c r="R586" s="13"/>
      <c r="U586" s="13"/>
      <c r="W586" s="13"/>
      <c r="X586" s="13"/>
      <c r="Z586" s="13"/>
      <c r="AB586" s="13"/>
      <c r="AC586" s="13"/>
      <c r="AE586" s="13"/>
      <c r="AF586" s="13"/>
      <c r="AG586" s="13"/>
      <c r="AH586" s="13"/>
      <c r="AZ586" s="14"/>
      <c r="BA586" s="14"/>
      <c r="BB586" s="14"/>
    </row>
    <row r="587" ht="15.75" customHeight="1">
      <c r="B587" s="146"/>
      <c r="F587" s="13"/>
      <c r="K587" s="13"/>
      <c r="P587" s="13"/>
      <c r="Q587" s="13"/>
      <c r="R587" s="13"/>
      <c r="U587" s="13"/>
      <c r="W587" s="13"/>
      <c r="X587" s="13"/>
      <c r="Z587" s="13"/>
      <c r="AB587" s="13"/>
      <c r="AC587" s="13"/>
      <c r="AE587" s="13"/>
      <c r="AF587" s="13"/>
      <c r="AG587" s="13"/>
      <c r="AH587" s="13"/>
      <c r="AZ587" s="14"/>
      <c r="BA587" s="14"/>
      <c r="BB587" s="14"/>
    </row>
    <row r="588" ht="15.75" customHeight="1">
      <c r="B588" s="146"/>
      <c r="F588" s="13"/>
      <c r="K588" s="13"/>
      <c r="P588" s="13"/>
      <c r="Q588" s="13"/>
      <c r="R588" s="13"/>
      <c r="U588" s="13"/>
      <c r="W588" s="13"/>
      <c r="X588" s="13"/>
      <c r="Z588" s="13"/>
      <c r="AB588" s="13"/>
      <c r="AC588" s="13"/>
      <c r="AE588" s="13"/>
      <c r="AF588" s="13"/>
      <c r="AG588" s="13"/>
      <c r="AH588" s="13"/>
      <c r="AZ588" s="14"/>
      <c r="BA588" s="14"/>
      <c r="BB588" s="14"/>
    </row>
    <row r="589" ht="15.75" customHeight="1">
      <c r="B589" s="146"/>
      <c r="F589" s="13"/>
      <c r="K589" s="13"/>
      <c r="P589" s="13"/>
      <c r="Q589" s="13"/>
      <c r="R589" s="13"/>
      <c r="U589" s="13"/>
      <c r="W589" s="13"/>
      <c r="X589" s="13"/>
      <c r="Z589" s="13"/>
      <c r="AB589" s="13"/>
      <c r="AC589" s="13"/>
      <c r="AE589" s="13"/>
      <c r="AF589" s="13"/>
      <c r="AG589" s="13"/>
      <c r="AH589" s="13"/>
      <c r="AZ589" s="14"/>
      <c r="BA589" s="14"/>
      <c r="BB589" s="14"/>
    </row>
    <row r="590" ht="15.75" customHeight="1">
      <c r="B590" s="146"/>
      <c r="F590" s="13"/>
      <c r="K590" s="13"/>
      <c r="P590" s="13"/>
      <c r="Q590" s="13"/>
      <c r="R590" s="13"/>
      <c r="U590" s="13"/>
      <c r="W590" s="13"/>
      <c r="X590" s="13"/>
      <c r="Z590" s="13"/>
      <c r="AB590" s="13"/>
      <c r="AC590" s="13"/>
      <c r="AE590" s="13"/>
      <c r="AF590" s="13"/>
      <c r="AG590" s="13"/>
      <c r="AH590" s="13"/>
      <c r="AZ590" s="14"/>
      <c r="BA590" s="14"/>
      <c r="BB590" s="14"/>
    </row>
    <row r="591" ht="15.75" customHeight="1">
      <c r="B591" s="146"/>
      <c r="F591" s="13"/>
      <c r="K591" s="13"/>
      <c r="P591" s="13"/>
      <c r="Q591" s="13"/>
      <c r="R591" s="13"/>
      <c r="U591" s="13"/>
      <c r="W591" s="13"/>
      <c r="X591" s="13"/>
      <c r="Z591" s="13"/>
      <c r="AB591" s="13"/>
      <c r="AC591" s="13"/>
      <c r="AE591" s="13"/>
      <c r="AF591" s="13"/>
      <c r="AG591" s="13"/>
      <c r="AH591" s="13"/>
      <c r="AZ591" s="14"/>
      <c r="BA591" s="14"/>
      <c r="BB591" s="14"/>
    </row>
    <row r="592" ht="15.75" customHeight="1">
      <c r="B592" s="146"/>
      <c r="F592" s="13"/>
      <c r="K592" s="13"/>
      <c r="P592" s="13"/>
      <c r="Q592" s="13"/>
      <c r="R592" s="13"/>
      <c r="U592" s="13"/>
      <c r="W592" s="13"/>
      <c r="X592" s="13"/>
      <c r="Z592" s="13"/>
      <c r="AB592" s="13"/>
      <c r="AC592" s="13"/>
      <c r="AE592" s="13"/>
      <c r="AF592" s="13"/>
      <c r="AG592" s="13"/>
      <c r="AH592" s="13"/>
      <c r="AZ592" s="14"/>
      <c r="BA592" s="14"/>
      <c r="BB592" s="14"/>
    </row>
    <row r="593" ht="15.75" customHeight="1">
      <c r="B593" s="146"/>
      <c r="F593" s="13"/>
      <c r="K593" s="13"/>
      <c r="P593" s="13"/>
      <c r="Q593" s="13"/>
      <c r="R593" s="13"/>
      <c r="U593" s="13"/>
      <c r="W593" s="13"/>
      <c r="X593" s="13"/>
      <c r="Z593" s="13"/>
      <c r="AB593" s="13"/>
      <c r="AC593" s="13"/>
      <c r="AE593" s="13"/>
      <c r="AF593" s="13"/>
      <c r="AG593" s="13"/>
      <c r="AH593" s="13"/>
      <c r="AZ593" s="14"/>
      <c r="BA593" s="14"/>
      <c r="BB593" s="14"/>
    </row>
    <row r="594" ht="15.75" customHeight="1">
      <c r="B594" s="146"/>
      <c r="F594" s="13"/>
      <c r="K594" s="13"/>
      <c r="P594" s="13"/>
      <c r="Q594" s="13"/>
      <c r="R594" s="13"/>
      <c r="U594" s="13"/>
      <c r="W594" s="13"/>
      <c r="X594" s="13"/>
      <c r="Z594" s="13"/>
      <c r="AB594" s="13"/>
      <c r="AC594" s="13"/>
      <c r="AE594" s="13"/>
      <c r="AF594" s="13"/>
      <c r="AG594" s="13"/>
      <c r="AH594" s="13"/>
      <c r="AZ594" s="14"/>
      <c r="BA594" s="14"/>
      <c r="BB594" s="14"/>
    </row>
    <row r="595" ht="15.75" customHeight="1">
      <c r="B595" s="146"/>
      <c r="F595" s="13"/>
      <c r="K595" s="13"/>
      <c r="P595" s="13"/>
      <c r="Q595" s="13"/>
      <c r="R595" s="13"/>
      <c r="U595" s="13"/>
      <c r="W595" s="13"/>
      <c r="X595" s="13"/>
      <c r="Z595" s="13"/>
      <c r="AB595" s="13"/>
      <c r="AC595" s="13"/>
      <c r="AE595" s="13"/>
      <c r="AF595" s="13"/>
      <c r="AG595" s="13"/>
      <c r="AH595" s="13"/>
      <c r="AZ595" s="14"/>
      <c r="BA595" s="14"/>
      <c r="BB595" s="14"/>
    </row>
    <row r="596" ht="15.75" customHeight="1">
      <c r="B596" s="146"/>
      <c r="F596" s="13"/>
      <c r="K596" s="13"/>
      <c r="P596" s="13"/>
      <c r="Q596" s="13"/>
      <c r="R596" s="13"/>
      <c r="U596" s="13"/>
      <c r="W596" s="13"/>
      <c r="X596" s="13"/>
      <c r="Z596" s="13"/>
      <c r="AB596" s="13"/>
      <c r="AC596" s="13"/>
      <c r="AE596" s="13"/>
      <c r="AF596" s="13"/>
      <c r="AG596" s="13"/>
      <c r="AH596" s="13"/>
      <c r="AZ596" s="14"/>
      <c r="BA596" s="14"/>
      <c r="BB596" s="14"/>
    </row>
    <row r="597" ht="15.75" customHeight="1">
      <c r="B597" s="146"/>
      <c r="F597" s="13"/>
      <c r="K597" s="13"/>
      <c r="P597" s="13"/>
      <c r="Q597" s="13"/>
      <c r="R597" s="13"/>
      <c r="U597" s="13"/>
      <c r="W597" s="13"/>
      <c r="X597" s="13"/>
      <c r="Z597" s="13"/>
      <c r="AB597" s="13"/>
      <c r="AC597" s="13"/>
      <c r="AE597" s="13"/>
      <c r="AF597" s="13"/>
      <c r="AG597" s="13"/>
      <c r="AH597" s="13"/>
      <c r="AZ597" s="14"/>
      <c r="BA597" s="14"/>
      <c r="BB597" s="14"/>
    </row>
    <row r="598" ht="15.75" customHeight="1">
      <c r="B598" s="146"/>
      <c r="F598" s="13"/>
      <c r="K598" s="13"/>
      <c r="P598" s="13"/>
      <c r="Q598" s="13"/>
      <c r="R598" s="13"/>
      <c r="U598" s="13"/>
      <c r="W598" s="13"/>
      <c r="X598" s="13"/>
      <c r="Z598" s="13"/>
      <c r="AB598" s="13"/>
      <c r="AC598" s="13"/>
      <c r="AE598" s="13"/>
      <c r="AF598" s="13"/>
      <c r="AG598" s="13"/>
      <c r="AH598" s="13"/>
      <c r="AZ598" s="14"/>
      <c r="BA598" s="14"/>
      <c r="BB598" s="14"/>
    </row>
    <row r="599" ht="15.75" customHeight="1">
      <c r="B599" s="146"/>
      <c r="F599" s="13"/>
      <c r="K599" s="13"/>
      <c r="P599" s="13"/>
      <c r="Q599" s="13"/>
      <c r="R599" s="13"/>
      <c r="U599" s="13"/>
      <c r="W599" s="13"/>
      <c r="X599" s="13"/>
      <c r="Z599" s="13"/>
      <c r="AB599" s="13"/>
      <c r="AC599" s="13"/>
      <c r="AE599" s="13"/>
      <c r="AF599" s="13"/>
      <c r="AG599" s="13"/>
      <c r="AH599" s="13"/>
      <c r="AZ599" s="14"/>
      <c r="BA599" s="14"/>
      <c r="BB599" s="14"/>
    </row>
    <row r="600" ht="15.75" customHeight="1">
      <c r="B600" s="146"/>
      <c r="F600" s="13"/>
      <c r="K600" s="13"/>
      <c r="P600" s="13"/>
      <c r="Q600" s="13"/>
      <c r="R600" s="13"/>
      <c r="U600" s="13"/>
      <c r="W600" s="13"/>
      <c r="X600" s="13"/>
      <c r="Z600" s="13"/>
      <c r="AB600" s="13"/>
      <c r="AC600" s="13"/>
      <c r="AE600" s="13"/>
      <c r="AF600" s="13"/>
      <c r="AG600" s="13"/>
      <c r="AH600" s="13"/>
      <c r="AZ600" s="14"/>
      <c r="BA600" s="14"/>
      <c r="BB600" s="14"/>
    </row>
    <row r="601" ht="15.75" customHeight="1">
      <c r="B601" s="146"/>
      <c r="F601" s="13"/>
      <c r="K601" s="13"/>
      <c r="P601" s="13"/>
      <c r="Q601" s="13"/>
      <c r="R601" s="13"/>
      <c r="U601" s="13"/>
      <c r="W601" s="13"/>
      <c r="X601" s="13"/>
      <c r="Z601" s="13"/>
      <c r="AB601" s="13"/>
      <c r="AC601" s="13"/>
      <c r="AE601" s="13"/>
      <c r="AF601" s="13"/>
      <c r="AG601" s="13"/>
      <c r="AH601" s="13"/>
      <c r="AZ601" s="14"/>
      <c r="BA601" s="14"/>
      <c r="BB601" s="14"/>
    </row>
    <row r="602" ht="15.75" customHeight="1">
      <c r="B602" s="146"/>
      <c r="F602" s="13"/>
      <c r="K602" s="13"/>
      <c r="P602" s="13"/>
      <c r="Q602" s="13"/>
      <c r="R602" s="13"/>
      <c r="U602" s="13"/>
      <c r="W602" s="13"/>
      <c r="X602" s="13"/>
      <c r="Z602" s="13"/>
      <c r="AB602" s="13"/>
      <c r="AC602" s="13"/>
      <c r="AE602" s="13"/>
      <c r="AF602" s="13"/>
      <c r="AG602" s="13"/>
      <c r="AH602" s="13"/>
      <c r="AZ602" s="14"/>
      <c r="BA602" s="14"/>
      <c r="BB602" s="14"/>
    </row>
    <row r="603" ht="15.75" customHeight="1">
      <c r="B603" s="146"/>
      <c r="F603" s="13"/>
      <c r="K603" s="13"/>
      <c r="P603" s="13"/>
      <c r="Q603" s="13"/>
      <c r="R603" s="13"/>
      <c r="U603" s="13"/>
      <c r="W603" s="13"/>
      <c r="X603" s="13"/>
      <c r="Z603" s="13"/>
      <c r="AB603" s="13"/>
      <c r="AC603" s="13"/>
      <c r="AE603" s="13"/>
      <c r="AF603" s="13"/>
      <c r="AG603" s="13"/>
      <c r="AH603" s="13"/>
      <c r="AZ603" s="14"/>
      <c r="BA603" s="14"/>
      <c r="BB603" s="14"/>
    </row>
    <row r="604" ht="15.75" customHeight="1">
      <c r="B604" s="146"/>
      <c r="F604" s="13"/>
      <c r="K604" s="13"/>
      <c r="P604" s="13"/>
      <c r="Q604" s="13"/>
      <c r="R604" s="13"/>
      <c r="U604" s="13"/>
      <c r="W604" s="13"/>
      <c r="X604" s="13"/>
      <c r="Z604" s="13"/>
      <c r="AB604" s="13"/>
      <c r="AC604" s="13"/>
      <c r="AE604" s="13"/>
      <c r="AF604" s="13"/>
      <c r="AG604" s="13"/>
      <c r="AH604" s="13"/>
      <c r="AZ604" s="14"/>
      <c r="BA604" s="14"/>
      <c r="BB604" s="14"/>
    </row>
    <row r="605" ht="15.75" customHeight="1">
      <c r="B605" s="146"/>
      <c r="F605" s="13"/>
      <c r="K605" s="13"/>
      <c r="P605" s="13"/>
      <c r="Q605" s="13"/>
      <c r="R605" s="13"/>
      <c r="U605" s="13"/>
      <c r="W605" s="13"/>
      <c r="X605" s="13"/>
      <c r="Z605" s="13"/>
      <c r="AB605" s="13"/>
      <c r="AC605" s="13"/>
      <c r="AE605" s="13"/>
      <c r="AF605" s="13"/>
      <c r="AG605" s="13"/>
      <c r="AH605" s="13"/>
      <c r="AZ605" s="14"/>
      <c r="BA605" s="14"/>
      <c r="BB605" s="14"/>
    </row>
    <row r="606" ht="15.75" customHeight="1">
      <c r="B606" s="146"/>
      <c r="F606" s="13"/>
      <c r="K606" s="13"/>
      <c r="P606" s="13"/>
      <c r="Q606" s="13"/>
      <c r="R606" s="13"/>
      <c r="U606" s="13"/>
      <c r="W606" s="13"/>
      <c r="X606" s="13"/>
      <c r="Z606" s="13"/>
      <c r="AB606" s="13"/>
      <c r="AC606" s="13"/>
      <c r="AE606" s="13"/>
      <c r="AF606" s="13"/>
      <c r="AG606" s="13"/>
      <c r="AH606" s="13"/>
      <c r="AZ606" s="14"/>
      <c r="BA606" s="14"/>
      <c r="BB606" s="14"/>
    </row>
    <row r="607" ht="15.75" customHeight="1">
      <c r="B607" s="146"/>
      <c r="F607" s="13"/>
      <c r="K607" s="13"/>
      <c r="P607" s="13"/>
      <c r="Q607" s="13"/>
      <c r="R607" s="13"/>
      <c r="U607" s="13"/>
      <c r="W607" s="13"/>
      <c r="X607" s="13"/>
      <c r="Z607" s="13"/>
      <c r="AB607" s="13"/>
      <c r="AC607" s="13"/>
      <c r="AE607" s="13"/>
      <c r="AF607" s="13"/>
      <c r="AG607" s="13"/>
      <c r="AH607" s="13"/>
      <c r="AZ607" s="14"/>
      <c r="BA607" s="14"/>
      <c r="BB607" s="14"/>
    </row>
    <row r="608" ht="15.75" customHeight="1">
      <c r="B608" s="146"/>
      <c r="F608" s="13"/>
      <c r="K608" s="13"/>
      <c r="P608" s="13"/>
      <c r="Q608" s="13"/>
      <c r="R608" s="13"/>
      <c r="U608" s="13"/>
      <c r="W608" s="13"/>
      <c r="X608" s="13"/>
      <c r="Z608" s="13"/>
      <c r="AB608" s="13"/>
      <c r="AC608" s="13"/>
      <c r="AE608" s="13"/>
      <c r="AF608" s="13"/>
      <c r="AG608" s="13"/>
      <c r="AH608" s="13"/>
      <c r="AZ608" s="14"/>
      <c r="BA608" s="14"/>
      <c r="BB608" s="14"/>
    </row>
    <row r="609" ht="15.75" customHeight="1">
      <c r="B609" s="146"/>
      <c r="F609" s="13"/>
      <c r="K609" s="13"/>
      <c r="P609" s="13"/>
      <c r="Q609" s="13"/>
      <c r="R609" s="13"/>
      <c r="U609" s="13"/>
      <c r="W609" s="13"/>
      <c r="X609" s="13"/>
      <c r="Z609" s="13"/>
      <c r="AB609" s="13"/>
      <c r="AC609" s="13"/>
      <c r="AE609" s="13"/>
      <c r="AF609" s="13"/>
      <c r="AG609" s="13"/>
      <c r="AH609" s="13"/>
      <c r="AZ609" s="14"/>
      <c r="BA609" s="14"/>
      <c r="BB609" s="14"/>
    </row>
    <row r="610" ht="15.75" customHeight="1">
      <c r="B610" s="146"/>
      <c r="F610" s="13"/>
      <c r="K610" s="13"/>
      <c r="P610" s="13"/>
      <c r="Q610" s="13"/>
      <c r="R610" s="13"/>
      <c r="U610" s="13"/>
      <c r="W610" s="13"/>
      <c r="X610" s="13"/>
      <c r="Z610" s="13"/>
      <c r="AB610" s="13"/>
      <c r="AC610" s="13"/>
      <c r="AE610" s="13"/>
      <c r="AF610" s="13"/>
      <c r="AG610" s="13"/>
      <c r="AH610" s="13"/>
      <c r="AZ610" s="14"/>
      <c r="BA610" s="14"/>
      <c r="BB610" s="14"/>
    </row>
    <row r="611" ht="15.75" customHeight="1">
      <c r="B611" s="146"/>
      <c r="F611" s="13"/>
      <c r="K611" s="13"/>
      <c r="P611" s="13"/>
      <c r="Q611" s="13"/>
      <c r="R611" s="13"/>
      <c r="U611" s="13"/>
      <c r="W611" s="13"/>
      <c r="X611" s="13"/>
      <c r="Z611" s="13"/>
      <c r="AB611" s="13"/>
      <c r="AC611" s="13"/>
      <c r="AE611" s="13"/>
      <c r="AF611" s="13"/>
      <c r="AG611" s="13"/>
      <c r="AH611" s="13"/>
      <c r="AZ611" s="14"/>
      <c r="BA611" s="14"/>
      <c r="BB611" s="14"/>
    </row>
    <row r="612" ht="15.75" customHeight="1">
      <c r="B612" s="146"/>
      <c r="F612" s="13"/>
      <c r="K612" s="13"/>
      <c r="P612" s="13"/>
      <c r="Q612" s="13"/>
      <c r="R612" s="13"/>
      <c r="U612" s="13"/>
      <c r="W612" s="13"/>
      <c r="X612" s="13"/>
      <c r="Z612" s="13"/>
      <c r="AB612" s="13"/>
      <c r="AC612" s="13"/>
      <c r="AE612" s="13"/>
      <c r="AF612" s="13"/>
      <c r="AG612" s="13"/>
      <c r="AH612" s="13"/>
      <c r="AZ612" s="14"/>
      <c r="BA612" s="14"/>
      <c r="BB612" s="14"/>
    </row>
    <row r="613" ht="15.75" customHeight="1">
      <c r="B613" s="146"/>
      <c r="F613" s="13"/>
      <c r="K613" s="13"/>
      <c r="P613" s="13"/>
      <c r="Q613" s="13"/>
      <c r="R613" s="13"/>
      <c r="U613" s="13"/>
      <c r="W613" s="13"/>
      <c r="X613" s="13"/>
      <c r="Z613" s="13"/>
      <c r="AB613" s="13"/>
      <c r="AC613" s="13"/>
      <c r="AE613" s="13"/>
      <c r="AF613" s="13"/>
      <c r="AG613" s="13"/>
      <c r="AH613" s="13"/>
      <c r="AZ613" s="14"/>
      <c r="BA613" s="14"/>
      <c r="BB613" s="14"/>
    </row>
    <row r="614" ht="15.75" customHeight="1">
      <c r="B614" s="146"/>
      <c r="F614" s="13"/>
      <c r="K614" s="13"/>
      <c r="P614" s="13"/>
      <c r="Q614" s="13"/>
      <c r="R614" s="13"/>
      <c r="U614" s="13"/>
      <c r="W614" s="13"/>
      <c r="X614" s="13"/>
      <c r="Z614" s="13"/>
      <c r="AB614" s="13"/>
      <c r="AC614" s="13"/>
      <c r="AE614" s="13"/>
      <c r="AF614" s="13"/>
      <c r="AG614" s="13"/>
      <c r="AH614" s="13"/>
      <c r="AZ614" s="14"/>
      <c r="BA614" s="14"/>
      <c r="BB614" s="14"/>
    </row>
    <row r="615" ht="15.75" customHeight="1">
      <c r="B615" s="146"/>
      <c r="F615" s="13"/>
      <c r="K615" s="13"/>
      <c r="P615" s="13"/>
      <c r="Q615" s="13"/>
      <c r="R615" s="13"/>
      <c r="U615" s="13"/>
      <c r="W615" s="13"/>
      <c r="X615" s="13"/>
      <c r="Z615" s="13"/>
      <c r="AB615" s="13"/>
      <c r="AC615" s="13"/>
      <c r="AE615" s="13"/>
      <c r="AF615" s="13"/>
      <c r="AG615" s="13"/>
      <c r="AH615" s="13"/>
      <c r="AZ615" s="14"/>
      <c r="BA615" s="14"/>
      <c r="BB615" s="14"/>
    </row>
    <row r="616" ht="15.75" customHeight="1">
      <c r="B616" s="146"/>
      <c r="F616" s="13"/>
      <c r="K616" s="13"/>
      <c r="P616" s="13"/>
      <c r="Q616" s="13"/>
      <c r="R616" s="13"/>
      <c r="U616" s="13"/>
      <c r="W616" s="13"/>
      <c r="X616" s="13"/>
      <c r="Z616" s="13"/>
      <c r="AB616" s="13"/>
      <c r="AC616" s="13"/>
      <c r="AE616" s="13"/>
      <c r="AF616" s="13"/>
      <c r="AG616" s="13"/>
      <c r="AH616" s="13"/>
      <c r="AZ616" s="14"/>
      <c r="BA616" s="14"/>
      <c r="BB616" s="14"/>
    </row>
    <row r="617" ht="15.75" customHeight="1">
      <c r="B617" s="146"/>
      <c r="F617" s="13"/>
      <c r="K617" s="13"/>
      <c r="P617" s="13"/>
      <c r="Q617" s="13"/>
      <c r="R617" s="13"/>
      <c r="U617" s="13"/>
      <c r="W617" s="13"/>
      <c r="X617" s="13"/>
      <c r="Z617" s="13"/>
      <c r="AB617" s="13"/>
      <c r="AC617" s="13"/>
      <c r="AE617" s="13"/>
      <c r="AF617" s="13"/>
      <c r="AG617" s="13"/>
      <c r="AH617" s="13"/>
      <c r="AZ617" s="14"/>
      <c r="BA617" s="14"/>
      <c r="BB617" s="14"/>
    </row>
    <row r="618" ht="15.75" customHeight="1">
      <c r="B618" s="146"/>
      <c r="F618" s="13"/>
      <c r="K618" s="13"/>
      <c r="P618" s="13"/>
      <c r="Q618" s="13"/>
      <c r="R618" s="13"/>
      <c r="U618" s="13"/>
      <c r="W618" s="13"/>
      <c r="X618" s="13"/>
      <c r="Z618" s="13"/>
      <c r="AB618" s="13"/>
      <c r="AC618" s="13"/>
      <c r="AE618" s="13"/>
      <c r="AF618" s="13"/>
      <c r="AG618" s="13"/>
      <c r="AH618" s="13"/>
      <c r="AZ618" s="14"/>
      <c r="BA618" s="14"/>
      <c r="BB618" s="14"/>
    </row>
    <row r="619" ht="15.75" customHeight="1">
      <c r="B619" s="146"/>
      <c r="F619" s="13"/>
      <c r="K619" s="13"/>
      <c r="P619" s="13"/>
      <c r="Q619" s="13"/>
      <c r="R619" s="13"/>
      <c r="U619" s="13"/>
      <c r="W619" s="13"/>
      <c r="X619" s="13"/>
      <c r="Z619" s="13"/>
      <c r="AB619" s="13"/>
      <c r="AC619" s="13"/>
      <c r="AE619" s="13"/>
      <c r="AF619" s="13"/>
      <c r="AG619" s="13"/>
      <c r="AH619" s="13"/>
      <c r="AZ619" s="14"/>
      <c r="BA619" s="14"/>
      <c r="BB619" s="14"/>
    </row>
    <row r="620" ht="15.75" customHeight="1">
      <c r="B620" s="146"/>
      <c r="F620" s="13"/>
      <c r="K620" s="13"/>
      <c r="P620" s="13"/>
      <c r="Q620" s="13"/>
      <c r="R620" s="13"/>
      <c r="U620" s="13"/>
      <c r="W620" s="13"/>
      <c r="X620" s="13"/>
      <c r="Z620" s="13"/>
      <c r="AB620" s="13"/>
      <c r="AC620" s="13"/>
      <c r="AE620" s="13"/>
      <c r="AF620" s="13"/>
      <c r="AG620" s="13"/>
      <c r="AH620" s="13"/>
      <c r="AZ620" s="14"/>
      <c r="BA620" s="14"/>
      <c r="BB620" s="14"/>
    </row>
    <row r="621" ht="15.75" customHeight="1">
      <c r="B621" s="146"/>
      <c r="F621" s="13"/>
      <c r="K621" s="13"/>
      <c r="P621" s="13"/>
      <c r="Q621" s="13"/>
      <c r="R621" s="13"/>
      <c r="U621" s="13"/>
      <c r="W621" s="13"/>
      <c r="X621" s="13"/>
      <c r="Z621" s="13"/>
      <c r="AB621" s="13"/>
      <c r="AC621" s="13"/>
      <c r="AE621" s="13"/>
      <c r="AF621" s="13"/>
      <c r="AG621" s="13"/>
      <c r="AH621" s="13"/>
      <c r="AZ621" s="14"/>
      <c r="BA621" s="14"/>
      <c r="BB621" s="14"/>
    </row>
    <row r="622" ht="15.75" customHeight="1">
      <c r="B622" s="146"/>
      <c r="F622" s="13"/>
      <c r="K622" s="13"/>
      <c r="P622" s="13"/>
      <c r="Q622" s="13"/>
      <c r="R622" s="13"/>
      <c r="U622" s="13"/>
      <c r="W622" s="13"/>
      <c r="X622" s="13"/>
      <c r="Z622" s="13"/>
      <c r="AB622" s="13"/>
      <c r="AC622" s="13"/>
      <c r="AE622" s="13"/>
      <c r="AF622" s="13"/>
      <c r="AG622" s="13"/>
      <c r="AH622" s="13"/>
      <c r="AZ622" s="14"/>
      <c r="BA622" s="14"/>
      <c r="BB622" s="14"/>
    </row>
    <row r="623" ht="15.75" customHeight="1">
      <c r="B623" s="146"/>
      <c r="F623" s="13"/>
      <c r="K623" s="13"/>
      <c r="P623" s="13"/>
      <c r="Q623" s="13"/>
      <c r="R623" s="13"/>
      <c r="U623" s="13"/>
      <c r="W623" s="13"/>
      <c r="X623" s="13"/>
      <c r="Z623" s="13"/>
      <c r="AB623" s="13"/>
      <c r="AC623" s="13"/>
      <c r="AE623" s="13"/>
      <c r="AF623" s="13"/>
      <c r="AG623" s="13"/>
      <c r="AH623" s="13"/>
      <c r="AZ623" s="14"/>
      <c r="BA623" s="14"/>
      <c r="BB623" s="14"/>
    </row>
    <row r="624" ht="15.75" customHeight="1">
      <c r="B624" s="146"/>
      <c r="F624" s="13"/>
      <c r="K624" s="13"/>
      <c r="P624" s="13"/>
      <c r="Q624" s="13"/>
      <c r="R624" s="13"/>
      <c r="U624" s="13"/>
      <c r="W624" s="13"/>
      <c r="X624" s="13"/>
      <c r="Z624" s="13"/>
      <c r="AB624" s="13"/>
      <c r="AC624" s="13"/>
      <c r="AE624" s="13"/>
      <c r="AF624" s="13"/>
      <c r="AG624" s="13"/>
      <c r="AH624" s="13"/>
      <c r="AZ624" s="14"/>
      <c r="BA624" s="14"/>
      <c r="BB624" s="14"/>
    </row>
    <row r="625" ht="15.75" customHeight="1">
      <c r="B625" s="146"/>
      <c r="F625" s="13"/>
      <c r="K625" s="13"/>
      <c r="P625" s="13"/>
      <c r="Q625" s="13"/>
      <c r="R625" s="13"/>
      <c r="U625" s="13"/>
      <c r="W625" s="13"/>
      <c r="X625" s="13"/>
      <c r="Z625" s="13"/>
      <c r="AB625" s="13"/>
      <c r="AC625" s="13"/>
      <c r="AE625" s="13"/>
      <c r="AF625" s="13"/>
      <c r="AG625" s="13"/>
      <c r="AH625" s="13"/>
      <c r="AZ625" s="14"/>
      <c r="BA625" s="14"/>
      <c r="BB625" s="14"/>
    </row>
    <row r="626" ht="15.75" customHeight="1">
      <c r="B626" s="146"/>
      <c r="F626" s="13"/>
      <c r="K626" s="13"/>
      <c r="P626" s="13"/>
      <c r="Q626" s="13"/>
      <c r="R626" s="13"/>
      <c r="U626" s="13"/>
      <c r="W626" s="13"/>
      <c r="X626" s="13"/>
      <c r="Z626" s="13"/>
      <c r="AB626" s="13"/>
      <c r="AC626" s="13"/>
      <c r="AE626" s="13"/>
      <c r="AF626" s="13"/>
      <c r="AG626" s="13"/>
      <c r="AH626" s="13"/>
      <c r="AZ626" s="14"/>
      <c r="BA626" s="14"/>
      <c r="BB626" s="14"/>
    </row>
    <row r="627" ht="15.75" customHeight="1">
      <c r="B627" s="146"/>
      <c r="F627" s="13"/>
      <c r="K627" s="13"/>
      <c r="P627" s="13"/>
      <c r="Q627" s="13"/>
      <c r="R627" s="13"/>
      <c r="U627" s="13"/>
      <c r="W627" s="13"/>
      <c r="X627" s="13"/>
      <c r="Z627" s="13"/>
      <c r="AB627" s="13"/>
      <c r="AC627" s="13"/>
      <c r="AE627" s="13"/>
      <c r="AF627" s="13"/>
      <c r="AG627" s="13"/>
      <c r="AH627" s="13"/>
      <c r="AZ627" s="14"/>
      <c r="BA627" s="14"/>
      <c r="BB627" s="14"/>
    </row>
    <row r="628" ht="15.75" customHeight="1">
      <c r="B628" s="146"/>
      <c r="F628" s="13"/>
      <c r="K628" s="13"/>
      <c r="P628" s="13"/>
      <c r="Q628" s="13"/>
      <c r="R628" s="13"/>
      <c r="U628" s="13"/>
      <c r="W628" s="13"/>
      <c r="X628" s="13"/>
      <c r="Z628" s="13"/>
      <c r="AB628" s="13"/>
      <c r="AC628" s="13"/>
      <c r="AE628" s="13"/>
      <c r="AF628" s="13"/>
      <c r="AG628" s="13"/>
      <c r="AH628" s="13"/>
      <c r="AZ628" s="14"/>
      <c r="BA628" s="14"/>
      <c r="BB628" s="14"/>
    </row>
    <row r="629" ht="15.75" customHeight="1">
      <c r="B629" s="146"/>
      <c r="F629" s="13"/>
      <c r="K629" s="13"/>
      <c r="P629" s="13"/>
      <c r="Q629" s="13"/>
      <c r="R629" s="13"/>
      <c r="U629" s="13"/>
      <c r="W629" s="13"/>
      <c r="X629" s="13"/>
      <c r="Z629" s="13"/>
      <c r="AB629" s="13"/>
      <c r="AC629" s="13"/>
      <c r="AE629" s="13"/>
      <c r="AF629" s="13"/>
      <c r="AG629" s="13"/>
      <c r="AH629" s="13"/>
      <c r="AZ629" s="14"/>
      <c r="BA629" s="14"/>
      <c r="BB629" s="14"/>
    </row>
    <row r="630" ht="15.75" customHeight="1">
      <c r="B630" s="146"/>
      <c r="F630" s="13"/>
      <c r="K630" s="13"/>
      <c r="P630" s="13"/>
      <c r="Q630" s="13"/>
      <c r="R630" s="13"/>
      <c r="U630" s="13"/>
      <c r="W630" s="13"/>
      <c r="X630" s="13"/>
      <c r="Z630" s="13"/>
      <c r="AB630" s="13"/>
      <c r="AC630" s="13"/>
      <c r="AE630" s="13"/>
      <c r="AF630" s="13"/>
      <c r="AG630" s="13"/>
      <c r="AH630" s="13"/>
      <c r="AZ630" s="14"/>
      <c r="BA630" s="14"/>
      <c r="BB630" s="14"/>
    </row>
    <row r="631" ht="15.75" customHeight="1">
      <c r="B631" s="146"/>
      <c r="F631" s="13"/>
      <c r="K631" s="13"/>
      <c r="P631" s="13"/>
      <c r="Q631" s="13"/>
      <c r="R631" s="13"/>
      <c r="U631" s="13"/>
      <c r="W631" s="13"/>
      <c r="X631" s="13"/>
      <c r="Z631" s="13"/>
      <c r="AB631" s="13"/>
      <c r="AC631" s="13"/>
      <c r="AE631" s="13"/>
      <c r="AF631" s="13"/>
      <c r="AG631" s="13"/>
      <c r="AH631" s="13"/>
      <c r="AZ631" s="14"/>
      <c r="BA631" s="14"/>
      <c r="BB631" s="14"/>
    </row>
    <row r="632" ht="15.75" customHeight="1">
      <c r="B632" s="146"/>
      <c r="F632" s="13"/>
      <c r="K632" s="13"/>
      <c r="P632" s="13"/>
      <c r="Q632" s="13"/>
      <c r="R632" s="13"/>
      <c r="U632" s="13"/>
      <c r="W632" s="13"/>
      <c r="X632" s="13"/>
      <c r="Z632" s="13"/>
      <c r="AB632" s="13"/>
      <c r="AC632" s="13"/>
      <c r="AE632" s="13"/>
      <c r="AF632" s="13"/>
      <c r="AG632" s="13"/>
      <c r="AH632" s="13"/>
      <c r="AZ632" s="14"/>
      <c r="BA632" s="14"/>
      <c r="BB632" s="14"/>
    </row>
    <row r="633" ht="15.75" customHeight="1">
      <c r="B633" s="146"/>
      <c r="F633" s="13"/>
      <c r="K633" s="13"/>
      <c r="P633" s="13"/>
      <c r="Q633" s="13"/>
      <c r="R633" s="13"/>
      <c r="U633" s="13"/>
      <c r="W633" s="13"/>
      <c r="X633" s="13"/>
      <c r="Z633" s="13"/>
      <c r="AB633" s="13"/>
      <c r="AC633" s="13"/>
      <c r="AE633" s="13"/>
      <c r="AF633" s="13"/>
      <c r="AG633" s="13"/>
      <c r="AH633" s="13"/>
      <c r="AZ633" s="14"/>
      <c r="BA633" s="14"/>
      <c r="BB633" s="14"/>
    </row>
    <row r="634" ht="15.75" customHeight="1">
      <c r="B634" s="146"/>
      <c r="F634" s="13"/>
      <c r="K634" s="13"/>
      <c r="P634" s="13"/>
      <c r="Q634" s="13"/>
      <c r="R634" s="13"/>
      <c r="U634" s="13"/>
      <c r="W634" s="13"/>
      <c r="X634" s="13"/>
      <c r="Z634" s="13"/>
      <c r="AB634" s="13"/>
      <c r="AC634" s="13"/>
      <c r="AE634" s="13"/>
      <c r="AF634" s="13"/>
      <c r="AG634" s="13"/>
      <c r="AH634" s="13"/>
      <c r="AZ634" s="14"/>
      <c r="BA634" s="14"/>
      <c r="BB634" s="14"/>
    </row>
    <row r="635" ht="15.75" customHeight="1">
      <c r="B635" s="146"/>
      <c r="F635" s="13"/>
      <c r="K635" s="13"/>
      <c r="P635" s="13"/>
      <c r="Q635" s="13"/>
      <c r="R635" s="13"/>
      <c r="U635" s="13"/>
      <c r="W635" s="13"/>
      <c r="X635" s="13"/>
      <c r="Z635" s="13"/>
      <c r="AB635" s="13"/>
      <c r="AC635" s="13"/>
      <c r="AE635" s="13"/>
      <c r="AF635" s="13"/>
      <c r="AG635" s="13"/>
      <c r="AH635" s="13"/>
      <c r="AZ635" s="14"/>
      <c r="BA635" s="14"/>
      <c r="BB635" s="14"/>
    </row>
    <row r="636" ht="15.75" customHeight="1">
      <c r="B636" s="146"/>
      <c r="F636" s="13"/>
      <c r="K636" s="13"/>
      <c r="P636" s="13"/>
      <c r="Q636" s="13"/>
      <c r="R636" s="13"/>
      <c r="U636" s="13"/>
      <c r="W636" s="13"/>
      <c r="X636" s="13"/>
      <c r="Z636" s="13"/>
      <c r="AB636" s="13"/>
      <c r="AC636" s="13"/>
      <c r="AE636" s="13"/>
      <c r="AF636" s="13"/>
      <c r="AG636" s="13"/>
      <c r="AH636" s="13"/>
      <c r="AZ636" s="14"/>
      <c r="BA636" s="14"/>
      <c r="BB636" s="14"/>
    </row>
    <row r="637" ht="15.75" customHeight="1">
      <c r="B637" s="146"/>
      <c r="F637" s="13"/>
      <c r="K637" s="13"/>
      <c r="P637" s="13"/>
      <c r="Q637" s="13"/>
      <c r="R637" s="13"/>
      <c r="U637" s="13"/>
      <c r="W637" s="13"/>
      <c r="X637" s="13"/>
      <c r="Z637" s="13"/>
      <c r="AB637" s="13"/>
      <c r="AC637" s="13"/>
      <c r="AE637" s="13"/>
      <c r="AF637" s="13"/>
      <c r="AG637" s="13"/>
      <c r="AH637" s="13"/>
      <c r="AZ637" s="14"/>
      <c r="BA637" s="14"/>
      <c r="BB637" s="14"/>
    </row>
    <row r="638" ht="15.75" customHeight="1">
      <c r="B638" s="146"/>
      <c r="F638" s="13"/>
      <c r="K638" s="13"/>
      <c r="P638" s="13"/>
      <c r="Q638" s="13"/>
      <c r="R638" s="13"/>
      <c r="U638" s="13"/>
      <c r="W638" s="13"/>
      <c r="X638" s="13"/>
      <c r="Z638" s="13"/>
      <c r="AB638" s="13"/>
      <c r="AC638" s="13"/>
      <c r="AE638" s="13"/>
      <c r="AF638" s="13"/>
      <c r="AG638" s="13"/>
      <c r="AH638" s="13"/>
      <c r="AZ638" s="14"/>
      <c r="BA638" s="14"/>
      <c r="BB638" s="14"/>
    </row>
    <row r="639" ht="15.75" customHeight="1">
      <c r="B639" s="146"/>
      <c r="F639" s="13"/>
      <c r="K639" s="13"/>
      <c r="P639" s="13"/>
      <c r="Q639" s="13"/>
      <c r="R639" s="13"/>
      <c r="U639" s="13"/>
      <c r="W639" s="13"/>
      <c r="X639" s="13"/>
      <c r="Z639" s="13"/>
      <c r="AB639" s="13"/>
      <c r="AC639" s="13"/>
      <c r="AE639" s="13"/>
      <c r="AF639" s="13"/>
      <c r="AG639" s="13"/>
      <c r="AH639" s="13"/>
      <c r="AZ639" s="14"/>
      <c r="BA639" s="14"/>
      <c r="BB639" s="14"/>
    </row>
    <row r="640" ht="15.75" customHeight="1">
      <c r="B640" s="146"/>
      <c r="F640" s="13"/>
      <c r="K640" s="13"/>
      <c r="P640" s="13"/>
      <c r="Q640" s="13"/>
      <c r="R640" s="13"/>
      <c r="U640" s="13"/>
      <c r="W640" s="13"/>
      <c r="X640" s="13"/>
      <c r="Z640" s="13"/>
      <c r="AB640" s="13"/>
      <c r="AC640" s="13"/>
      <c r="AE640" s="13"/>
      <c r="AF640" s="13"/>
      <c r="AG640" s="13"/>
      <c r="AH640" s="13"/>
      <c r="AZ640" s="14"/>
      <c r="BA640" s="14"/>
      <c r="BB640" s="14"/>
    </row>
    <row r="641" ht="15.75" customHeight="1">
      <c r="B641" s="146"/>
      <c r="F641" s="13"/>
      <c r="K641" s="13"/>
      <c r="P641" s="13"/>
      <c r="Q641" s="13"/>
      <c r="R641" s="13"/>
      <c r="U641" s="13"/>
      <c r="W641" s="13"/>
      <c r="X641" s="13"/>
      <c r="Z641" s="13"/>
      <c r="AB641" s="13"/>
      <c r="AC641" s="13"/>
      <c r="AE641" s="13"/>
      <c r="AF641" s="13"/>
      <c r="AG641" s="13"/>
      <c r="AH641" s="13"/>
      <c r="AZ641" s="14"/>
      <c r="BA641" s="14"/>
      <c r="BB641" s="14"/>
    </row>
    <row r="642" ht="15.75" customHeight="1">
      <c r="B642" s="146"/>
      <c r="F642" s="13"/>
      <c r="K642" s="13"/>
      <c r="P642" s="13"/>
      <c r="Q642" s="13"/>
      <c r="R642" s="13"/>
      <c r="U642" s="13"/>
      <c r="W642" s="13"/>
      <c r="X642" s="13"/>
      <c r="Z642" s="13"/>
      <c r="AB642" s="13"/>
      <c r="AC642" s="13"/>
      <c r="AE642" s="13"/>
      <c r="AF642" s="13"/>
      <c r="AG642" s="13"/>
      <c r="AH642" s="13"/>
      <c r="AZ642" s="14"/>
      <c r="BA642" s="14"/>
      <c r="BB642" s="14"/>
    </row>
    <row r="643" ht="15.75" customHeight="1">
      <c r="B643" s="146"/>
      <c r="F643" s="13"/>
      <c r="K643" s="13"/>
      <c r="P643" s="13"/>
      <c r="Q643" s="13"/>
      <c r="R643" s="13"/>
      <c r="U643" s="13"/>
      <c r="W643" s="13"/>
      <c r="X643" s="13"/>
      <c r="Z643" s="13"/>
      <c r="AB643" s="13"/>
      <c r="AC643" s="13"/>
      <c r="AE643" s="13"/>
      <c r="AF643" s="13"/>
      <c r="AG643" s="13"/>
      <c r="AH643" s="13"/>
      <c r="AZ643" s="14"/>
      <c r="BA643" s="14"/>
      <c r="BB643" s="14"/>
    </row>
    <row r="644" ht="15.75" customHeight="1">
      <c r="B644" s="146"/>
      <c r="F644" s="13"/>
      <c r="K644" s="13"/>
      <c r="P644" s="13"/>
      <c r="Q644" s="13"/>
      <c r="R644" s="13"/>
      <c r="U644" s="13"/>
      <c r="W644" s="13"/>
      <c r="X644" s="13"/>
      <c r="Z644" s="13"/>
      <c r="AB644" s="13"/>
      <c r="AC644" s="13"/>
      <c r="AE644" s="13"/>
      <c r="AF644" s="13"/>
      <c r="AG644" s="13"/>
      <c r="AH644" s="13"/>
      <c r="AZ644" s="14"/>
      <c r="BA644" s="14"/>
      <c r="BB644" s="14"/>
    </row>
    <row r="645" ht="15.75" customHeight="1">
      <c r="B645" s="146"/>
      <c r="F645" s="13"/>
      <c r="K645" s="13"/>
      <c r="P645" s="13"/>
      <c r="Q645" s="13"/>
      <c r="R645" s="13"/>
      <c r="U645" s="13"/>
      <c r="W645" s="13"/>
      <c r="X645" s="13"/>
      <c r="Z645" s="13"/>
      <c r="AB645" s="13"/>
      <c r="AC645" s="13"/>
      <c r="AE645" s="13"/>
      <c r="AF645" s="13"/>
      <c r="AG645" s="13"/>
      <c r="AH645" s="13"/>
      <c r="AZ645" s="14"/>
      <c r="BA645" s="14"/>
      <c r="BB645" s="14"/>
    </row>
    <row r="646" ht="15.75" customHeight="1">
      <c r="B646" s="146"/>
      <c r="F646" s="13"/>
      <c r="K646" s="13"/>
      <c r="P646" s="13"/>
      <c r="Q646" s="13"/>
      <c r="R646" s="13"/>
      <c r="U646" s="13"/>
      <c r="W646" s="13"/>
      <c r="X646" s="13"/>
      <c r="Z646" s="13"/>
      <c r="AB646" s="13"/>
      <c r="AC646" s="13"/>
      <c r="AE646" s="13"/>
      <c r="AF646" s="13"/>
      <c r="AG646" s="13"/>
      <c r="AH646" s="13"/>
      <c r="AZ646" s="14"/>
      <c r="BA646" s="14"/>
      <c r="BB646" s="14"/>
    </row>
    <row r="647" ht="15.75" customHeight="1">
      <c r="B647" s="146"/>
      <c r="F647" s="13"/>
      <c r="K647" s="13"/>
      <c r="P647" s="13"/>
      <c r="Q647" s="13"/>
      <c r="R647" s="13"/>
      <c r="U647" s="13"/>
      <c r="W647" s="13"/>
      <c r="X647" s="13"/>
      <c r="Z647" s="13"/>
      <c r="AB647" s="13"/>
      <c r="AC647" s="13"/>
      <c r="AE647" s="13"/>
      <c r="AF647" s="13"/>
      <c r="AG647" s="13"/>
      <c r="AH647" s="13"/>
      <c r="AZ647" s="14"/>
      <c r="BA647" s="14"/>
      <c r="BB647" s="14"/>
    </row>
    <row r="648" ht="15.75" customHeight="1">
      <c r="B648" s="146"/>
      <c r="F648" s="13"/>
      <c r="K648" s="13"/>
      <c r="P648" s="13"/>
      <c r="Q648" s="13"/>
      <c r="R648" s="13"/>
      <c r="U648" s="13"/>
      <c r="W648" s="13"/>
      <c r="X648" s="13"/>
      <c r="Z648" s="13"/>
      <c r="AB648" s="13"/>
      <c r="AC648" s="13"/>
      <c r="AE648" s="13"/>
      <c r="AF648" s="13"/>
      <c r="AG648" s="13"/>
      <c r="AH648" s="13"/>
      <c r="AZ648" s="14"/>
      <c r="BA648" s="14"/>
      <c r="BB648" s="14"/>
    </row>
    <row r="649" ht="15.75" customHeight="1">
      <c r="B649" s="146"/>
      <c r="F649" s="13"/>
      <c r="K649" s="13"/>
      <c r="P649" s="13"/>
      <c r="Q649" s="13"/>
      <c r="R649" s="13"/>
      <c r="U649" s="13"/>
      <c r="W649" s="13"/>
      <c r="X649" s="13"/>
      <c r="Z649" s="13"/>
      <c r="AB649" s="13"/>
      <c r="AC649" s="13"/>
      <c r="AE649" s="13"/>
      <c r="AF649" s="13"/>
      <c r="AG649" s="13"/>
      <c r="AH649" s="13"/>
      <c r="AZ649" s="14"/>
      <c r="BA649" s="14"/>
      <c r="BB649" s="14"/>
    </row>
    <row r="650" ht="15.75" customHeight="1">
      <c r="B650" s="146"/>
      <c r="F650" s="13"/>
      <c r="K650" s="13"/>
      <c r="P650" s="13"/>
      <c r="Q650" s="13"/>
      <c r="R650" s="13"/>
      <c r="U650" s="13"/>
      <c r="W650" s="13"/>
      <c r="X650" s="13"/>
      <c r="Z650" s="13"/>
      <c r="AB650" s="13"/>
      <c r="AC650" s="13"/>
      <c r="AE650" s="13"/>
      <c r="AF650" s="13"/>
      <c r="AG650" s="13"/>
      <c r="AH650" s="13"/>
      <c r="AZ650" s="14"/>
      <c r="BA650" s="14"/>
      <c r="BB650" s="14"/>
    </row>
    <row r="651" ht="15.75" customHeight="1">
      <c r="B651" s="146"/>
      <c r="F651" s="13"/>
      <c r="K651" s="13"/>
      <c r="P651" s="13"/>
      <c r="Q651" s="13"/>
      <c r="R651" s="13"/>
      <c r="U651" s="13"/>
      <c r="W651" s="13"/>
      <c r="X651" s="13"/>
      <c r="Z651" s="13"/>
      <c r="AB651" s="13"/>
      <c r="AC651" s="13"/>
      <c r="AE651" s="13"/>
      <c r="AF651" s="13"/>
      <c r="AG651" s="13"/>
      <c r="AH651" s="13"/>
      <c r="AZ651" s="14"/>
      <c r="BA651" s="14"/>
      <c r="BB651" s="14"/>
    </row>
    <row r="652" ht="15.75" customHeight="1">
      <c r="B652" s="146"/>
      <c r="F652" s="13"/>
      <c r="K652" s="13"/>
      <c r="P652" s="13"/>
      <c r="Q652" s="13"/>
      <c r="R652" s="13"/>
      <c r="U652" s="13"/>
      <c r="W652" s="13"/>
      <c r="X652" s="13"/>
      <c r="Z652" s="13"/>
      <c r="AB652" s="13"/>
      <c r="AC652" s="13"/>
      <c r="AE652" s="13"/>
      <c r="AF652" s="13"/>
      <c r="AG652" s="13"/>
      <c r="AH652" s="13"/>
      <c r="AZ652" s="14"/>
      <c r="BA652" s="14"/>
      <c r="BB652" s="14"/>
    </row>
    <row r="653" ht="15.75" customHeight="1">
      <c r="B653" s="146"/>
      <c r="F653" s="13"/>
      <c r="K653" s="13"/>
      <c r="P653" s="13"/>
      <c r="Q653" s="13"/>
      <c r="R653" s="13"/>
      <c r="U653" s="13"/>
      <c r="W653" s="13"/>
      <c r="X653" s="13"/>
      <c r="Z653" s="13"/>
      <c r="AB653" s="13"/>
      <c r="AC653" s="13"/>
      <c r="AE653" s="13"/>
      <c r="AF653" s="13"/>
      <c r="AG653" s="13"/>
      <c r="AH653" s="13"/>
      <c r="AZ653" s="14"/>
      <c r="BA653" s="14"/>
      <c r="BB653" s="14"/>
    </row>
    <row r="654" ht="15.75" customHeight="1">
      <c r="B654" s="146"/>
      <c r="F654" s="13"/>
      <c r="K654" s="13"/>
      <c r="P654" s="13"/>
      <c r="Q654" s="13"/>
      <c r="R654" s="13"/>
      <c r="U654" s="13"/>
      <c r="W654" s="13"/>
      <c r="X654" s="13"/>
      <c r="Z654" s="13"/>
      <c r="AB654" s="13"/>
      <c r="AC654" s="13"/>
      <c r="AE654" s="13"/>
      <c r="AF654" s="13"/>
      <c r="AG654" s="13"/>
      <c r="AH654" s="13"/>
      <c r="AZ654" s="14"/>
      <c r="BA654" s="14"/>
      <c r="BB654" s="14"/>
    </row>
    <row r="655" ht="15.75" customHeight="1">
      <c r="B655" s="146"/>
      <c r="F655" s="13"/>
      <c r="K655" s="13"/>
      <c r="P655" s="13"/>
      <c r="Q655" s="13"/>
      <c r="R655" s="13"/>
      <c r="U655" s="13"/>
      <c r="W655" s="13"/>
      <c r="X655" s="13"/>
      <c r="Z655" s="13"/>
      <c r="AB655" s="13"/>
      <c r="AC655" s="13"/>
      <c r="AE655" s="13"/>
      <c r="AF655" s="13"/>
      <c r="AG655" s="13"/>
      <c r="AH655" s="13"/>
      <c r="AZ655" s="14"/>
      <c r="BA655" s="14"/>
      <c r="BB655" s="14"/>
    </row>
    <row r="656" ht="15.75" customHeight="1">
      <c r="B656" s="146"/>
      <c r="F656" s="13"/>
      <c r="K656" s="13"/>
      <c r="P656" s="13"/>
      <c r="Q656" s="13"/>
      <c r="R656" s="13"/>
      <c r="U656" s="13"/>
      <c r="W656" s="13"/>
      <c r="X656" s="13"/>
      <c r="Z656" s="13"/>
      <c r="AB656" s="13"/>
      <c r="AC656" s="13"/>
      <c r="AE656" s="13"/>
      <c r="AF656" s="13"/>
      <c r="AG656" s="13"/>
      <c r="AH656" s="13"/>
      <c r="AZ656" s="14"/>
      <c r="BA656" s="14"/>
      <c r="BB656" s="14"/>
    </row>
    <row r="657" ht="15.75" customHeight="1">
      <c r="B657" s="146"/>
      <c r="F657" s="13"/>
      <c r="K657" s="13"/>
      <c r="P657" s="13"/>
      <c r="Q657" s="13"/>
      <c r="R657" s="13"/>
      <c r="U657" s="13"/>
      <c r="W657" s="13"/>
      <c r="X657" s="13"/>
      <c r="Z657" s="13"/>
      <c r="AB657" s="13"/>
      <c r="AC657" s="13"/>
      <c r="AE657" s="13"/>
      <c r="AF657" s="13"/>
      <c r="AG657" s="13"/>
      <c r="AH657" s="13"/>
      <c r="AZ657" s="14"/>
      <c r="BA657" s="14"/>
      <c r="BB657" s="14"/>
    </row>
    <row r="658" ht="15.75" customHeight="1">
      <c r="B658" s="146"/>
      <c r="F658" s="13"/>
      <c r="K658" s="13"/>
      <c r="P658" s="13"/>
      <c r="Q658" s="13"/>
      <c r="R658" s="13"/>
      <c r="U658" s="13"/>
      <c r="W658" s="13"/>
      <c r="X658" s="13"/>
      <c r="Z658" s="13"/>
      <c r="AB658" s="13"/>
      <c r="AC658" s="13"/>
      <c r="AE658" s="13"/>
      <c r="AF658" s="13"/>
      <c r="AG658" s="13"/>
      <c r="AH658" s="13"/>
      <c r="AZ658" s="14"/>
      <c r="BA658" s="14"/>
      <c r="BB658" s="14"/>
    </row>
    <row r="659" ht="15.75" customHeight="1">
      <c r="B659" s="146"/>
      <c r="F659" s="13"/>
      <c r="K659" s="13"/>
      <c r="P659" s="13"/>
      <c r="Q659" s="13"/>
      <c r="R659" s="13"/>
      <c r="U659" s="13"/>
      <c r="W659" s="13"/>
      <c r="X659" s="13"/>
      <c r="Z659" s="13"/>
      <c r="AB659" s="13"/>
      <c r="AC659" s="13"/>
      <c r="AE659" s="13"/>
      <c r="AF659" s="13"/>
      <c r="AG659" s="13"/>
      <c r="AH659" s="13"/>
      <c r="AZ659" s="14"/>
      <c r="BA659" s="14"/>
      <c r="BB659" s="14"/>
    </row>
    <row r="660" ht="15.75" customHeight="1">
      <c r="B660" s="146"/>
      <c r="F660" s="13"/>
      <c r="K660" s="13"/>
      <c r="P660" s="13"/>
      <c r="Q660" s="13"/>
      <c r="R660" s="13"/>
      <c r="U660" s="13"/>
      <c r="W660" s="13"/>
      <c r="X660" s="13"/>
      <c r="Z660" s="13"/>
      <c r="AB660" s="13"/>
      <c r="AC660" s="13"/>
      <c r="AE660" s="13"/>
      <c r="AF660" s="13"/>
      <c r="AG660" s="13"/>
      <c r="AH660" s="13"/>
      <c r="AZ660" s="14"/>
      <c r="BA660" s="14"/>
      <c r="BB660" s="14"/>
    </row>
    <row r="661" ht="15.75" customHeight="1">
      <c r="B661" s="146"/>
      <c r="F661" s="13"/>
      <c r="K661" s="13"/>
      <c r="P661" s="13"/>
      <c r="Q661" s="13"/>
      <c r="R661" s="13"/>
      <c r="U661" s="13"/>
      <c r="W661" s="13"/>
      <c r="X661" s="13"/>
      <c r="Z661" s="13"/>
      <c r="AB661" s="13"/>
      <c r="AC661" s="13"/>
      <c r="AE661" s="13"/>
      <c r="AF661" s="13"/>
      <c r="AG661" s="13"/>
      <c r="AH661" s="13"/>
      <c r="AZ661" s="14"/>
      <c r="BA661" s="14"/>
      <c r="BB661" s="14"/>
    </row>
    <row r="662" ht="15.75" customHeight="1">
      <c r="B662" s="146"/>
      <c r="F662" s="13"/>
      <c r="K662" s="13"/>
      <c r="P662" s="13"/>
      <c r="Q662" s="13"/>
      <c r="R662" s="13"/>
      <c r="U662" s="13"/>
      <c r="W662" s="13"/>
      <c r="X662" s="13"/>
      <c r="Z662" s="13"/>
      <c r="AB662" s="13"/>
      <c r="AC662" s="13"/>
      <c r="AE662" s="13"/>
      <c r="AF662" s="13"/>
      <c r="AG662" s="13"/>
      <c r="AH662" s="13"/>
      <c r="AZ662" s="14"/>
      <c r="BA662" s="14"/>
      <c r="BB662" s="14"/>
    </row>
    <row r="663" ht="15.75" customHeight="1">
      <c r="B663" s="146"/>
      <c r="F663" s="13"/>
      <c r="K663" s="13"/>
      <c r="P663" s="13"/>
      <c r="Q663" s="13"/>
      <c r="R663" s="13"/>
      <c r="U663" s="13"/>
      <c r="W663" s="13"/>
      <c r="X663" s="13"/>
      <c r="Z663" s="13"/>
      <c r="AB663" s="13"/>
      <c r="AC663" s="13"/>
      <c r="AE663" s="13"/>
      <c r="AF663" s="13"/>
      <c r="AG663" s="13"/>
      <c r="AH663" s="13"/>
      <c r="AZ663" s="14"/>
      <c r="BA663" s="14"/>
      <c r="BB663" s="14"/>
    </row>
    <row r="664" ht="15.75" customHeight="1">
      <c r="B664" s="146"/>
      <c r="F664" s="13"/>
      <c r="K664" s="13"/>
      <c r="P664" s="13"/>
      <c r="Q664" s="13"/>
      <c r="R664" s="13"/>
      <c r="U664" s="13"/>
      <c r="W664" s="13"/>
      <c r="X664" s="13"/>
      <c r="Z664" s="13"/>
      <c r="AB664" s="13"/>
      <c r="AC664" s="13"/>
      <c r="AE664" s="13"/>
      <c r="AF664" s="13"/>
      <c r="AG664" s="13"/>
      <c r="AH664" s="13"/>
      <c r="AZ664" s="14"/>
      <c r="BA664" s="14"/>
      <c r="BB664" s="14"/>
    </row>
    <row r="665" ht="15.75" customHeight="1">
      <c r="B665" s="146"/>
      <c r="F665" s="13"/>
      <c r="K665" s="13"/>
      <c r="P665" s="13"/>
      <c r="Q665" s="13"/>
      <c r="R665" s="13"/>
      <c r="U665" s="13"/>
      <c r="W665" s="13"/>
      <c r="X665" s="13"/>
      <c r="Z665" s="13"/>
      <c r="AB665" s="13"/>
      <c r="AC665" s="13"/>
      <c r="AE665" s="13"/>
      <c r="AF665" s="13"/>
      <c r="AG665" s="13"/>
      <c r="AH665" s="13"/>
      <c r="AZ665" s="14"/>
      <c r="BA665" s="14"/>
      <c r="BB665" s="14"/>
    </row>
    <row r="666" ht="15.75" customHeight="1">
      <c r="B666" s="146"/>
      <c r="F666" s="13"/>
      <c r="K666" s="13"/>
      <c r="P666" s="13"/>
      <c r="Q666" s="13"/>
      <c r="R666" s="13"/>
      <c r="U666" s="13"/>
      <c r="W666" s="13"/>
      <c r="X666" s="13"/>
      <c r="Z666" s="13"/>
      <c r="AB666" s="13"/>
      <c r="AC666" s="13"/>
      <c r="AE666" s="13"/>
      <c r="AF666" s="13"/>
      <c r="AG666" s="13"/>
      <c r="AH666" s="13"/>
      <c r="AZ666" s="14"/>
      <c r="BA666" s="14"/>
      <c r="BB666" s="14"/>
    </row>
    <row r="667" ht="15.75" customHeight="1">
      <c r="B667" s="146"/>
      <c r="F667" s="13"/>
      <c r="K667" s="13"/>
      <c r="P667" s="13"/>
      <c r="Q667" s="13"/>
      <c r="R667" s="13"/>
      <c r="U667" s="13"/>
      <c r="W667" s="13"/>
      <c r="X667" s="13"/>
      <c r="Z667" s="13"/>
      <c r="AB667" s="13"/>
      <c r="AC667" s="13"/>
      <c r="AE667" s="13"/>
      <c r="AF667" s="13"/>
      <c r="AG667" s="13"/>
      <c r="AH667" s="13"/>
      <c r="AZ667" s="14"/>
      <c r="BA667" s="14"/>
      <c r="BB667" s="14"/>
    </row>
    <row r="668" ht="15.75" customHeight="1">
      <c r="B668" s="146"/>
      <c r="F668" s="13"/>
      <c r="K668" s="13"/>
      <c r="P668" s="13"/>
      <c r="Q668" s="13"/>
      <c r="R668" s="13"/>
      <c r="U668" s="13"/>
      <c r="W668" s="13"/>
      <c r="X668" s="13"/>
      <c r="Z668" s="13"/>
      <c r="AB668" s="13"/>
      <c r="AC668" s="13"/>
      <c r="AE668" s="13"/>
      <c r="AF668" s="13"/>
      <c r="AG668" s="13"/>
      <c r="AH668" s="13"/>
      <c r="AZ668" s="14"/>
      <c r="BA668" s="14"/>
      <c r="BB668" s="14"/>
    </row>
    <row r="669" ht="15.75" customHeight="1">
      <c r="B669" s="146"/>
      <c r="F669" s="13"/>
      <c r="K669" s="13"/>
      <c r="P669" s="13"/>
      <c r="Q669" s="13"/>
      <c r="R669" s="13"/>
      <c r="U669" s="13"/>
      <c r="W669" s="13"/>
      <c r="X669" s="13"/>
      <c r="Z669" s="13"/>
      <c r="AB669" s="13"/>
      <c r="AC669" s="13"/>
      <c r="AE669" s="13"/>
      <c r="AF669" s="13"/>
      <c r="AG669" s="13"/>
      <c r="AH669" s="13"/>
      <c r="AZ669" s="14"/>
      <c r="BA669" s="14"/>
      <c r="BB669" s="14"/>
    </row>
    <row r="670" ht="15.75" customHeight="1">
      <c r="B670" s="146"/>
      <c r="F670" s="13"/>
      <c r="K670" s="13"/>
      <c r="P670" s="13"/>
      <c r="Q670" s="13"/>
      <c r="R670" s="13"/>
      <c r="U670" s="13"/>
      <c r="W670" s="13"/>
      <c r="X670" s="13"/>
      <c r="Z670" s="13"/>
      <c r="AB670" s="13"/>
      <c r="AC670" s="13"/>
      <c r="AE670" s="13"/>
      <c r="AF670" s="13"/>
      <c r="AG670" s="13"/>
      <c r="AH670" s="13"/>
      <c r="AZ670" s="14"/>
      <c r="BA670" s="14"/>
      <c r="BB670" s="14"/>
    </row>
    <row r="671" ht="15.75" customHeight="1">
      <c r="B671" s="146"/>
      <c r="F671" s="13"/>
      <c r="K671" s="13"/>
      <c r="P671" s="13"/>
      <c r="Q671" s="13"/>
      <c r="R671" s="13"/>
      <c r="U671" s="13"/>
      <c r="W671" s="13"/>
      <c r="X671" s="13"/>
      <c r="Z671" s="13"/>
      <c r="AB671" s="13"/>
      <c r="AC671" s="13"/>
      <c r="AE671" s="13"/>
      <c r="AF671" s="13"/>
      <c r="AG671" s="13"/>
      <c r="AH671" s="13"/>
      <c r="AZ671" s="14"/>
      <c r="BA671" s="14"/>
      <c r="BB671" s="14"/>
    </row>
    <row r="672" ht="15.75" customHeight="1">
      <c r="B672" s="146"/>
      <c r="F672" s="13"/>
      <c r="K672" s="13"/>
      <c r="P672" s="13"/>
      <c r="Q672" s="13"/>
      <c r="R672" s="13"/>
      <c r="U672" s="13"/>
      <c r="W672" s="13"/>
      <c r="X672" s="13"/>
      <c r="Z672" s="13"/>
      <c r="AB672" s="13"/>
      <c r="AC672" s="13"/>
      <c r="AE672" s="13"/>
      <c r="AF672" s="13"/>
      <c r="AG672" s="13"/>
      <c r="AH672" s="13"/>
      <c r="AZ672" s="14"/>
      <c r="BA672" s="14"/>
      <c r="BB672" s="14"/>
    </row>
    <row r="673" ht="15.75" customHeight="1">
      <c r="B673" s="146"/>
      <c r="F673" s="13"/>
      <c r="K673" s="13"/>
      <c r="P673" s="13"/>
      <c r="Q673" s="13"/>
      <c r="R673" s="13"/>
      <c r="U673" s="13"/>
      <c r="W673" s="13"/>
      <c r="X673" s="13"/>
      <c r="Z673" s="13"/>
      <c r="AB673" s="13"/>
      <c r="AC673" s="13"/>
      <c r="AE673" s="13"/>
      <c r="AF673" s="13"/>
      <c r="AG673" s="13"/>
      <c r="AH673" s="13"/>
      <c r="AZ673" s="14"/>
      <c r="BA673" s="14"/>
      <c r="BB673" s="14"/>
    </row>
    <row r="674" ht="15.75" customHeight="1">
      <c r="B674" s="146"/>
      <c r="F674" s="13"/>
      <c r="K674" s="13"/>
      <c r="P674" s="13"/>
      <c r="Q674" s="13"/>
      <c r="R674" s="13"/>
      <c r="U674" s="13"/>
      <c r="W674" s="13"/>
      <c r="X674" s="13"/>
      <c r="Z674" s="13"/>
      <c r="AB674" s="13"/>
      <c r="AC674" s="13"/>
      <c r="AE674" s="13"/>
      <c r="AF674" s="13"/>
      <c r="AG674" s="13"/>
      <c r="AH674" s="13"/>
      <c r="AZ674" s="14"/>
      <c r="BA674" s="14"/>
      <c r="BB674" s="14"/>
    </row>
    <row r="675" ht="15.75" customHeight="1">
      <c r="B675" s="146"/>
      <c r="F675" s="13"/>
      <c r="K675" s="13"/>
      <c r="P675" s="13"/>
      <c r="Q675" s="13"/>
      <c r="R675" s="13"/>
      <c r="U675" s="13"/>
      <c r="W675" s="13"/>
      <c r="X675" s="13"/>
      <c r="Z675" s="13"/>
      <c r="AB675" s="13"/>
      <c r="AC675" s="13"/>
      <c r="AE675" s="13"/>
      <c r="AF675" s="13"/>
      <c r="AG675" s="13"/>
      <c r="AH675" s="13"/>
      <c r="AZ675" s="14"/>
      <c r="BA675" s="14"/>
      <c r="BB675" s="14"/>
    </row>
    <row r="676" ht="15.75" customHeight="1">
      <c r="B676" s="146"/>
      <c r="F676" s="13"/>
      <c r="K676" s="13"/>
      <c r="P676" s="13"/>
      <c r="Q676" s="13"/>
      <c r="R676" s="13"/>
      <c r="U676" s="13"/>
      <c r="W676" s="13"/>
      <c r="X676" s="13"/>
      <c r="Z676" s="13"/>
      <c r="AB676" s="13"/>
      <c r="AC676" s="13"/>
      <c r="AE676" s="13"/>
      <c r="AF676" s="13"/>
      <c r="AG676" s="13"/>
      <c r="AH676" s="13"/>
      <c r="AZ676" s="14"/>
      <c r="BA676" s="14"/>
      <c r="BB676" s="14"/>
    </row>
    <row r="677" ht="15.75" customHeight="1">
      <c r="B677" s="146"/>
      <c r="F677" s="13"/>
      <c r="K677" s="13"/>
      <c r="P677" s="13"/>
      <c r="Q677" s="13"/>
      <c r="R677" s="13"/>
      <c r="U677" s="13"/>
      <c r="W677" s="13"/>
      <c r="X677" s="13"/>
      <c r="Z677" s="13"/>
      <c r="AB677" s="13"/>
      <c r="AC677" s="13"/>
      <c r="AE677" s="13"/>
      <c r="AF677" s="13"/>
      <c r="AG677" s="13"/>
      <c r="AH677" s="13"/>
      <c r="AZ677" s="14"/>
      <c r="BA677" s="14"/>
      <c r="BB677" s="14"/>
    </row>
    <row r="678" ht="15.75" customHeight="1">
      <c r="B678" s="146"/>
      <c r="F678" s="13"/>
      <c r="K678" s="13"/>
      <c r="P678" s="13"/>
      <c r="Q678" s="13"/>
      <c r="R678" s="13"/>
      <c r="U678" s="13"/>
      <c r="W678" s="13"/>
      <c r="X678" s="13"/>
      <c r="Z678" s="13"/>
      <c r="AB678" s="13"/>
      <c r="AC678" s="13"/>
      <c r="AE678" s="13"/>
      <c r="AF678" s="13"/>
      <c r="AG678" s="13"/>
      <c r="AH678" s="13"/>
      <c r="AZ678" s="14"/>
      <c r="BA678" s="14"/>
      <c r="BB678" s="14"/>
    </row>
    <row r="679" ht="15.75" customHeight="1">
      <c r="B679" s="146"/>
      <c r="F679" s="13"/>
      <c r="K679" s="13"/>
      <c r="P679" s="13"/>
      <c r="Q679" s="13"/>
      <c r="R679" s="13"/>
      <c r="U679" s="13"/>
      <c r="W679" s="13"/>
      <c r="X679" s="13"/>
      <c r="Z679" s="13"/>
      <c r="AB679" s="13"/>
      <c r="AC679" s="13"/>
      <c r="AE679" s="13"/>
      <c r="AF679" s="13"/>
      <c r="AG679" s="13"/>
      <c r="AH679" s="13"/>
      <c r="AZ679" s="14"/>
      <c r="BA679" s="14"/>
      <c r="BB679" s="14"/>
    </row>
    <row r="680" ht="15.75" customHeight="1">
      <c r="B680" s="146"/>
      <c r="F680" s="13"/>
      <c r="K680" s="13"/>
      <c r="P680" s="13"/>
      <c r="Q680" s="13"/>
      <c r="R680" s="13"/>
      <c r="U680" s="13"/>
      <c r="W680" s="13"/>
      <c r="X680" s="13"/>
      <c r="Z680" s="13"/>
      <c r="AB680" s="13"/>
      <c r="AC680" s="13"/>
      <c r="AE680" s="13"/>
      <c r="AF680" s="13"/>
      <c r="AG680" s="13"/>
      <c r="AH680" s="13"/>
      <c r="AZ680" s="14"/>
      <c r="BA680" s="14"/>
      <c r="BB680" s="14"/>
    </row>
    <row r="681" ht="15.75" customHeight="1">
      <c r="B681" s="146"/>
      <c r="F681" s="13"/>
      <c r="K681" s="13"/>
      <c r="P681" s="13"/>
      <c r="Q681" s="13"/>
      <c r="R681" s="13"/>
      <c r="U681" s="13"/>
      <c r="W681" s="13"/>
      <c r="X681" s="13"/>
      <c r="Z681" s="13"/>
      <c r="AB681" s="13"/>
      <c r="AC681" s="13"/>
      <c r="AE681" s="13"/>
      <c r="AF681" s="13"/>
      <c r="AG681" s="13"/>
      <c r="AH681" s="13"/>
      <c r="AZ681" s="14"/>
      <c r="BA681" s="14"/>
      <c r="BB681" s="14"/>
    </row>
    <row r="682" ht="15.75" customHeight="1">
      <c r="B682" s="146"/>
      <c r="F682" s="13"/>
      <c r="K682" s="13"/>
      <c r="P682" s="13"/>
      <c r="Q682" s="13"/>
      <c r="R682" s="13"/>
      <c r="U682" s="13"/>
      <c r="W682" s="13"/>
      <c r="X682" s="13"/>
      <c r="Z682" s="13"/>
      <c r="AB682" s="13"/>
      <c r="AC682" s="13"/>
      <c r="AE682" s="13"/>
      <c r="AF682" s="13"/>
      <c r="AG682" s="13"/>
      <c r="AH682" s="13"/>
      <c r="AZ682" s="14"/>
      <c r="BA682" s="14"/>
      <c r="BB682" s="14"/>
    </row>
    <row r="683" ht="15.75" customHeight="1">
      <c r="B683" s="146"/>
      <c r="F683" s="13"/>
      <c r="K683" s="13"/>
      <c r="P683" s="13"/>
      <c r="Q683" s="13"/>
      <c r="R683" s="13"/>
      <c r="U683" s="13"/>
      <c r="W683" s="13"/>
      <c r="X683" s="13"/>
      <c r="Z683" s="13"/>
      <c r="AB683" s="13"/>
      <c r="AC683" s="13"/>
      <c r="AE683" s="13"/>
      <c r="AF683" s="13"/>
      <c r="AG683" s="13"/>
      <c r="AH683" s="13"/>
      <c r="AZ683" s="14"/>
      <c r="BA683" s="14"/>
      <c r="BB683" s="14"/>
    </row>
    <row r="684" ht="15.75" customHeight="1">
      <c r="B684" s="146"/>
      <c r="F684" s="13"/>
      <c r="K684" s="13"/>
      <c r="P684" s="13"/>
      <c r="Q684" s="13"/>
      <c r="R684" s="13"/>
      <c r="U684" s="13"/>
      <c r="W684" s="13"/>
      <c r="X684" s="13"/>
      <c r="Z684" s="13"/>
      <c r="AB684" s="13"/>
      <c r="AC684" s="13"/>
      <c r="AE684" s="13"/>
      <c r="AF684" s="13"/>
      <c r="AG684" s="13"/>
      <c r="AH684" s="13"/>
      <c r="AZ684" s="14"/>
      <c r="BA684" s="14"/>
      <c r="BB684" s="14"/>
    </row>
    <row r="685" ht="15.75" customHeight="1">
      <c r="B685" s="146"/>
      <c r="F685" s="13"/>
      <c r="K685" s="13"/>
      <c r="P685" s="13"/>
      <c r="Q685" s="13"/>
      <c r="R685" s="13"/>
      <c r="U685" s="13"/>
      <c r="W685" s="13"/>
      <c r="X685" s="13"/>
      <c r="Z685" s="13"/>
      <c r="AB685" s="13"/>
      <c r="AC685" s="13"/>
      <c r="AE685" s="13"/>
      <c r="AF685" s="13"/>
      <c r="AG685" s="13"/>
      <c r="AH685" s="13"/>
      <c r="AZ685" s="14"/>
      <c r="BA685" s="14"/>
      <c r="BB685" s="14"/>
    </row>
    <row r="686" ht="15.75" customHeight="1">
      <c r="B686" s="146"/>
      <c r="F686" s="13"/>
      <c r="K686" s="13"/>
      <c r="P686" s="13"/>
      <c r="Q686" s="13"/>
      <c r="R686" s="13"/>
      <c r="U686" s="13"/>
      <c r="W686" s="13"/>
      <c r="X686" s="13"/>
      <c r="Z686" s="13"/>
      <c r="AB686" s="13"/>
      <c r="AC686" s="13"/>
      <c r="AE686" s="13"/>
      <c r="AF686" s="13"/>
      <c r="AG686" s="13"/>
      <c r="AH686" s="13"/>
      <c r="AZ686" s="14"/>
      <c r="BA686" s="14"/>
      <c r="BB686" s="14"/>
    </row>
    <row r="687" ht="15.75" customHeight="1">
      <c r="B687" s="146"/>
      <c r="F687" s="13"/>
      <c r="K687" s="13"/>
      <c r="P687" s="13"/>
      <c r="Q687" s="13"/>
      <c r="R687" s="13"/>
      <c r="U687" s="13"/>
      <c r="W687" s="13"/>
      <c r="X687" s="13"/>
      <c r="Z687" s="13"/>
      <c r="AB687" s="13"/>
      <c r="AC687" s="13"/>
      <c r="AE687" s="13"/>
      <c r="AF687" s="13"/>
      <c r="AG687" s="13"/>
      <c r="AH687" s="13"/>
      <c r="AZ687" s="14"/>
      <c r="BA687" s="14"/>
      <c r="BB687" s="14"/>
    </row>
    <row r="688" ht="15.75" customHeight="1">
      <c r="B688" s="146"/>
      <c r="F688" s="13"/>
      <c r="K688" s="13"/>
      <c r="P688" s="13"/>
      <c r="Q688" s="13"/>
      <c r="R688" s="13"/>
      <c r="U688" s="13"/>
      <c r="W688" s="13"/>
      <c r="X688" s="13"/>
      <c r="Z688" s="13"/>
      <c r="AB688" s="13"/>
      <c r="AC688" s="13"/>
      <c r="AE688" s="13"/>
      <c r="AF688" s="13"/>
      <c r="AG688" s="13"/>
      <c r="AH688" s="13"/>
      <c r="AZ688" s="14"/>
      <c r="BA688" s="14"/>
      <c r="BB688" s="14"/>
    </row>
    <row r="689" ht="15.75" customHeight="1">
      <c r="B689" s="146"/>
      <c r="F689" s="13"/>
      <c r="K689" s="13"/>
      <c r="P689" s="13"/>
      <c r="Q689" s="13"/>
      <c r="R689" s="13"/>
      <c r="U689" s="13"/>
      <c r="W689" s="13"/>
      <c r="X689" s="13"/>
      <c r="Z689" s="13"/>
      <c r="AB689" s="13"/>
      <c r="AC689" s="13"/>
      <c r="AE689" s="13"/>
      <c r="AF689" s="13"/>
      <c r="AG689" s="13"/>
      <c r="AH689" s="13"/>
      <c r="AZ689" s="14"/>
      <c r="BA689" s="14"/>
      <c r="BB689" s="14"/>
    </row>
    <row r="690" ht="15.75" customHeight="1">
      <c r="B690" s="146"/>
      <c r="F690" s="13"/>
      <c r="K690" s="13"/>
      <c r="P690" s="13"/>
      <c r="Q690" s="13"/>
      <c r="R690" s="13"/>
      <c r="U690" s="13"/>
      <c r="W690" s="13"/>
      <c r="X690" s="13"/>
      <c r="Z690" s="13"/>
      <c r="AB690" s="13"/>
      <c r="AC690" s="13"/>
      <c r="AE690" s="13"/>
      <c r="AF690" s="13"/>
      <c r="AG690" s="13"/>
      <c r="AH690" s="13"/>
      <c r="AZ690" s="14"/>
      <c r="BA690" s="14"/>
      <c r="BB690" s="14"/>
    </row>
    <row r="691" ht="15.75" customHeight="1">
      <c r="B691" s="146"/>
      <c r="F691" s="13"/>
      <c r="K691" s="13"/>
      <c r="P691" s="13"/>
      <c r="Q691" s="13"/>
      <c r="R691" s="13"/>
      <c r="U691" s="13"/>
      <c r="W691" s="13"/>
      <c r="X691" s="13"/>
      <c r="Z691" s="13"/>
      <c r="AB691" s="13"/>
      <c r="AC691" s="13"/>
      <c r="AE691" s="13"/>
      <c r="AF691" s="13"/>
      <c r="AG691" s="13"/>
      <c r="AH691" s="13"/>
      <c r="AZ691" s="14"/>
      <c r="BA691" s="14"/>
      <c r="BB691" s="14"/>
    </row>
    <row r="692" ht="15.75" customHeight="1">
      <c r="B692" s="146"/>
      <c r="F692" s="13"/>
      <c r="K692" s="13"/>
      <c r="P692" s="13"/>
      <c r="Q692" s="13"/>
      <c r="R692" s="13"/>
      <c r="U692" s="13"/>
      <c r="W692" s="13"/>
      <c r="X692" s="13"/>
      <c r="Z692" s="13"/>
      <c r="AB692" s="13"/>
      <c r="AC692" s="13"/>
      <c r="AE692" s="13"/>
      <c r="AF692" s="13"/>
      <c r="AG692" s="13"/>
      <c r="AH692" s="13"/>
      <c r="AZ692" s="14"/>
      <c r="BA692" s="14"/>
      <c r="BB692" s="14"/>
    </row>
    <row r="693" ht="15.75" customHeight="1">
      <c r="B693" s="146"/>
      <c r="F693" s="13"/>
      <c r="K693" s="13"/>
      <c r="P693" s="13"/>
      <c r="Q693" s="13"/>
      <c r="R693" s="13"/>
      <c r="U693" s="13"/>
      <c r="W693" s="13"/>
      <c r="X693" s="13"/>
      <c r="Z693" s="13"/>
      <c r="AB693" s="13"/>
      <c r="AC693" s="13"/>
      <c r="AE693" s="13"/>
      <c r="AF693" s="13"/>
      <c r="AG693" s="13"/>
      <c r="AH693" s="13"/>
      <c r="AZ693" s="14"/>
      <c r="BA693" s="14"/>
      <c r="BB693" s="14"/>
    </row>
    <row r="694" ht="15.75" customHeight="1">
      <c r="B694" s="146"/>
      <c r="F694" s="13"/>
      <c r="K694" s="13"/>
      <c r="P694" s="13"/>
      <c r="Q694" s="13"/>
      <c r="R694" s="13"/>
      <c r="U694" s="13"/>
      <c r="W694" s="13"/>
      <c r="X694" s="13"/>
      <c r="Z694" s="13"/>
      <c r="AB694" s="13"/>
      <c r="AC694" s="13"/>
      <c r="AE694" s="13"/>
      <c r="AF694" s="13"/>
      <c r="AG694" s="13"/>
      <c r="AH694" s="13"/>
      <c r="AZ694" s="14"/>
      <c r="BA694" s="14"/>
      <c r="BB694" s="14"/>
    </row>
    <row r="695" ht="15.75" customHeight="1">
      <c r="B695" s="146"/>
      <c r="F695" s="13"/>
      <c r="K695" s="13"/>
      <c r="P695" s="13"/>
      <c r="Q695" s="13"/>
      <c r="R695" s="13"/>
      <c r="U695" s="13"/>
      <c r="W695" s="13"/>
      <c r="X695" s="13"/>
      <c r="Z695" s="13"/>
      <c r="AB695" s="13"/>
      <c r="AC695" s="13"/>
      <c r="AE695" s="13"/>
      <c r="AF695" s="13"/>
      <c r="AG695" s="13"/>
      <c r="AH695" s="13"/>
      <c r="AZ695" s="14"/>
      <c r="BA695" s="14"/>
      <c r="BB695" s="14"/>
    </row>
    <row r="696" ht="15.75" customHeight="1">
      <c r="B696" s="146"/>
      <c r="F696" s="13"/>
      <c r="K696" s="13"/>
      <c r="P696" s="13"/>
      <c r="Q696" s="13"/>
      <c r="R696" s="13"/>
      <c r="U696" s="13"/>
      <c r="W696" s="13"/>
      <c r="X696" s="13"/>
      <c r="Z696" s="13"/>
      <c r="AB696" s="13"/>
      <c r="AC696" s="13"/>
      <c r="AE696" s="13"/>
      <c r="AF696" s="13"/>
      <c r="AG696" s="13"/>
      <c r="AH696" s="13"/>
      <c r="AZ696" s="14"/>
      <c r="BA696" s="14"/>
      <c r="BB696" s="14"/>
    </row>
    <row r="697" ht="15.75" customHeight="1">
      <c r="B697" s="146"/>
      <c r="F697" s="13"/>
      <c r="K697" s="13"/>
      <c r="P697" s="13"/>
      <c r="Q697" s="13"/>
      <c r="R697" s="13"/>
      <c r="U697" s="13"/>
      <c r="W697" s="13"/>
      <c r="X697" s="13"/>
      <c r="Z697" s="13"/>
      <c r="AB697" s="13"/>
      <c r="AC697" s="13"/>
      <c r="AE697" s="13"/>
      <c r="AF697" s="13"/>
      <c r="AG697" s="13"/>
      <c r="AH697" s="13"/>
      <c r="AZ697" s="14"/>
      <c r="BA697" s="14"/>
      <c r="BB697" s="14"/>
    </row>
    <row r="698" ht="15.75" customHeight="1">
      <c r="B698" s="146"/>
      <c r="F698" s="13"/>
      <c r="K698" s="13"/>
      <c r="P698" s="13"/>
      <c r="Q698" s="13"/>
      <c r="R698" s="13"/>
      <c r="U698" s="13"/>
      <c r="W698" s="13"/>
      <c r="X698" s="13"/>
      <c r="Z698" s="13"/>
      <c r="AB698" s="13"/>
      <c r="AC698" s="13"/>
      <c r="AE698" s="13"/>
      <c r="AF698" s="13"/>
      <c r="AG698" s="13"/>
      <c r="AH698" s="13"/>
      <c r="AZ698" s="14"/>
      <c r="BA698" s="14"/>
      <c r="BB698" s="14"/>
    </row>
    <row r="699" ht="15.75" customHeight="1">
      <c r="B699" s="146"/>
      <c r="F699" s="13"/>
      <c r="K699" s="13"/>
      <c r="P699" s="13"/>
      <c r="Q699" s="13"/>
      <c r="R699" s="13"/>
      <c r="U699" s="13"/>
      <c r="W699" s="13"/>
      <c r="X699" s="13"/>
      <c r="Z699" s="13"/>
      <c r="AB699" s="13"/>
      <c r="AC699" s="13"/>
      <c r="AE699" s="13"/>
      <c r="AF699" s="13"/>
      <c r="AG699" s="13"/>
      <c r="AH699" s="13"/>
      <c r="AZ699" s="14"/>
      <c r="BA699" s="14"/>
      <c r="BB699" s="14"/>
    </row>
    <row r="700" ht="15.75" customHeight="1">
      <c r="B700" s="146"/>
      <c r="F700" s="13"/>
      <c r="K700" s="13"/>
      <c r="P700" s="13"/>
      <c r="Q700" s="13"/>
      <c r="R700" s="13"/>
      <c r="U700" s="13"/>
      <c r="W700" s="13"/>
      <c r="X700" s="13"/>
      <c r="Z700" s="13"/>
      <c r="AB700" s="13"/>
      <c r="AC700" s="13"/>
      <c r="AE700" s="13"/>
      <c r="AF700" s="13"/>
      <c r="AG700" s="13"/>
      <c r="AH700" s="13"/>
      <c r="AZ700" s="14"/>
      <c r="BA700" s="14"/>
      <c r="BB700" s="14"/>
    </row>
    <row r="701" ht="15.75" customHeight="1">
      <c r="B701" s="146"/>
      <c r="F701" s="13"/>
      <c r="K701" s="13"/>
      <c r="P701" s="13"/>
      <c r="Q701" s="13"/>
      <c r="R701" s="13"/>
      <c r="U701" s="13"/>
      <c r="W701" s="13"/>
      <c r="X701" s="13"/>
      <c r="Z701" s="13"/>
      <c r="AB701" s="13"/>
      <c r="AC701" s="13"/>
      <c r="AE701" s="13"/>
      <c r="AF701" s="13"/>
      <c r="AG701" s="13"/>
      <c r="AH701" s="13"/>
      <c r="AZ701" s="14"/>
      <c r="BA701" s="14"/>
      <c r="BB701" s="14"/>
    </row>
    <row r="702" ht="15.75" customHeight="1">
      <c r="B702" s="146"/>
      <c r="F702" s="13"/>
      <c r="K702" s="13"/>
      <c r="P702" s="13"/>
      <c r="Q702" s="13"/>
      <c r="R702" s="13"/>
      <c r="U702" s="13"/>
      <c r="W702" s="13"/>
      <c r="X702" s="13"/>
      <c r="Z702" s="13"/>
      <c r="AB702" s="13"/>
      <c r="AC702" s="13"/>
      <c r="AE702" s="13"/>
      <c r="AF702" s="13"/>
      <c r="AG702" s="13"/>
      <c r="AH702" s="13"/>
      <c r="AZ702" s="14"/>
      <c r="BA702" s="14"/>
      <c r="BB702" s="14"/>
    </row>
    <row r="703" ht="15.75" customHeight="1">
      <c r="B703" s="146"/>
      <c r="F703" s="13"/>
      <c r="K703" s="13"/>
      <c r="P703" s="13"/>
      <c r="Q703" s="13"/>
      <c r="R703" s="13"/>
      <c r="U703" s="13"/>
      <c r="W703" s="13"/>
      <c r="X703" s="13"/>
      <c r="Z703" s="13"/>
      <c r="AB703" s="13"/>
      <c r="AC703" s="13"/>
      <c r="AE703" s="13"/>
      <c r="AF703" s="13"/>
      <c r="AG703" s="13"/>
      <c r="AH703" s="13"/>
      <c r="AZ703" s="14"/>
      <c r="BA703" s="14"/>
      <c r="BB703" s="14"/>
    </row>
    <row r="704" ht="15.75" customHeight="1">
      <c r="B704" s="146"/>
      <c r="F704" s="13"/>
      <c r="K704" s="13"/>
      <c r="P704" s="13"/>
      <c r="Q704" s="13"/>
      <c r="R704" s="13"/>
      <c r="U704" s="13"/>
      <c r="W704" s="13"/>
      <c r="X704" s="13"/>
      <c r="Z704" s="13"/>
      <c r="AB704" s="13"/>
      <c r="AC704" s="13"/>
      <c r="AE704" s="13"/>
      <c r="AF704" s="13"/>
      <c r="AG704" s="13"/>
      <c r="AH704" s="13"/>
      <c r="AZ704" s="14"/>
      <c r="BA704" s="14"/>
      <c r="BB704" s="14"/>
    </row>
    <row r="705" ht="15.75" customHeight="1">
      <c r="B705" s="146"/>
      <c r="F705" s="13"/>
      <c r="K705" s="13"/>
      <c r="P705" s="13"/>
      <c r="Q705" s="13"/>
      <c r="R705" s="13"/>
      <c r="U705" s="13"/>
      <c r="W705" s="13"/>
      <c r="X705" s="13"/>
      <c r="Z705" s="13"/>
      <c r="AB705" s="13"/>
      <c r="AC705" s="13"/>
      <c r="AE705" s="13"/>
      <c r="AF705" s="13"/>
      <c r="AG705" s="13"/>
      <c r="AH705" s="13"/>
      <c r="AZ705" s="14"/>
      <c r="BA705" s="14"/>
      <c r="BB705" s="14"/>
    </row>
    <row r="706" ht="15.75" customHeight="1">
      <c r="B706" s="146"/>
      <c r="F706" s="13"/>
      <c r="K706" s="13"/>
      <c r="P706" s="13"/>
      <c r="Q706" s="13"/>
      <c r="R706" s="13"/>
      <c r="U706" s="13"/>
      <c r="W706" s="13"/>
      <c r="X706" s="13"/>
      <c r="Z706" s="13"/>
      <c r="AB706" s="13"/>
      <c r="AC706" s="13"/>
      <c r="AE706" s="13"/>
      <c r="AF706" s="13"/>
      <c r="AG706" s="13"/>
      <c r="AH706" s="13"/>
      <c r="AZ706" s="14"/>
      <c r="BA706" s="14"/>
      <c r="BB706" s="14"/>
    </row>
    <row r="707" ht="15.75" customHeight="1">
      <c r="B707" s="146"/>
      <c r="F707" s="13"/>
      <c r="K707" s="13"/>
      <c r="P707" s="13"/>
      <c r="Q707" s="13"/>
      <c r="R707" s="13"/>
      <c r="U707" s="13"/>
      <c r="W707" s="13"/>
      <c r="X707" s="13"/>
      <c r="Z707" s="13"/>
      <c r="AB707" s="13"/>
      <c r="AC707" s="13"/>
      <c r="AE707" s="13"/>
      <c r="AF707" s="13"/>
      <c r="AG707" s="13"/>
      <c r="AH707" s="13"/>
      <c r="AZ707" s="14"/>
      <c r="BA707" s="14"/>
      <c r="BB707" s="14"/>
    </row>
    <row r="708" ht="15.75" customHeight="1">
      <c r="B708" s="146"/>
      <c r="F708" s="13"/>
      <c r="K708" s="13"/>
      <c r="P708" s="13"/>
      <c r="Q708" s="13"/>
      <c r="R708" s="13"/>
      <c r="U708" s="13"/>
      <c r="W708" s="13"/>
      <c r="X708" s="13"/>
      <c r="Z708" s="13"/>
      <c r="AB708" s="13"/>
      <c r="AC708" s="13"/>
      <c r="AE708" s="13"/>
      <c r="AF708" s="13"/>
      <c r="AG708" s="13"/>
      <c r="AH708" s="13"/>
      <c r="AZ708" s="14"/>
      <c r="BA708" s="14"/>
      <c r="BB708" s="14"/>
    </row>
    <row r="709" ht="15.75" customHeight="1">
      <c r="B709" s="146"/>
      <c r="F709" s="13"/>
      <c r="K709" s="13"/>
      <c r="P709" s="13"/>
      <c r="Q709" s="13"/>
      <c r="R709" s="13"/>
      <c r="U709" s="13"/>
      <c r="W709" s="13"/>
      <c r="X709" s="13"/>
      <c r="Z709" s="13"/>
      <c r="AB709" s="13"/>
      <c r="AC709" s="13"/>
      <c r="AE709" s="13"/>
      <c r="AF709" s="13"/>
      <c r="AG709" s="13"/>
      <c r="AH709" s="13"/>
      <c r="AZ709" s="14"/>
      <c r="BA709" s="14"/>
      <c r="BB709" s="14"/>
    </row>
    <row r="710" ht="15.75" customHeight="1">
      <c r="B710" s="146"/>
      <c r="F710" s="13"/>
      <c r="K710" s="13"/>
      <c r="P710" s="13"/>
      <c r="Q710" s="13"/>
      <c r="R710" s="13"/>
      <c r="U710" s="13"/>
      <c r="W710" s="13"/>
      <c r="X710" s="13"/>
      <c r="Z710" s="13"/>
      <c r="AB710" s="13"/>
      <c r="AC710" s="13"/>
      <c r="AE710" s="13"/>
      <c r="AF710" s="13"/>
      <c r="AG710" s="13"/>
      <c r="AH710" s="13"/>
      <c r="AZ710" s="14"/>
      <c r="BA710" s="14"/>
      <c r="BB710" s="14"/>
    </row>
    <row r="711" ht="15.75" customHeight="1">
      <c r="B711" s="146"/>
      <c r="F711" s="13"/>
      <c r="K711" s="13"/>
      <c r="P711" s="13"/>
      <c r="Q711" s="13"/>
      <c r="R711" s="13"/>
      <c r="U711" s="13"/>
      <c r="W711" s="13"/>
      <c r="X711" s="13"/>
      <c r="Z711" s="13"/>
      <c r="AB711" s="13"/>
      <c r="AC711" s="13"/>
      <c r="AE711" s="13"/>
      <c r="AF711" s="13"/>
      <c r="AG711" s="13"/>
      <c r="AH711" s="13"/>
      <c r="AZ711" s="14"/>
      <c r="BA711" s="14"/>
      <c r="BB711" s="14"/>
    </row>
    <row r="712" ht="15.75" customHeight="1">
      <c r="B712" s="146"/>
      <c r="F712" s="13"/>
      <c r="K712" s="13"/>
      <c r="P712" s="13"/>
      <c r="Q712" s="13"/>
      <c r="R712" s="13"/>
      <c r="U712" s="13"/>
      <c r="W712" s="13"/>
      <c r="X712" s="13"/>
      <c r="Z712" s="13"/>
      <c r="AB712" s="13"/>
      <c r="AC712" s="13"/>
      <c r="AE712" s="13"/>
      <c r="AF712" s="13"/>
      <c r="AG712" s="13"/>
      <c r="AH712" s="13"/>
      <c r="AZ712" s="14"/>
      <c r="BA712" s="14"/>
      <c r="BB712" s="14"/>
    </row>
    <row r="713" ht="15.75" customHeight="1">
      <c r="B713" s="146"/>
      <c r="F713" s="13"/>
      <c r="K713" s="13"/>
      <c r="P713" s="13"/>
      <c r="Q713" s="13"/>
      <c r="R713" s="13"/>
      <c r="U713" s="13"/>
      <c r="W713" s="13"/>
      <c r="X713" s="13"/>
      <c r="Z713" s="13"/>
      <c r="AB713" s="13"/>
      <c r="AC713" s="13"/>
      <c r="AE713" s="13"/>
      <c r="AF713" s="13"/>
      <c r="AG713" s="13"/>
      <c r="AH713" s="13"/>
      <c r="AZ713" s="14"/>
      <c r="BA713" s="14"/>
      <c r="BB713" s="14"/>
    </row>
    <row r="714" ht="15.75" customHeight="1">
      <c r="B714" s="146"/>
      <c r="F714" s="13"/>
      <c r="K714" s="13"/>
      <c r="P714" s="13"/>
      <c r="Q714" s="13"/>
      <c r="R714" s="13"/>
      <c r="U714" s="13"/>
      <c r="W714" s="13"/>
      <c r="X714" s="13"/>
      <c r="Z714" s="13"/>
      <c r="AB714" s="13"/>
      <c r="AC714" s="13"/>
      <c r="AE714" s="13"/>
      <c r="AF714" s="13"/>
      <c r="AG714" s="13"/>
      <c r="AH714" s="13"/>
      <c r="AZ714" s="14"/>
      <c r="BA714" s="14"/>
      <c r="BB714" s="14"/>
    </row>
    <row r="715" ht="15.75" customHeight="1">
      <c r="B715" s="146"/>
      <c r="F715" s="13"/>
      <c r="K715" s="13"/>
      <c r="P715" s="13"/>
      <c r="Q715" s="13"/>
      <c r="R715" s="13"/>
      <c r="U715" s="13"/>
      <c r="W715" s="13"/>
      <c r="X715" s="13"/>
      <c r="Z715" s="13"/>
      <c r="AB715" s="13"/>
      <c r="AC715" s="13"/>
      <c r="AE715" s="13"/>
      <c r="AF715" s="13"/>
      <c r="AG715" s="13"/>
      <c r="AH715" s="13"/>
      <c r="AZ715" s="14"/>
      <c r="BA715" s="14"/>
      <c r="BB715" s="14"/>
    </row>
    <row r="716" ht="15.75" customHeight="1">
      <c r="B716" s="146"/>
      <c r="F716" s="13"/>
      <c r="K716" s="13"/>
      <c r="P716" s="13"/>
      <c r="Q716" s="13"/>
      <c r="R716" s="13"/>
      <c r="U716" s="13"/>
      <c r="W716" s="13"/>
      <c r="X716" s="13"/>
      <c r="Z716" s="13"/>
      <c r="AB716" s="13"/>
      <c r="AC716" s="13"/>
      <c r="AE716" s="13"/>
      <c r="AF716" s="13"/>
      <c r="AG716" s="13"/>
      <c r="AH716" s="13"/>
      <c r="AZ716" s="14"/>
      <c r="BA716" s="14"/>
      <c r="BB716" s="14"/>
    </row>
    <row r="717" ht="15.75" customHeight="1">
      <c r="B717" s="146"/>
      <c r="F717" s="13"/>
      <c r="K717" s="13"/>
      <c r="P717" s="13"/>
      <c r="Q717" s="13"/>
      <c r="R717" s="13"/>
      <c r="U717" s="13"/>
      <c r="W717" s="13"/>
      <c r="X717" s="13"/>
      <c r="Z717" s="13"/>
      <c r="AB717" s="13"/>
      <c r="AC717" s="13"/>
      <c r="AE717" s="13"/>
      <c r="AF717" s="13"/>
      <c r="AG717" s="13"/>
      <c r="AH717" s="13"/>
      <c r="AZ717" s="14"/>
      <c r="BA717" s="14"/>
      <c r="BB717" s="14"/>
    </row>
    <row r="718" ht="15.75" customHeight="1">
      <c r="B718" s="146"/>
      <c r="F718" s="13"/>
      <c r="K718" s="13"/>
      <c r="P718" s="13"/>
      <c r="Q718" s="13"/>
      <c r="R718" s="13"/>
      <c r="U718" s="13"/>
      <c r="W718" s="13"/>
      <c r="X718" s="13"/>
      <c r="Z718" s="13"/>
      <c r="AB718" s="13"/>
      <c r="AC718" s="13"/>
      <c r="AE718" s="13"/>
      <c r="AF718" s="13"/>
      <c r="AG718" s="13"/>
      <c r="AH718" s="13"/>
      <c r="AZ718" s="14"/>
      <c r="BA718" s="14"/>
      <c r="BB718" s="14"/>
    </row>
    <row r="719" ht="15.75" customHeight="1">
      <c r="B719" s="146"/>
      <c r="F719" s="13"/>
      <c r="K719" s="13"/>
      <c r="P719" s="13"/>
      <c r="Q719" s="13"/>
      <c r="R719" s="13"/>
      <c r="U719" s="13"/>
      <c r="W719" s="13"/>
      <c r="X719" s="13"/>
      <c r="Z719" s="13"/>
      <c r="AB719" s="13"/>
      <c r="AC719" s="13"/>
      <c r="AE719" s="13"/>
      <c r="AF719" s="13"/>
      <c r="AG719" s="13"/>
      <c r="AH719" s="13"/>
      <c r="AZ719" s="14"/>
      <c r="BA719" s="14"/>
      <c r="BB719" s="14"/>
    </row>
    <row r="720" ht="15.75" customHeight="1">
      <c r="B720" s="146"/>
      <c r="F720" s="13"/>
      <c r="K720" s="13"/>
      <c r="P720" s="13"/>
      <c r="Q720" s="13"/>
      <c r="R720" s="13"/>
      <c r="U720" s="13"/>
      <c r="W720" s="13"/>
      <c r="X720" s="13"/>
      <c r="Z720" s="13"/>
      <c r="AB720" s="13"/>
      <c r="AC720" s="13"/>
      <c r="AE720" s="13"/>
      <c r="AF720" s="13"/>
      <c r="AG720" s="13"/>
      <c r="AH720" s="13"/>
      <c r="AZ720" s="14"/>
      <c r="BA720" s="14"/>
      <c r="BB720" s="14"/>
    </row>
    <row r="721" ht="15.75" customHeight="1">
      <c r="B721" s="146"/>
      <c r="F721" s="13"/>
      <c r="K721" s="13"/>
      <c r="P721" s="13"/>
      <c r="Q721" s="13"/>
      <c r="R721" s="13"/>
      <c r="U721" s="13"/>
      <c r="W721" s="13"/>
      <c r="X721" s="13"/>
      <c r="Z721" s="13"/>
      <c r="AB721" s="13"/>
      <c r="AC721" s="13"/>
      <c r="AE721" s="13"/>
      <c r="AF721" s="13"/>
      <c r="AG721" s="13"/>
      <c r="AH721" s="13"/>
      <c r="AZ721" s="14"/>
      <c r="BA721" s="14"/>
      <c r="BB721" s="14"/>
    </row>
    <row r="722" ht="15.75" customHeight="1">
      <c r="B722" s="146"/>
      <c r="F722" s="13"/>
      <c r="K722" s="13"/>
      <c r="P722" s="13"/>
      <c r="Q722" s="13"/>
      <c r="R722" s="13"/>
      <c r="U722" s="13"/>
      <c r="W722" s="13"/>
      <c r="X722" s="13"/>
      <c r="Z722" s="13"/>
      <c r="AB722" s="13"/>
      <c r="AC722" s="13"/>
      <c r="AE722" s="13"/>
      <c r="AF722" s="13"/>
      <c r="AG722" s="13"/>
      <c r="AH722" s="13"/>
      <c r="AZ722" s="14"/>
      <c r="BA722" s="14"/>
      <c r="BB722" s="14"/>
    </row>
    <row r="723" ht="15.75" customHeight="1">
      <c r="B723" s="146"/>
      <c r="F723" s="13"/>
      <c r="K723" s="13"/>
      <c r="P723" s="13"/>
      <c r="Q723" s="13"/>
      <c r="R723" s="13"/>
      <c r="U723" s="13"/>
      <c r="W723" s="13"/>
      <c r="X723" s="13"/>
      <c r="Z723" s="13"/>
      <c r="AB723" s="13"/>
      <c r="AC723" s="13"/>
      <c r="AE723" s="13"/>
      <c r="AF723" s="13"/>
      <c r="AG723" s="13"/>
      <c r="AH723" s="13"/>
      <c r="AZ723" s="14"/>
      <c r="BA723" s="14"/>
      <c r="BB723" s="14"/>
    </row>
    <row r="724" ht="15.75" customHeight="1">
      <c r="B724" s="146"/>
      <c r="F724" s="13"/>
      <c r="K724" s="13"/>
      <c r="P724" s="13"/>
      <c r="Q724" s="13"/>
      <c r="R724" s="13"/>
      <c r="U724" s="13"/>
      <c r="W724" s="13"/>
      <c r="X724" s="13"/>
      <c r="Z724" s="13"/>
      <c r="AB724" s="13"/>
      <c r="AC724" s="13"/>
      <c r="AE724" s="13"/>
      <c r="AF724" s="13"/>
      <c r="AG724" s="13"/>
      <c r="AH724" s="13"/>
      <c r="AZ724" s="14"/>
      <c r="BA724" s="14"/>
      <c r="BB724" s="14"/>
    </row>
    <row r="725" ht="15.75" customHeight="1">
      <c r="B725" s="146"/>
      <c r="F725" s="13"/>
      <c r="K725" s="13"/>
      <c r="P725" s="13"/>
      <c r="Q725" s="13"/>
      <c r="R725" s="13"/>
      <c r="U725" s="13"/>
      <c r="W725" s="13"/>
      <c r="X725" s="13"/>
      <c r="Z725" s="13"/>
      <c r="AB725" s="13"/>
      <c r="AC725" s="13"/>
      <c r="AE725" s="13"/>
      <c r="AF725" s="13"/>
      <c r="AG725" s="13"/>
      <c r="AH725" s="13"/>
      <c r="AZ725" s="14"/>
      <c r="BA725" s="14"/>
      <c r="BB725" s="14"/>
    </row>
    <row r="726" ht="15.75" customHeight="1">
      <c r="B726" s="146"/>
      <c r="F726" s="13"/>
      <c r="K726" s="13"/>
      <c r="P726" s="13"/>
      <c r="Q726" s="13"/>
      <c r="R726" s="13"/>
      <c r="U726" s="13"/>
      <c r="W726" s="13"/>
      <c r="X726" s="13"/>
      <c r="Z726" s="13"/>
      <c r="AB726" s="13"/>
      <c r="AC726" s="13"/>
      <c r="AE726" s="13"/>
      <c r="AF726" s="13"/>
      <c r="AG726" s="13"/>
      <c r="AH726" s="13"/>
      <c r="AZ726" s="14"/>
      <c r="BA726" s="14"/>
      <c r="BB726" s="14"/>
    </row>
    <row r="727" ht="15.75" customHeight="1">
      <c r="B727" s="146"/>
      <c r="F727" s="13"/>
      <c r="K727" s="13"/>
      <c r="P727" s="13"/>
      <c r="Q727" s="13"/>
      <c r="R727" s="13"/>
      <c r="U727" s="13"/>
      <c r="W727" s="13"/>
      <c r="X727" s="13"/>
      <c r="Z727" s="13"/>
      <c r="AB727" s="13"/>
      <c r="AC727" s="13"/>
      <c r="AE727" s="13"/>
      <c r="AF727" s="13"/>
      <c r="AG727" s="13"/>
      <c r="AH727" s="13"/>
      <c r="AZ727" s="14"/>
      <c r="BA727" s="14"/>
      <c r="BB727" s="14"/>
    </row>
    <row r="728" ht="15.75" customHeight="1">
      <c r="B728" s="146"/>
      <c r="F728" s="13"/>
      <c r="K728" s="13"/>
      <c r="P728" s="13"/>
      <c r="Q728" s="13"/>
      <c r="R728" s="13"/>
      <c r="U728" s="13"/>
      <c r="W728" s="13"/>
      <c r="X728" s="13"/>
      <c r="Z728" s="13"/>
      <c r="AB728" s="13"/>
      <c r="AC728" s="13"/>
      <c r="AE728" s="13"/>
      <c r="AF728" s="13"/>
      <c r="AG728" s="13"/>
      <c r="AH728" s="13"/>
      <c r="AZ728" s="14"/>
      <c r="BA728" s="14"/>
      <c r="BB728" s="14"/>
    </row>
    <row r="729" ht="15.75" customHeight="1">
      <c r="B729" s="146"/>
      <c r="F729" s="13"/>
      <c r="K729" s="13"/>
      <c r="P729" s="13"/>
      <c r="Q729" s="13"/>
      <c r="R729" s="13"/>
      <c r="U729" s="13"/>
      <c r="W729" s="13"/>
      <c r="X729" s="13"/>
      <c r="Z729" s="13"/>
      <c r="AB729" s="13"/>
      <c r="AC729" s="13"/>
      <c r="AE729" s="13"/>
      <c r="AF729" s="13"/>
      <c r="AG729" s="13"/>
      <c r="AH729" s="13"/>
      <c r="AZ729" s="14"/>
      <c r="BA729" s="14"/>
      <c r="BB729" s="14"/>
    </row>
    <row r="730" ht="15.75" customHeight="1">
      <c r="B730" s="146"/>
      <c r="F730" s="13"/>
      <c r="K730" s="13"/>
      <c r="P730" s="13"/>
      <c r="Q730" s="13"/>
      <c r="R730" s="13"/>
      <c r="U730" s="13"/>
      <c r="W730" s="13"/>
      <c r="X730" s="13"/>
      <c r="Z730" s="13"/>
      <c r="AB730" s="13"/>
      <c r="AC730" s="13"/>
      <c r="AE730" s="13"/>
      <c r="AF730" s="13"/>
      <c r="AG730" s="13"/>
      <c r="AH730" s="13"/>
      <c r="AZ730" s="14"/>
      <c r="BA730" s="14"/>
      <c r="BB730" s="14"/>
    </row>
    <row r="731" ht="15.75" customHeight="1">
      <c r="B731" s="146"/>
      <c r="F731" s="13"/>
      <c r="K731" s="13"/>
      <c r="P731" s="13"/>
      <c r="Q731" s="13"/>
      <c r="R731" s="13"/>
      <c r="U731" s="13"/>
      <c r="W731" s="13"/>
      <c r="X731" s="13"/>
      <c r="Z731" s="13"/>
      <c r="AB731" s="13"/>
      <c r="AC731" s="13"/>
      <c r="AE731" s="13"/>
      <c r="AF731" s="13"/>
      <c r="AG731" s="13"/>
      <c r="AH731" s="13"/>
      <c r="AZ731" s="14"/>
      <c r="BA731" s="14"/>
      <c r="BB731" s="14"/>
    </row>
    <row r="732" ht="15.75" customHeight="1">
      <c r="B732" s="146"/>
      <c r="F732" s="13"/>
      <c r="K732" s="13"/>
      <c r="P732" s="13"/>
      <c r="Q732" s="13"/>
      <c r="R732" s="13"/>
      <c r="U732" s="13"/>
      <c r="W732" s="13"/>
      <c r="X732" s="13"/>
      <c r="Z732" s="13"/>
      <c r="AB732" s="13"/>
      <c r="AC732" s="13"/>
      <c r="AE732" s="13"/>
      <c r="AF732" s="13"/>
      <c r="AG732" s="13"/>
      <c r="AH732" s="13"/>
      <c r="AZ732" s="14"/>
      <c r="BA732" s="14"/>
      <c r="BB732" s="14"/>
    </row>
    <row r="733" ht="15.75" customHeight="1">
      <c r="B733" s="146"/>
      <c r="F733" s="13"/>
      <c r="K733" s="13"/>
      <c r="P733" s="13"/>
      <c r="Q733" s="13"/>
      <c r="R733" s="13"/>
      <c r="U733" s="13"/>
      <c r="W733" s="13"/>
      <c r="X733" s="13"/>
      <c r="Z733" s="13"/>
      <c r="AB733" s="13"/>
      <c r="AC733" s="13"/>
      <c r="AE733" s="13"/>
      <c r="AF733" s="13"/>
      <c r="AG733" s="13"/>
      <c r="AH733" s="13"/>
      <c r="AZ733" s="14"/>
      <c r="BA733" s="14"/>
      <c r="BB733" s="14"/>
    </row>
    <row r="734" ht="15.75" customHeight="1">
      <c r="B734" s="146"/>
      <c r="F734" s="13"/>
      <c r="K734" s="13"/>
      <c r="P734" s="13"/>
      <c r="Q734" s="13"/>
      <c r="R734" s="13"/>
      <c r="U734" s="13"/>
      <c r="W734" s="13"/>
      <c r="X734" s="13"/>
      <c r="Z734" s="13"/>
      <c r="AB734" s="13"/>
      <c r="AC734" s="13"/>
      <c r="AE734" s="13"/>
      <c r="AF734" s="13"/>
      <c r="AG734" s="13"/>
      <c r="AH734" s="13"/>
      <c r="AZ734" s="14"/>
      <c r="BA734" s="14"/>
      <c r="BB734" s="14"/>
    </row>
    <row r="735" ht="15.75" customHeight="1">
      <c r="B735" s="146"/>
      <c r="F735" s="13"/>
      <c r="K735" s="13"/>
      <c r="P735" s="13"/>
      <c r="Q735" s="13"/>
      <c r="R735" s="13"/>
      <c r="U735" s="13"/>
      <c r="W735" s="13"/>
      <c r="X735" s="13"/>
      <c r="Z735" s="13"/>
      <c r="AB735" s="13"/>
      <c r="AC735" s="13"/>
      <c r="AE735" s="13"/>
      <c r="AF735" s="13"/>
      <c r="AG735" s="13"/>
      <c r="AH735" s="13"/>
      <c r="AZ735" s="14"/>
      <c r="BA735" s="14"/>
      <c r="BB735" s="14"/>
    </row>
    <row r="736" ht="15.75" customHeight="1">
      <c r="B736" s="146"/>
      <c r="F736" s="13"/>
      <c r="K736" s="13"/>
      <c r="P736" s="13"/>
      <c r="Q736" s="13"/>
      <c r="R736" s="13"/>
      <c r="U736" s="13"/>
      <c r="W736" s="13"/>
      <c r="X736" s="13"/>
      <c r="Z736" s="13"/>
      <c r="AB736" s="13"/>
      <c r="AC736" s="13"/>
      <c r="AE736" s="13"/>
      <c r="AF736" s="13"/>
      <c r="AG736" s="13"/>
      <c r="AH736" s="13"/>
      <c r="AZ736" s="14"/>
      <c r="BA736" s="14"/>
      <c r="BB736" s="14"/>
    </row>
    <row r="737" ht="15.75" customHeight="1">
      <c r="B737" s="146"/>
      <c r="F737" s="13"/>
      <c r="K737" s="13"/>
      <c r="P737" s="13"/>
      <c r="Q737" s="13"/>
      <c r="R737" s="13"/>
      <c r="U737" s="13"/>
      <c r="W737" s="13"/>
      <c r="X737" s="13"/>
      <c r="Z737" s="13"/>
      <c r="AB737" s="13"/>
      <c r="AC737" s="13"/>
      <c r="AE737" s="13"/>
      <c r="AF737" s="13"/>
      <c r="AG737" s="13"/>
      <c r="AH737" s="13"/>
      <c r="AZ737" s="14"/>
      <c r="BA737" s="14"/>
      <c r="BB737" s="14"/>
    </row>
    <row r="738" ht="15.75" customHeight="1">
      <c r="B738" s="146"/>
      <c r="F738" s="13"/>
      <c r="K738" s="13"/>
      <c r="P738" s="13"/>
      <c r="Q738" s="13"/>
      <c r="R738" s="13"/>
      <c r="U738" s="13"/>
      <c r="W738" s="13"/>
      <c r="X738" s="13"/>
      <c r="Z738" s="13"/>
      <c r="AB738" s="13"/>
      <c r="AC738" s="13"/>
      <c r="AE738" s="13"/>
      <c r="AF738" s="13"/>
      <c r="AG738" s="13"/>
      <c r="AH738" s="13"/>
      <c r="AZ738" s="14"/>
      <c r="BA738" s="14"/>
      <c r="BB738" s="14"/>
    </row>
    <row r="739" ht="15.75" customHeight="1">
      <c r="B739" s="146"/>
      <c r="F739" s="13"/>
      <c r="K739" s="13"/>
      <c r="P739" s="13"/>
      <c r="Q739" s="13"/>
      <c r="R739" s="13"/>
      <c r="U739" s="13"/>
      <c r="W739" s="13"/>
      <c r="X739" s="13"/>
      <c r="Z739" s="13"/>
      <c r="AB739" s="13"/>
      <c r="AC739" s="13"/>
      <c r="AE739" s="13"/>
      <c r="AF739" s="13"/>
      <c r="AG739" s="13"/>
      <c r="AH739" s="13"/>
      <c r="AZ739" s="14"/>
      <c r="BA739" s="14"/>
      <c r="BB739" s="14"/>
    </row>
    <row r="740" ht="15.75" customHeight="1">
      <c r="B740" s="146"/>
      <c r="F740" s="13"/>
      <c r="K740" s="13"/>
      <c r="P740" s="13"/>
      <c r="Q740" s="13"/>
      <c r="R740" s="13"/>
      <c r="U740" s="13"/>
      <c r="W740" s="13"/>
      <c r="X740" s="13"/>
      <c r="Z740" s="13"/>
      <c r="AB740" s="13"/>
      <c r="AC740" s="13"/>
      <c r="AE740" s="13"/>
      <c r="AF740" s="13"/>
      <c r="AG740" s="13"/>
      <c r="AH740" s="13"/>
      <c r="AZ740" s="14"/>
      <c r="BA740" s="14"/>
      <c r="BB740" s="14"/>
    </row>
    <row r="741" ht="15.75" customHeight="1">
      <c r="B741" s="146"/>
      <c r="F741" s="13"/>
      <c r="K741" s="13"/>
      <c r="P741" s="13"/>
      <c r="Q741" s="13"/>
      <c r="R741" s="13"/>
      <c r="U741" s="13"/>
      <c r="W741" s="13"/>
      <c r="X741" s="13"/>
      <c r="Z741" s="13"/>
      <c r="AB741" s="13"/>
      <c r="AC741" s="13"/>
      <c r="AE741" s="13"/>
      <c r="AF741" s="13"/>
      <c r="AG741" s="13"/>
      <c r="AH741" s="13"/>
      <c r="AZ741" s="14"/>
      <c r="BA741" s="14"/>
      <c r="BB741" s="14"/>
    </row>
    <row r="742" ht="15.75" customHeight="1">
      <c r="B742" s="146"/>
      <c r="F742" s="13"/>
      <c r="K742" s="13"/>
      <c r="P742" s="13"/>
      <c r="Q742" s="13"/>
      <c r="R742" s="13"/>
      <c r="U742" s="13"/>
      <c r="W742" s="13"/>
      <c r="X742" s="13"/>
      <c r="Z742" s="13"/>
      <c r="AB742" s="13"/>
      <c r="AC742" s="13"/>
      <c r="AE742" s="13"/>
      <c r="AF742" s="13"/>
      <c r="AG742" s="13"/>
      <c r="AH742" s="13"/>
      <c r="AZ742" s="14"/>
      <c r="BA742" s="14"/>
      <c r="BB742" s="14"/>
    </row>
    <row r="743" ht="15.75" customHeight="1">
      <c r="B743" s="146"/>
      <c r="F743" s="13"/>
      <c r="K743" s="13"/>
      <c r="P743" s="13"/>
      <c r="Q743" s="13"/>
      <c r="R743" s="13"/>
      <c r="U743" s="13"/>
      <c r="W743" s="13"/>
      <c r="X743" s="13"/>
      <c r="Z743" s="13"/>
      <c r="AB743" s="13"/>
      <c r="AC743" s="13"/>
      <c r="AE743" s="13"/>
      <c r="AF743" s="13"/>
      <c r="AG743" s="13"/>
      <c r="AH743" s="13"/>
      <c r="AZ743" s="14"/>
      <c r="BA743" s="14"/>
      <c r="BB743" s="14"/>
    </row>
    <row r="744" ht="15.75" customHeight="1">
      <c r="B744" s="146"/>
      <c r="F744" s="13"/>
      <c r="K744" s="13"/>
      <c r="P744" s="13"/>
      <c r="Q744" s="13"/>
      <c r="R744" s="13"/>
      <c r="U744" s="13"/>
      <c r="W744" s="13"/>
      <c r="X744" s="13"/>
      <c r="Z744" s="13"/>
      <c r="AB744" s="13"/>
      <c r="AC744" s="13"/>
      <c r="AE744" s="13"/>
      <c r="AF744" s="13"/>
      <c r="AG744" s="13"/>
      <c r="AH744" s="13"/>
      <c r="AZ744" s="14"/>
      <c r="BA744" s="14"/>
      <c r="BB744" s="14"/>
    </row>
    <row r="745" ht="15.75" customHeight="1">
      <c r="B745" s="146"/>
      <c r="F745" s="13"/>
      <c r="K745" s="13"/>
      <c r="P745" s="13"/>
      <c r="Q745" s="13"/>
      <c r="R745" s="13"/>
      <c r="U745" s="13"/>
      <c r="W745" s="13"/>
      <c r="X745" s="13"/>
      <c r="Z745" s="13"/>
      <c r="AB745" s="13"/>
      <c r="AC745" s="13"/>
      <c r="AE745" s="13"/>
      <c r="AF745" s="13"/>
      <c r="AG745" s="13"/>
      <c r="AH745" s="13"/>
      <c r="AZ745" s="14"/>
      <c r="BA745" s="14"/>
      <c r="BB745" s="14"/>
    </row>
    <row r="746" ht="15.75" customHeight="1">
      <c r="B746" s="146"/>
      <c r="F746" s="13"/>
      <c r="K746" s="13"/>
      <c r="P746" s="13"/>
      <c r="Q746" s="13"/>
      <c r="R746" s="13"/>
      <c r="U746" s="13"/>
      <c r="W746" s="13"/>
      <c r="X746" s="13"/>
      <c r="Z746" s="13"/>
      <c r="AB746" s="13"/>
      <c r="AC746" s="13"/>
      <c r="AE746" s="13"/>
      <c r="AF746" s="13"/>
      <c r="AG746" s="13"/>
      <c r="AH746" s="13"/>
      <c r="AZ746" s="14"/>
      <c r="BA746" s="14"/>
      <c r="BB746" s="14"/>
    </row>
    <row r="747" ht="15.75" customHeight="1">
      <c r="B747" s="146"/>
      <c r="F747" s="13"/>
      <c r="K747" s="13"/>
      <c r="P747" s="13"/>
      <c r="Q747" s="13"/>
      <c r="R747" s="13"/>
      <c r="U747" s="13"/>
      <c r="W747" s="13"/>
      <c r="X747" s="13"/>
      <c r="Z747" s="13"/>
      <c r="AB747" s="13"/>
      <c r="AC747" s="13"/>
      <c r="AE747" s="13"/>
      <c r="AF747" s="13"/>
      <c r="AG747" s="13"/>
      <c r="AH747" s="13"/>
      <c r="AZ747" s="14"/>
      <c r="BA747" s="14"/>
      <c r="BB747" s="14"/>
    </row>
    <row r="748" ht="15.75" customHeight="1">
      <c r="B748" s="146"/>
      <c r="F748" s="13"/>
      <c r="K748" s="13"/>
      <c r="P748" s="13"/>
      <c r="Q748" s="13"/>
      <c r="R748" s="13"/>
      <c r="U748" s="13"/>
      <c r="W748" s="13"/>
      <c r="X748" s="13"/>
      <c r="Z748" s="13"/>
      <c r="AB748" s="13"/>
      <c r="AC748" s="13"/>
      <c r="AE748" s="13"/>
      <c r="AF748" s="13"/>
      <c r="AG748" s="13"/>
      <c r="AH748" s="13"/>
      <c r="AZ748" s="14"/>
      <c r="BA748" s="14"/>
      <c r="BB748" s="14"/>
    </row>
    <row r="749" ht="15.75" customHeight="1">
      <c r="B749" s="146"/>
      <c r="F749" s="13"/>
      <c r="K749" s="13"/>
      <c r="P749" s="13"/>
      <c r="Q749" s="13"/>
      <c r="R749" s="13"/>
      <c r="U749" s="13"/>
      <c r="W749" s="13"/>
      <c r="X749" s="13"/>
      <c r="Z749" s="13"/>
      <c r="AB749" s="13"/>
      <c r="AC749" s="13"/>
      <c r="AE749" s="13"/>
      <c r="AF749" s="13"/>
      <c r="AG749" s="13"/>
      <c r="AH749" s="13"/>
      <c r="AZ749" s="14"/>
      <c r="BA749" s="14"/>
      <c r="BB749" s="14"/>
    </row>
    <row r="750" ht="15.75" customHeight="1">
      <c r="B750" s="146"/>
      <c r="F750" s="13"/>
      <c r="K750" s="13"/>
      <c r="P750" s="13"/>
      <c r="Q750" s="13"/>
      <c r="R750" s="13"/>
      <c r="U750" s="13"/>
      <c r="W750" s="13"/>
      <c r="X750" s="13"/>
      <c r="Z750" s="13"/>
      <c r="AB750" s="13"/>
      <c r="AC750" s="13"/>
      <c r="AE750" s="13"/>
      <c r="AF750" s="13"/>
      <c r="AG750" s="13"/>
      <c r="AH750" s="13"/>
      <c r="AZ750" s="14"/>
      <c r="BA750" s="14"/>
      <c r="BB750" s="14"/>
    </row>
    <row r="751" ht="15.75" customHeight="1">
      <c r="B751" s="146"/>
      <c r="F751" s="13"/>
      <c r="K751" s="13"/>
      <c r="P751" s="13"/>
      <c r="Q751" s="13"/>
      <c r="R751" s="13"/>
      <c r="U751" s="13"/>
      <c r="W751" s="13"/>
      <c r="X751" s="13"/>
      <c r="Z751" s="13"/>
      <c r="AB751" s="13"/>
      <c r="AC751" s="13"/>
      <c r="AE751" s="13"/>
      <c r="AF751" s="13"/>
      <c r="AG751" s="13"/>
      <c r="AH751" s="13"/>
      <c r="AZ751" s="14"/>
      <c r="BA751" s="14"/>
      <c r="BB751" s="14"/>
    </row>
    <row r="752" ht="15.75" customHeight="1">
      <c r="B752" s="146"/>
      <c r="F752" s="13"/>
      <c r="K752" s="13"/>
      <c r="P752" s="13"/>
      <c r="Q752" s="13"/>
      <c r="R752" s="13"/>
      <c r="U752" s="13"/>
      <c r="W752" s="13"/>
      <c r="X752" s="13"/>
      <c r="Z752" s="13"/>
      <c r="AB752" s="13"/>
      <c r="AC752" s="13"/>
      <c r="AE752" s="13"/>
      <c r="AF752" s="13"/>
      <c r="AG752" s="13"/>
      <c r="AH752" s="13"/>
      <c r="AZ752" s="14"/>
      <c r="BA752" s="14"/>
      <c r="BB752" s="14"/>
    </row>
    <row r="753" ht="15.75" customHeight="1">
      <c r="B753" s="146"/>
      <c r="F753" s="13"/>
      <c r="K753" s="13"/>
      <c r="P753" s="13"/>
      <c r="Q753" s="13"/>
      <c r="R753" s="13"/>
      <c r="U753" s="13"/>
      <c r="W753" s="13"/>
      <c r="X753" s="13"/>
      <c r="Z753" s="13"/>
      <c r="AB753" s="13"/>
      <c r="AC753" s="13"/>
      <c r="AE753" s="13"/>
      <c r="AF753" s="13"/>
      <c r="AG753" s="13"/>
      <c r="AH753" s="13"/>
      <c r="AZ753" s="14"/>
      <c r="BA753" s="14"/>
      <c r="BB753" s="14"/>
    </row>
    <row r="754" ht="15.75" customHeight="1">
      <c r="B754" s="146"/>
      <c r="F754" s="13"/>
      <c r="K754" s="13"/>
      <c r="P754" s="13"/>
      <c r="Q754" s="13"/>
      <c r="R754" s="13"/>
      <c r="U754" s="13"/>
      <c r="W754" s="13"/>
      <c r="X754" s="13"/>
      <c r="Z754" s="13"/>
      <c r="AB754" s="13"/>
      <c r="AC754" s="13"/>
      <c r="AE754" s="13"/>
      <c r="AF754" s="13"/>
      <c r="AG754" s="13"/>
      <c r="AH754" s="13"/>
      <c r="AZ754" s="14"/>
      <c r="BA754" s="14"/>
      <c r="BB754" s="14"/>
    </row>
    <row r="755" ht="15.75" customHeight="1">
      <c r="B755" s="146"/>
      <c r="F755" s="13"/>
      <c r="K755" s="13"/>
      <c r="P755" s="13"/>
      <c r="Q755" s="13"/>
      <c r="R755" s="13"/>
      <c r="U755" s="13"/>
      <c r="W755" s="13"/>
      <c r="X755" s="13"/>
      <c r="Z755" s="13"/>
      <c r="AB755" s="13"/>
      <c r="AC755" s="13"/>
      <c r="AE755" s="13"/>
      <c r="AF755" s="13"/>
      <c r="AG755" s="13"/>
      <c r="AH755" s="13"/>
      <c r="AZ755" s="14"/>
      <c r="BA755" s="14"/>
      <c r="BB755" s="14"/>
    </row>
    <row r="756" ht="15.75" customHeight="1">
      <c r="B756" s="146"/>
      <c r="F756" s="13"/>
      <c r="K756" s="13"/>
      <c r="P756" s="13"/>
      <c r="Q756" s="13"/>
      <c r="R756" s="13"/>
      <c r="U756" s="13"/>
      <c r="W756" s="13"/>
      <c r="X756" s="13"/>
      <c r="Z756" s="13"/>
      <c r="AB756" s="13"/>
      <c r="AC756" s="13"/>
      <c r="AE756" s="13"/>
      <c r="AF756" s="13"/>
      <c r="AG756" s="13"/>
      <c r="AH756" s="13"/>
      <c r="AZ756" s="14"/>
      <c r="BA756" s="14"/>
      <c r="BB756" s="14"/>
    </row>
    <row r="757" ht="15.75" customHeight="1">
      <c r="B757" s="146"/>
      <c r="F757" s="13"/>
      <c r="K757" s="13"/>
      <c r="P757" s="13"/>
      <c r="Q757" s="13"/>
      <c r="R757" s="13"/>
      <c r="U757" s="13"/>
      <c r="W757" s="13"/>
      <c r="X757" s="13"/>
      <c r="Z757" s="13"/>
      <c r="AB757" s="13"/>
      <c r="AC757" s="13"/>
      <c r="AE757" s="13"/>
      <c r="AF757" s="13"/>
      <c r="AG757" s="13"/>
      <c r="AH757" s="13"/>
      <c r="AZ757" s="14"/>
      <c r="BA757" s="14"/>
      <c r="BB757" s="14"/>
    </row>
    <row r="758" ht="15.75" customHeight="1">
      <c r="B758" s="146"/>
      <c r="F758" s="13"/>
      <c r="K758" s="13"/>
      <c r="P758" s="13"/>
      <c r="Q758" s="13"/>
      <c r="R758" s="13"/>
      <c r="U758" s="13"/>
      <c r="W758" s="13"/>
      <c r="X758" s="13"/>
      <c r="Z758" s="13"/>
      <c r="AB758" s="13"/>
      <c r="AC758" s="13"/>
      <c r="AE758" s="13"/>
      <c r="AF758" s="13"/>
      <c r="AG758" s="13"/>
      <c r="AH758" s="13"/>
      <c r="AZ758" s="14"/>
      <c r="BA758" s="14"/>
      <c r="BB758" s="14"/>
    </row>
    <row r="759" ht="15.75" customHeight="1">
      <c r="B759" s="146"/>
      <c r="F759" s="13"/>
      <c r="K759" s="13"/>
      <c r="P759" s="13"/>
      <c r="Q759" s="13"/>
      <c r="R759" s="13"/>
      <c r="U759" s="13"/>
      <c r="W759" s="13"/>
      <c r="X759" s="13"/>
      <c r="Z759" s="13"/>
      <c r="AB759" s="13"/>
      <c r="AC759" s="13"/>
      <c r="AE759" s="13"/>
      <c r="AF759" s="13"/>
      <c r="AG759" s="13"/>
      <c r="AH759" s="13"/>
      <c r="AZ759" s="14"/>
      <c r="BA759" s="14"/>
      <c r="BB759" s="14"/>
    </row>
    <row r="760" ht="15.75" customHeight="1">
      <c r="B760" s="146"/>
      <c r="F760" s="13"/>
      <c r="K760" s="13"/>
      <c r="P760" s="13"/>
      <c r="Q760" s="13"/>
      <c r="R760" s="13"/>
      <c r="U760" s="13"/>
      <c r="W760" s="13"/>
      <c r="X760" s="13"/>
      <c r="Z760" s="13"/>
      <c r="AB760" s="13"/>
      <c r="AC760" s="13"/>
      <c r="AE760" s="13"/>
      <c r="AF760" s="13"/>
      <c r="AG760" s="13"/>
      <c r="AH760" s="13"/>
      <c r="AZ760" s="14"/>
      <c r="BA760" s="14"/>
      <c r="BB760" s="14"/>
    </row>
    <row r="761" ht="15.75" customHeight="1">
      <c r="B761" s="146"/>
      <c r="F761" s="13"/>
      <c r="K761" s="13"/>
      <c r="P761" s="13"/>
      <c r="Q761" s="13"/>
      <c r="R761" s="13"/>
      <c r="U761" s="13"/>
      <c r="W761" s="13"/>
      <c r="X761" s="13"/>
      <c r="Z761" s="13"/>
      <c r="AB761" s="13"/>
      <c r="AC761" s="13"/>
      <c r="AE761" s="13"/>
      <c r="AF761" s="13"/>
      <c r="AG761" s="13"/>
      <c r="AH761" s="13"/>
      <c r="AZ761" s="14"/>
      <c r="BA761" s="14"/>
      <c r="BB761" s="14"/>
    </row>
    <row r="762" ht="15.75" customHeight="1">
      <c r="B762" s="146"/>
      <c r="F762" s="13"/>
      <c r="K762" s="13"/>
      <c r="P762" s="13"/>
      <c r="Q762" s="13"/>
      <c r="R762" s="13"/>
      <c r="U762" s="13"/>
      <c r="W762" s="13"/>
      <c r="X762" s="13"/>
      <c r="Z762" s="13"/>
      <c r="AB762" s="13"/>
      <c r="AC762" s="13"/>
      <c r="AE762" s="13"/>
      <c r="AF762" s="13"/>
      <c r="AG762" s="13"/>
      <c r="AH762" s="13"/>
      <c r="AZ762" s="14"/>
      <c r="BA762" s="14"/>
      <c r="BB762" s="14"/>
    </row>
    <row r="763" ht="15.75" customHeight="1">
      <c r="B763" s="146"/>
      <c r="F763" s="13"/>
      <c r="K763" s="13"/>
      <c r="P763" s="13"/>
      <c r="Q763" s="13"/>
      <c r="R763" s="13"/>
      <c r="U763" s="13"/>
      <c r="W763" s="13"/>
      <c r="X763" s="13"/>
      <c r="Z763" s="13"/>
      <c r="AB763" s="13"/>
      <c r="AC763" s="13"/>
      <c r="AE763" s="13"/>
      <c r="AF763" s="13"/>
      <c r="AG763" s="13"/>
      <c r="AH763" s="13"/>
      <c r="AZ763" s="14"/>
      <c r="BA763" s="14"/>
      <c r="BB763" s="14"/>
    </row>
    <row r="764" ht="15.75" customHeight="1">
      <c r="B764" s="146"/>
      <c r="F764" s="13"/>
      <c r="K764" s="13"/>
      <c r="P764" s="13"/>
      <c r="Q764" s="13"/>
      <c r="R764" s="13"/>
      <c r="U764" s="13"/>
      <c r="W764" s="13"/>
      <c r="X764" s="13"/>
      <c r="Z764" s="13"/>
      <c r="AB764" s="13"/>
      <c r="AC764" s="13"/>
      <c r="AE764" s="13"/>
      <c r="AF764" s="13"/>
      <c r="AG764" s="13"/>
      <c r="AH764" s="13"/>
      <c r="AZ764" s="14"/>
      <c r="BA764" s="14"/>
      <c r="BB764" s="14"/>
    </row>
    <row r="765" ht="15.75" customHeight="1">
      <c r="B765" s="146"/>
      <c r="F765" s="13"/>
      <c r="K765" s="13"/>
      <c r="P765" s="13"/>
      <c r="Q765" s="13"/>
      <c r="R765" s="13"/>
      <c r="U765" s="13"/>
      <c r="W765" s="13"/>
      <c r="X765" s="13"/>
      <c r="Z765" s="13"/>
      <c r="AB765" s="13"/>
      <c r="AC765" s="13"/>
      <c r="AE765" s="13"/>
      <c r="AF765" s="13"/>
      <c r="AG765" s="13"/>
      <c r="AH765" s="13"/>
      <c r="AZ765" s="14"/>
      <c r="BA765" s="14"/>
      <c r="BB765" s="14"/>
    </row>
    <row r="766" ht="15.75" customHeight="1">
      <c r="B766" s="146"/>
      <c r="F766" s="13"/>
      <c r="K766" s="13"/>
      <c r="P766" s="13"/>
      <c r="Q766" s="13"/>
      <c r="R766" s="13"/>
      <c r="U766" s="13"/>
      <c r="W766" s="13"/>
      <c r="X766" s="13"/>
      <c r="Z766" s="13"/>
      <c r="AB766" s="13"/>
      <c r="AC766" s="13"/>
      <c r="AE766" s="13"/>
      <c r="AF766" s="13"/>
      <c r="AG766" s="13"/>
      <c r="AH766" s="13"/>
      <c r="AZ766" s="14"/>
      <c r="BA766" s="14"/>
      <c r="BB766" s="14"/>
    </row>
    <row r="767" ht="15.75" customHeight="1">
      <c r="B767" s="146"/>
      <c r="F767" s="13"/>
      <c r="K767" s="13"/>
      <c r="P767" s="13"/>
      <c r="Q767" s="13"/>
      <c r="R767" s="13"/>
      <c r="U767" s="13"/>
      <c r="W767" s="13"/>
      <c r="X767" s="13"/>
      <c r="Z767" s="13"/>
      <c r="AB767" s="13"/>
      <c r="AC767" s="13"/>
      <c r="AE767" s="13"/>
      <c r="AF767" s="13"/>
      <c r="AG767" s="13"/>
      <c r="AH767" s="13"/>
      <c r="AZ767" s="14"/>
      <c r="BA767" s="14"/>
      <c r="BB767" s="14"/>
    </row>
    <row r="768" ht="15.75" customHeight="1">
      <c r="B768" s="146"/>
      <c r="F768" s="13"/>
      <c r="K768" s="13"/>
      <c r="P768" s="13"/>
      <c r="Q768" s="13"/>
      <c r="R768" s="13"/>
      <c r="U768" s="13"/>
      <c r="W768" s="13"/>
      <c r="X768" s="13"/>
      <c r="Z768" s="13"/>
      <c r="AB768" s="13"/>
      <c r="AC768" s="13"/>
      <c r="AE768" s="13"/>
      <c r="AF768" s="13"/>
      <c r="AG768" s="13"/>
      <c r="AH768" s="13"/>
      <c r="AZ768" s="14"/>
      <c r="BA768" s="14"/>
      <c r="BB768" s="14"/>
    </row>
    <row r="769" ht="15.75" customHeight="1">
      <c r="B769" s="146"/>
      <c r="F769" s="13"/>
      <c r="K769" s="13"/>
      <c r="P769" s="13"/>
      <c r="Q769" s="13"/>
      <c r="R769" s="13"/>
      <c r="U769" s="13"/>
      <c r="W769" s="13"/>
      <c r="X769" s="13"/>
      <c r="Z769" s="13"/>
      <c r="AB769" s="13"/>
      <c r="AC769" s="13"/>
      <c r="AE769" s="13"/>
      <c r="AF769" s="13"/>
      <c r="AG769" s="13"/>
      <c r="AH769" s="13"/>
      <c r="AZ769" s="14"/>
      <c r="BA769" s="14"/>
      <c r="BB769" s="14"/>
    </row>
    <row r="770" ht="15.75" customHeight="1">
      <c r="B770" s="146"/>
      <c r="F770" s="13"/>
      <c r="K770" s="13"/>
      <c r="P770" s="13"/>
      <c r="Q770" s="13"/>
      <c r="R770" s="13"/>
      <c r="U770" s="13"/>
      <c r="W770" s="13"/>
      <c r="X770" s="13"/>
      <c r="Z770" s="13"/>
      <c r="AB770" s="13"/>
      <c r="AC770" s="13"/>
      <c r="AE770" s="13"/>
      <c r="AF770" s="13"/>
      <c r="AG770" s="13"/>
      <c r="AH770" s="13"/>
      <c r="AZ770" s="14"/>
      <c r="BA770" s="14"/>
      <c r="BB770" s="14"/>
    </row>
    <row r="771" ht="15.75" customHeight="1">
      <c r="B771" s="146"/>
      <c r="F771" s="13"/>
      <c r="K771" s="13"/>
      <c r="P771" s="13"/>
      <c r="Q771" s="13"/>
      <c r="R771" s="13"/>
      <c r="U771" s="13"/>
      <c r="W771" s="13"/>
      <c r="X771" s="13"/>
      <c r="Z771" s="13"/>
      <c r="AB771" s="13"/>
      <c r="AC771" s="13"/>
      <c r="AE771" s="13"/>
      <c r="AF771" s="13"/>
      <c r="AG771" s="13"/>
      <c r="AH771" s="13"/>
      <c r="AZ771" s="14"/>
      <c r="BA771" s="14"/>
      <c r="BB771" s="14"/>
    </row>
    <row r="772" ht="15.75" customHeight="1">
      <c r="B772" s="146"/>
      <c r="F772" s="13"/>
      <c r="K772" s="13"/>
      <c r="P772" s="13"/>
      <c r="Q772" s="13"/>
      <c r="R772" s="13"/>
      <c r="U772" s="13"/>
      <c r="W772" s="13"/>
      <c r="X772" s="13"/>
      <c r="Z772" s="13"/>
      <c r="AB772" s="13"/>
      <c r="AC772" s="13"/>
      <c r="AE772" s="13"/>
      <c r="AF772" s="13"/>
      <c r="AG772" s="13"/>
      <c r="AH772" s="13"/>
      <c r="AZ772" s="14"/>
      <c r="BA772" s="14"/>
      <c r="BB772" s="14"/>
    </row>
    <row r="773" ht="15.75" customHeight="1">
      <c r="B773" s="146"/>
      <c r="F773" s="13"/>
      <c r="K773" s="13"/>
      <c r="P773" s="13"/>
      <c r="Q773" s="13"/>
      <c r="R773" s="13"/>
      <c r="U773" s="13"/>
      <c r="W773" s="13"/>
      <c r="X773" s="13"/>
      <c r="Z773" s="13"/>
      <c r="AB773" s="13"/>
      <c r="AC773" s="13"/>
      <c r="AE773" s="13"/>
      <c r="AF773" s="13"/>
      <c r="AG773" s="13"/>
      <c r="AH773" s="13"/>
      <c r="AZ773" s="14"/>
      <c r="BA773" s="14"/>
      <c r="BB773" s="14"/>
    </row>
    <row r="774" ht="15.75" customHeight="1">
      <c r="B774" s="146"/>
      <c r="F774" s="13"/>
      <c r="K774" s="13"/>
      <c r="P774" s="13"/>
      <c r="Q774" s="13"/>
      <c r="R774" s="13"/>
      <c r="U774" s="13"/>
      <c r="W774" s="13"/>
      <c r="X774" s="13"/>
      <c r="Z774" s="13"/>
      <c r="AB774" s="13"/>
      <c r="AC774" s="13"/>
      <c r="AE774" s="13"/>
      <c r="AF774" s="13"/>
      <c r="AG774" s="13"/>
      <c r="AH774" s="13"/>
      <c r="AZ774" s="14"/>
      <c r="BA774" s="14"/>
      <c r="BB774" s="14"/>
    </row>
    <row r="775" ht="15.75" customHeight="1">
      <c r="B775" s="146"/>
      <c r="F775" s="13"/>
      <c r="K775" s="13"/>
      <c r="P775" s="13"/>
      <c r="Q775" s="13"/>
      <c r="R775" s="13"/>
      <c r="U775" s="13"/>
      <c r="W775" s="13"/>
      <c r="X775" s="13"/>
      <c r="Z775" s="13"/>
      <c r="AB775" s="13"/>
      <c r="AC775" s="13"/>
      <c r="AE775" s="13"/>
      <c r="AF775" s="13"/>
      <c r="AG775" s="13"/>
      <c r="AH775" s="13"/>
      <c r="AZ775" s="14"/>
      <c r="BA775" s="14"/>
      <c r="BB775" s="14"/>
    </row>
    <row r="776" ht="15.75" customHeight="1">
      <c r="B776" s="146"/>
      <c r="F776" s="13"/>
      <c r="K776" s="13"/>
      <c r="P776" s="13"/>
      <c r="Q776" s="13"/>
      <c r="R776" s="13"/>
      <c r="U776" s="13"/>
      <c r="W776" s="13"/>
      <c r="X776" s="13"/>
      <c r="Z776" s="13"/>
      <c r="AB776" s="13"/>
      <c r="AC776" s="13"/>
      <c r="AE776" s="13"/>
      <c r="AF776" s="13"/>
      <c r="AG776" s="13"/>
      <c r="AH776" s="13"/>
      <c r="AZ776" s="14"/>
      <c r="BA776" s="14"/>
      <c r="BB776" s="14"/>
    </row>
    <row r="777" ht="15.75" customHeight="1">
      <c r="B777" s="146"/>
      <c r="F777" s="13"/>
      <c r="K777" s="13"/>
      <c r="P777" s="13"/>
      <c r="Q777" s="13"/>
      <c r="R777" s="13"/>
      <c r="U777" s="13"/>
      <c r="W777" s="13"/>
      <c r="X777" s="13"/>
      <c r="Z777" s="13"/>
      <c r="AB777" s="13"/>
      <c r="AC777" s="13"/>
      <c r="AE777" s="13"/>
      <c r="AF777" s="13"/>
      <c r="AG777" s="13"/>
      <c r="AH777" s="13"/>
      <c r="AZ777" s="14"/>
      <c r="BA777" s="14"/>
      <c r="BB777" s="14"/>
    </row>
    <row r="778" ht="15.75" customHeight="1">
      <c r="B778" s="146"/>
      <c r="F778" s="13"/>
      <c r="K778" s="13"/>
      <c r="P778" s="13"/>
      <c r="Q778" s="13"/>
      <c r="R778" s="13"/>
      <c r="U778" s="13"/>
      <c r="W778" s="13"/>
      <c r="X778" s="13"/>
      <c r="Z778" s="13"/>
      <c r="AB778" s="13"/>
      <c r="AC778" s="13"/>
      <c r="AE778" s="13"/>
      <c r="AF778" s="13"/>
      <c r="AG778" s="13"/>
      <c r="AH778" s="13"/>
      <c r="AZ778" s="14"/>
      <c r="BA778" s="14"/>
      <c r="BB778" s="14"/>
    </row>
    <row r="779" ht="15.75" customHeight="1">
      <c r="B779" s="146"/>
      <c r="F779" s="13"/>
      <c r="K779" s="13"/>
      <c r="P779" s="13"/>
      <c r="Q779" s="13"/>
      <c r="R779" s="13"/>
      <c r="U779" s="13"/>
      <c r="W779" s="13"/>
      <c r="X779" s="13"/>
      <c r="Z779" s="13"/>
      <c r="AB779" s="13"/>
      <c r="AC779" s="13"/>
      <c r="AE779" s="13"/>
      <c r="AF779" s="13"/>
      <c r="AG779" s="13"/>
      <c r="AH779" s="13"/>
      <c r="AZ779" s="14"/>
      <c r="BA779" s="14"/>
      <c r="BB779" s="14"/>
    </row>
    <row r="780" ht="15.75" customHeight="1">
      <c r="B780" s="146"/>
      <c r="F780" s="13"/>
      <c r="K780" s="13"/>
      <c r="P780" s="13"/>
      <c r="Q780" s="13"/>
      <c r="R780" s="13"/>
      <c r="U780" s="13"/>
      <c r="W780" s="13"/>
      <c r="X780" s="13"/>
      <c r="Z780" s="13"/>
      <c r="AB780" s="13"/>
      <c r="AC780" s="13"/>
      <c r="AE780" s="13"/>
      <c r="AF780" s="13"/>
      <c r="AG780" s="13"/>
      <c r="AH780" s="13"/>
      <c r="AZ780" s="14"/>
      <c r="BA780" s="14"/>
      <c r="BB780" s="14"/>
    </row>
    <row r="781" ht="15.75" customHeight="1">
      <c r="B781" s="146"/>
      <c r="F781" s="13"/>
      <c r="K781" s="13"/>
      <c r="P781" s="13"/>
      <c r="Q781" s="13"/>
      <c r="R781" s="13"/>
      <c r="U781" s="13"/>
      <c r="W781" s="13"/>
      <c r="X781" s="13"/>
      <c r="Z781" s="13"/>
      <c r="AB781" s="13"/>
      <c r="AC781" s="13"/>
      <c r="AE781" s="13"/>
      <c r="AF781" s="13"/>
      <c r="AG781" s="13"/>
      <c r="AH781" s="13"/>
      <c r="AZ781" s="14"/>
      <c r="BA781" s="14"/>
      <c r="BB781" s="14"/>
    </row>
    <row r="782" ht="15.75" customHeight="1">
      <c r="B782" s="146"/>
      <c r="F782" s="13"/>
      <c r="K782" s="13"/>
      <c r="P782" s="13"/>
      <c r="Q782" s="13"/>
      <c r="R782" s="13"/>
      <c r="U782" s="13"/>
      <c r="W782" s="13"/>
      <c r="X782" s="13"/>
      <c r="Z782" s="13"/>
      <c r="AB782" s="13"/>
      <c r="AC782" s="13"/>
      <c r="AE782" s="13"/>
      <c r="AF782" s="13"/>
      <c r="AG782" s="13"/>
      <c r="AH782" s="13"/>
      <c r="AZ782" s="14"/>
      <c r="BA782" s="14"/>
      <c r="BB782" s="14"/>
    </row>
    <row r="783" ht="15.75" customHeight="1">
      <c r="B783" s="146"/>
      <c r="F783" s="13"/>
      <c r="K783" s="13"/>
      <c r="P783" s="13"/>
      <c r="Q783" s="13"/>
      <c r="R783" s="13"/>
      <c r="U783" s="13"/>
      <c r="W783" s="13"/>
      <c r="X783" s="13"/>
      <c r="Z783" s="13"/>
      <c r="AB783" s="13"/>
      <c r="AC783" s="13"/>
      <c r="AE783" s="13"/>
      <c r="AF783" s="13"/>
      <c r="AG783" s="13"/>
      <c r="AH783" s="13"/>
      <c r="AZ783" s="14"/>
      <c r="BA783" s="14"/>
      <c r="BB783" s="14"/>
    </row>
    <row r="784" ht="15.75" customHeight="1">
      <c r="B784" s="146"/>
      <c r="F784" s="13"/>
      <c r="K784" s="13"/>
      <c r="P784" s="13"/>
      <c r="Q784" s="13"/>
      <c r="R784" s="13"/>
      <c r="U784" s="13"/>
      <c r="W784" s="13"/>
      <c r="X784" s="13"/>
      <c r="Z784" s="13"/>
      <c r="AB784" s="13"/>
      <c r="AC784" s="13"/>
      <c r="AE784" s="13"/>
      <c r="AF784" s="13"/>
      <c r="AG784" s="13"/>
      <c r="AH784" s="13"/>
      <c r="AZ784" s="14"/>
      <c r="BA784" s="14"/>
      <c r="BB784" s="14"/>
    </row>
    <row r="785" ht="15.75" customHeight="1">
      <c r="B785" s="146"/>
      <c r="F785" s="13"/>
      <c r="K785" s="13"/>
      <c r="P785" s="13"/>
      <c r="Q785" s="13"/>
      <c r="R785" s="13"/>
      <c r="U785" s="13"/>
      <c r="W785" s="13"/>
      <c r="X785" s="13"/>
      <c r="Z785" s="13"/>
      <c r="AB785" s="13"/>
      <c r="AC785" s="13"/>
      <c r="AE785" s="13"/>
      <c r="AF785" s="13"/>
      <c r="AG785" s="13"/>
      <c r="AH785" s="13"/>
      <c r="AZ785" s="14"/>
      <c r="BA785" s="14"/>
      <c r="BB785" s="14"/>
    </row>
    <row r="786" ht="15.75" customHeight="1">
      <c r="B786" s="146"/>
      <c r="F786" s="13"/>
      <c r="K786" s="13"/>
      <c r="P786" s="13"/>
      <c r="Q786" s="13"/>
      <c r="R786" s="13"/>
      <c r="U786" s="13"/>
      <c r="W786" s="13"/>
      <c r="X786" s="13"/>
      <c r="Z786" s="13"/>
      <c r="AB786" s="13"/>
      <c r="AC786" s="13"/>
      <c r="AE786" s="13"/>
      <c r="AF786" s="13"/>
      <c r="AG786" s="13"/>
      <c r="AH786" s="13"/>
      <c r="AZ786" s="14"/>
      <c r="BA786" s="14"/>
      <c r="BB786" s="14"/>
    </row>
    <row r="787" ht="15.75" customHeight="1">
      <c r="B787" s="146"/>
      <c r="F787" s="13"/>
      <c r="K787" s="13"/>
      <c r="P787" s="13"/>
      <c r="Q787" s="13"/>
      <c r="R787" s="13"/>
      <c r="U787" s="13"/>
      <c r="W787" s="13"/>
      <c r="X787" s="13"/>
      <c r="Z787" s="13"/>
      <c r="AB787" s="13"/>
      <c r="AC787" s="13"/>
      <c r="AE787" s="13"/>
      <c r="AF787" s="13"/>
      <c r="AG787" s="13"/>
      <c r="AH787" s="13"/>
      <c r="AZ787" s="14"/>
      <c r="BA787" s="14"/>
      <c r="BB787" s="14"/>
    </row>
    <row r="788" ht="15.75" customHeight="1">
      <c r="B788" s="146"/>
      <c r="F788" s="13"/>
      <c r="K788" s="13"/>
      <c r="P788" s="13"/>
      <c r="Q788" s="13"/>
      <c r="R788" s="13"/>
      <c r="U788" s="13"/>
      <c r="W788" s="13"/>
      <c r="X788" s="13"/>
      <c r="Z788" s="13"/>
      <c r="AB788" s="13"/>
      <c r="AC788" s="13"/>
      <c r="AE788" s="13"/>
      <c r="AF788" s="13"/>
      <c r="AG788" s="13"/>
      <c r="AH788" s="13"/>
      <c r="AZ788" s="14"/>
      <c r="BA788" s="14"/>
      <c r="BB788" s="14"/>
    </row>
    <row r="789" ht="15.75" customHeight="1">
      <c r="B789" s="146"/>
      <c r="F789" s="13"/>
      <c r="K789" s="13"/>
      <c r="P789" s="13"/>
      <c r="Q789" s="13"/>
      <c r="R789" s="13"/>
      <c r="U789" s="13"/>
      <c r="W789" s="13"/>
      <c r="X789" s="13"/>
      <c r="Z789" s="13"/>
      <c r="AB789" s="13"/>
      <c r="AC789" s="13"/>
      <c r="AE789" s="13"/>
      <c r="AF789" s="13"/>
      <c r="AG789" s="13"/>
      <c r="AH789" s="13"/>
      <c r="AZ789" s="14"/>
      <c r="BA789" s="14"/>
      <c r="BB789" s="14"/>
    </row>
    <row r="790" ht="15.75" customHeight="1">
      <c r="B790" s="146"/>
      <c r="F790" s="13"/>
      <c r="K790" s="13"/>
      <c r="P790" s="13"/>
      <c r="Q790" s="13"/>
      <c r="R790" s="13"/>
      <c r="U790" s="13"/>
      <c r="W790" s="13"/>
      <c r="X790" s="13"/>
      <c r="Z790" s="13"/>
      <c r="AB790" s="13"/>
      <c r="AC790" s="13"/>
      <c r="AE790" s="13"/>
      <c r="AF790" s="13"/>
      <c r="AG790" s="13"/>
      <c r="AH790" s="13"/>
      <c r="AZ790" s="14"/>
      <c r="BA790" s="14"/>
      <c r="BB790" s="14"/>
    </row>
    <row r="791" ht="15.75" customHeight="1">
      <c r="B791" s="146"/>
      <c r="F791" s="13"/>
      <c r="K791" s="13"/>
      <c r="P791" s="13"/>
      <c r="Q791" s="13"/>
      <c r="R791" s="13"/>
      <c r="U791" s="13"/>
      <c r="W791" s="13"/>
      <c r="X791" s="13"/>
      <c r="Z791" s="13"/>
      <c r="AB791" s="13"/>
      <c r="AC791" s="13"/>
      <c r="AE791" s="13"/>
      <c r="AF791" s="13"/>
      <c r="AG791" s="13"/>
      <c r="AH791" s="13"/>
      <c r="AZ791" s="14"/>
      <c r="BA791" s="14"/>
      <c r="BB791" s="14"/>
    </row>
    <row r="792" ht="15.75" customHeight="1">
      <c r="B792" s="146"/>
      <c r="F792" s="13"/>
      <c r="K792" s="13"/>
      <c r="P792" s="13"/>
      <c r="Q792" s="13"/>
      <c r="R792" s="13"/>
      <c r="U792" s="13"/>
      <c r="W792" s="13"/>
      <c r="X792" s="13"/>
      <c r="Z792" s="13"/>
      <c r="AB792" s="13"/>
      <c r="AC792" s="13"/>
      <c r="AE792" s="13"/>
      <c r="AF792" s="13"/>
      <c r="AG792" s="13"/>
      <c r="AH792" s="13"/>
      <c r="AZ792" s="14"/>
      <c r="BA792" s="14"/>
      <c r="BB792" s="14"/>
    </row>
    <row r="793" ht="15.75" customHeight="1">
      <c r="B793" s="146"/>
      <c r="F793" s="13"/>
      <c r="K793" s="13"/>
      <c r="P793" s="13"/>
      <c r="Q793" s="13"/>
      <c r="R793" s="13"/>
      <c r="U793" s="13"/>
      <c r="W793" s="13"/>
      <c r="X793" s="13"/>
      <c r="Z793" s="13"/>
      <c r="AB793" s="13"/>
      <c r="AC793" s="13"/>
      <c r="AE793" s="13"/>
      <c r="AF793" s="13"/>
      <c r="AG793" s="13"/>
      <c r="AH793" s="13"/>
      <c r="AZ793" s="14"/>
      <c r="BA793" s="14"/>
      <c r="BB793" s="14"/>
    </row>
    <row r="794" ht="15.75" customHeight="1">
      <c r="B794" s="146"/>
      <c r="F794" s="13"/>
      <c r="K794" s="13"/>
      <c r="P794" s="13"/>
      <c r="Q794" s="13"/>
      <c r="R794" s="13"/>
      <c r="U794" s="13"/>
      <c r="W794" s="13"/>
      <c r="X794" s="13"/>
      <c r="Z794" s="13"/>
      <c r="AB794" s="13"/>
      <c r="AC794" s="13"/>
      <c r="AE794" s="13"/>
      <c r="AF794" s="13"/>
      <c r="AG794" s="13"/>
      <c r="AH794" s="13"/>
      <c r="AZ794" s="14"/>
      <c r="BA794" s="14"/>
      <c r="BB794" s="14"/>
    </row>
    <row r="795" ht="15.75" customHeight="1">
      <c r="B795" s="146"/>
      <c r="F795" s="13"/>
      <c r="K795" s="13"/>
      <c r="P795" s="13"/>
      <c r="Q795" s="13"/>
      <c r="R795" s="13"/>
      <c r="U795" s="13"/>
      <c r="W795" s="13"/>
      <c r="X795" s="13"/>
      <c r="Z795" s="13"/>
      <c r="AB795" s="13"/>
      <c r="AC795" s="13"/>
      <c r="AE795" s="13"/>
      <c r="AF795" s="13"/>
      <c r="AG795" s="13"/>
      <c r="AH795" s="13"/>
      <c r="AZ795" s="14"/>
      <c r="BA795" s="14"/>
      <c r="BB795" s="14"/>
    </row>
    <row r="796" ht="15.75" customHeight="1">
      <c r="B796" s="146"/>
      <c r="F796" s="13"/>
      <c r="K796" s="13"/>
      <c r="P796" s="13"/>
      <c r="Q796" s="13"/>
      <c r="R796" s="13"/>
      <c r="U796" s="13"/>
      <c r="W796" s="13"/>
      <c r="X796" s="13"/>
      <c r="Z796" s="13"/>
      <c r="AB796" s="13"/>
      <c r="AC796" s="13"/>
      <c r="AE796" s="13"/>
      <c r="AF796" s="13"/>
      <c r="AG796" s="13"/>
      <c r="AH796" s="13"/>
      <c r="AZ796" s="14"/>
      <c r="BA796" s="14"/>
      <c r="BB796" s="14"/>
    </row>
    <row r="797" ht="15.75" customHeight="1">
      <c r="B797" s="146"/>
      <c r="F797" s="13"/>
      <c r="K797" s="13"/>
      <c r="P797" s="13"/>
      <c r="Q797" s="13"/>
      <c r="R797" s="13"/>
      <c r="U797" s="13"/>
      <c r="W797" s="13"/>
      <c r="X797" s="13"/>
      <c r="Z797" s="13"/>
      <c r="AB797" s="13"/>
      <c r="AC797" s="13"/>
      <c r="AE797" s="13"/>
      <c r="AF797" s="13"/>
      <c r="AG797" s="13"/>
      <c r="AH797" s="13"/>
      <c r="AZ797" s="14"/>
      <c r="BA797" s="14"/>
      <c r="BB797" s="14"/>
    </row>
    <row r="798" ht="15.75" customHeight="1">
      <c r="B798" s="146"/>
      <c r="F798" s="13"/>
      <c r="K798" s="13"/>
      <c r="P798" s="13"/>
      <c r="Q798" s="13"/>
      <c r="R798" s="13"/>
      <c r="U798" s="13"/>
      <c r="W798" s="13"/>
      <c r="X798" s="13"/>
      <c r="Z798" s="13"/>
      <c r="AB798" s="13"/>
      <c r="AC798" s="13"/>
      <c r="AE798" s="13"/>
      <c r="AF798" s="13"/>
      <c r="AG798" s="13"/>
      <c r="AH798" s="13"/>
      <c r="AZ798" s="14"/>
      <c r="BA798" s="14"/>
      <c r="BB798" s="14"/>
    </row>
    <row r="799" ht="15.75" customHeight="1">
      <c r="B799" s="146"/>
      <c r="F799" s="13"/>
      <c r="K799" s="13"/>
      <c r="P799" s="13"/>
      <c r="Q799" s="13"/>
      <c r="R799" s="13"/>
      <c r="U799" s="13"/>
      <c r="W799" s="13"/>
      <c r="X799" s="13"/>
      <c r="Z799" s="13"/>
      <c r="AB799" s="13"/>
      <c r="AC799" s="13"/>
      <c r="AE799" s="13"/>
      <c r="AF799" s="13"/>
      <c r="AG799" s="13"/>
      <c r="AH799" s="13"/>
      <c r="AZ799" s="14"/>
      <c r="BA799" s="14"/>
      <c r="BB799" s="14"/>
    </row>
    <row r="800" ht="15.75" customHeight="1">
      <c r="B800" s="146"/>
      <c r="F800" s="13"/>
      <c r="K800" s="13"/>
      <c r="P800" s="13"/>
      <c r="Q800" s="13"/>
      <c r="R800" s="13"/>
      <c r="U800" s="13"/>
      <c r="W800" s="13"/>
      <c r="X800" s="13"/>
      <c r="Z800" s="13"/>
      <c r="AB800" s="13"/>
      <c r="AC800" s="13"/>
      <c r="AE800" s="13"/>
      <c r="AF800" s="13"/>
      <c r="AG800" s="13"/>
      <c r="AH800" s="13"/>
      <c r="AZ800" s="14"/>
      <c r="BA800" s="14"/>
      <c r="BB800" s="14"/>
    </row>
    <row r="801" ht="15.75" customHeight="1">
      <c r="B801" s="146"/>
      <c r="F801" s="13"/>
      <c r="K801" s="13"/>
      <c r="P801" s="13"/>
      <c r="Q801" s="13"/>
      <c r="R801" s="13"/>
      <c r="U801" s="13"/>
      <c r="W801" s="13"/>
      <c r="X801" s="13"/>
      <c r="Z801" s="13"/>
      <c r="AB801" s="13"/>
      <c r="AC801" s="13"/>
      <c r="AE801" s="13"/>
      <c r="AF801" s="13"/>
      <c r="AG801" s="13"/>
      <c r="AH801" s="13"/>
      <c r="AZ801" s="14"/>
      <c r="BA801" s="14"/>
      <c r="BB801" s="14"/>
    </row>
    <row r="802" ht="15.75" customHeight="1">
      <c r="B802" s="146"/>
      <c r="F802" s="13"/>
      <c r="K802" s="13"/>
      <c r="P802" s="13"/>
      <c r="Q802" s="13"/>
      <c r="R802" s="13"/>
      <c r="U802" s="13"/>
      <c r="W802" s="13"/>
      <c r="X802" s="13"/>
      <c r="Z802" s="13"/>
      <c r="AB802" s="13"/>
      <c r="AC802" s="13"/>
      <c r="AE802" s="13"/>
      <c r="AF802" s="13"/>
      <c r="AG802" s="13"/>
      <c r="AH802" s="13"/>
      <c r="AZ802" s="14"/>
      <c r="BA802" s="14"/>
      <c r="BB802" s="14"/>
    </row>
    <row r="803" ht="15.75" customHeight="1">
      <c r="B803" s="146"/>
      <c r="F803" s="13"/>
      <c r="K803" s="13"/>
      <c r="P803" s="13"/>
      <c r="Q803" s="13"/>
      <c r="R803" s="13"/>
      <c r="U803" s="13"/>
      <c r="W803" s="13"/>
      <c r="X803" s="13"/>
      <c r="Z803" s="13"/>
      <c r="AB803" s="13"/>
      <c r="AC803" s="13"/>
      <c r="AE803" s="13"/>
      <c r="AF803" s="13"/>
      <c r="AG803" s="13"/>
      <c r="AH803" s="13"/>
      <c r="AZ803" s="14"/>
      <c r="BA803" s="14"/>
      <c r="BB803" s="14"/>
    </row>
    <row r="804" ht="15.75" customHeight="1">
      <c r="B804" s="146"/>
      <c r="F804" s="13"/>
      <c r="K804" s="13"/>
      <c r="P804" s="13"/>
      <c r="Q804" s="13"/>
      <c r="R804" s="13"/>
      <c r="U804" s="13"/>
      <c r="W804" s="13"/>
      <c r="X804" s="13"/>
      <c r="Z804" s="13"/>
      <c r="AB804" s="13"/>
      <c r="AC804" s="13"/>
      <c r="AE804" s="13"/>
      <c r="AF804" s="13"/>
      <c r="AG804" s="13"/>
      <c r="AH804" s="13"/>
      <c r="AZ804" s="14"/>
      <c r="BA804" s="14"/>
      <c r="BB804" s="14"/>
    </row>
    <row r="805" ht="15.75" customHeight="1">
      <c r="B805" s="146"/>
      <c r="F805" s="13"/>
      <c r="K805" s="13"/>
      <c r="P805" s="13"/>
      <c r="Q805" s="13"/>
      <c r="R805" s="13"/>
      <c r="U805" s="13"/>
      <c r="W805" s="13"/>
      <c r="X805" s="13"/>
      <c r="Z805" s="13"/>
      <c r="AB805" s="13"/>
      <c r="AC805" s="13"/>
      <c r="AE805" s="13"/>
      <c r="AF805" s="13"/>
      <c r="AG805" s="13"/>
      <c r="AH805" s="13"/>
      <c r="AZ805" s="14"/>
      <c r="BA805" s="14"/>
      <c r="BB805" s="14"/>
    </row>
    <row r="806" ht="15.75" customHeight="1">
      <c r="B806" s="146"/>
      <c r="F806" s="13"/>
      <c r="K806" s="13"/>
      <c r="P806" s="13"/>
      <c r="Q806" s="13"/>
      <c r="R806" s="13"/>
      <c r="U806" s="13"/>
      <c r="W806" s="13"/>
      <c r="X806" s="13"/>
      <c r="Z806" s="13"/>
      <c r="AB806" s="13"/>
      <c r="AC806" s="13"/>
      <c r="AE806" s="13"/>
      <c r="AF806" s="13"/>
      <c r="AG806" s="13"/>
      <c r="AH806" s="13"/>
      <c r="AZ806" s="14"/>
      <c r="BA806" s="14"/>
      <c r="BB806" s="14"/>
    </row>
    <row r="807" ht="15.75" customHeight="1">
      <c r="B807" s="146"/>
      <c r="F807" s="13"/>
      <c r="K807" s="13"/>
      <c r="P807" s="13"/>
      <c r="Q807" s="13"/>
      <c r="R807" s="13"/>
      <c r="U807" s="13"/>
      <c r="W807" s="13"/>
      <c r="X807" s="13"/>
      <c r="Z807" s="13"/>
      <c r="AB807" s="13"/>
      <c r="AC807" s="13"/>
      <c r="AE807" s="13"/>
      <c r="AF807" s="13"/>
      <c r="AG807" s="13"/>
      <c r="AH807" s="13"/>
      <c r="AZ807" s="14"/>
      <c r="BA807" s="14"/>
      <c r="BB807" s="14"/>
    </row>
    <row r="808" ht="15.75" customHeight="1">
      <c r="B808" s="146"/>
      <c r="F808" s="13"/>
      <c r="K808" s="13"/>
      <c r="P808" s="13"/>
      <c r="Q808" s="13"/>
      <c r="R808" s="13"/>
      <c r="U808" s="13"/>
      <c r="W808" s="13"/>
      <c r="X808" s="13"/>
      <c r="Z808" s="13"/>
      <c r="AB808" s="13"/>
      <c r="AC808" s="13"/>
      <c r="AE808" s="13"/>
      <c r="AF808" s="13"/>
      <c r="AG808" s="13"/>
      <c r="AH808" s="13"/>
      <c r="AZ808" s="14"/>
      <c r="BA808" s="14"/>
      <c r="BB808" s="14"/>
    </row>
    <row r="809" ht="15.75" customHeight="1">
      <c r="B809" s="146"/>
      <c r="F809" s="13"/>
      <c r="K809" s="13"/>
      <c r="P809" s="13"/>
      <c r="Q809" s="13"/>
      <c r="R809" s="13"/>
      <c r="U809" s="13"/>
      <c r="W809" s="13"/>
      <c r="X809" s="13"/>
      <c r="Z809" s="13"/>
      <c r="AB809" s="13"/>
      <c r="AC809" s="13"/>
      <c r="AE809" s="13"/>
      <c r="AF809" s="13"/>
      <c r="AG809" s="13"/>
      <c r="AH809" s="13"/>
      <c r="AZ809" s="14"/>
      <c r="BA809" s="14"/>
      <c r="BB809" s="14"/>
    </row>
    <row r="810" ht="15.75" customHeight="1">
      <c r="B810" s="146"/>
      <c r="F810" s="13"/>
      <c r="K810" s="13"/>
      <c r="P810" s="13"/>
      <c r="Q810" s="13"/>
      <c r="R810" s="13"/>
      <c r="U810" s="13"/>
      <c r="W810" s="13"/>
      <c r="X810" s="13"/>
      <c r="Z810" s="13"/>
      <c r="AB810" s="13"/>
      <c r="AC810" s="13"/>
      <c r="AE810" s="13"/>
      <c r="AF810" s="13"/>
      <c r="AG810" s="13"/>
      <c r="AH810" s="13"/>
      <c r="AZ810" s="14"/>
      <c r="BA810" s="14"/>
      <c r="BB810" s="14"/>
    </row>
    <row r="811" ht="15.75" customHeight="1">
      <c r="B811" s="146"/>
      <c r="F811" s="13"/>
      <c r="K811" s="13"/>
      <c r="P811" s="13"/>
      <c r="Q811" s="13"/>
      <c r="R811" s="13"/>
      <c r="U811" s="13"/>
      <c r="W811" s="13"/>
      <c r="X811" s="13"/>
      <c r="Z811" s="13"/>
      <c r="AB811" s="13"/>
      <c r="AC811" s="13"/>
      <c r="AE811" s="13"/>
      <c r="AF811" s="13"/>
      <c r="AG811" s="13"/>
      <c r="AH811" s="13"/>
      <c r="AZ811" s="14"/>
      <c r="BA811" s="14"/>
      <c r="BB811" s="14"/>
    </row>
    <row r="812" ht="15.75" customHeight="1">
      <c r="B812" s="146"/>
      <c r="F812" s="13"/>
      <c r="K812" s="13"/>
      <c r="P812" s="13"/>
      <c r="Q812" s="13"/>
      <c r="R812" s="13"/>
      <c r="U812" s="13"/>
      <c r="W812" s="13"/>
      <c r="X812" s="13"/>
      <c r="Z812" s="13"/>
      <c r="AB812" s="13"/>
      <c r="AC812" s="13"/>
      <c r="AE812" s="13"/>
      <c r="AF812" s="13"/>
      <c r="AG812" s="13"/>
      <c r="AH812" s="13"/>
      <c r="AZ812" s="14"/>
      <c r="BA812" s="14"/>
      <c r="BB812" s="14"/>
    </row>
    <row r="813" ht="15.75" customHeight="1">
      <c r="B813" s="146"/>
      <c r="F813" s="13"/>
      <c r="K813" s="13"/>
      <c r="P813" s="13"/>
      <c r="Q813" s="13"/>
      <c r="R813" s="13"/>
      <c r="U813" s="13"/>
      <c r="W813" s="13"/>
      <c r="X813" s="13"/>
      <c r="Z813" s="13"/>
      <c r="AB813" s="13"/>
      <c r="AC813" s="13"/>
      <c r="AE813" s="13"/>
      <c r="AF813" s="13"/>
      <c r="AG813" s="13"/>
      <c r="AH813" s="13"/>
      <c r="AZ813" s="14"/>
      <c r="BA813" s="14"/>
      <c r="BB813" s="14"/>
    </row>
    <row r="814" ht="15.75" customHeight="1">
      <c r="B814" s="146"/>
      <c r="F814" s="13"/>
      <c r="K814" s="13"/>
      <c r="P814" s="13"/>
      <c r="Q814" s="13"/>
      <c r="R814" s="13"/>
      <c r="U814" s="13"/>
      <c r="W814" s="13"/>
      <c r="X814" s="13"/>
      <c r="Z814" s="13"/>
      <c r="AB814" s="13"/>
      <c r="AC814" s="13"/>
      <c r="AE814" s="13"/>
      <c r="AF814" s="13"/>
      <c r="AG814" s="13"/>
      <c r="AH814" s="13"/>
      <c r="AZ814" s="14"/>
      <c r="BA814" s="14"/>
      <c r="BB814" s="14"/>
    </row>
    <row r="815" ht="15.75" customHeight="1">
      <c r="B815" s="146"/>
      <c r="F815" s="13"/>
      <c r="K815" s="13"/>
      <c r="P815" s="13"/>
      <c r="Q815" s="13"/>
      <c r="R815" s="13"/>
      <c r="U815" s="13"/>
      <c r="W815" s="13"/>
      <c r="X815" s="13"/>
      <c r="Z815" s="13"/>
      <c r="AB815" s="13"/>
      <c r="AC815" s="13"/>
      <c r="AE815" s="13"/>
      <c r="AF815" s="13"/>
      <c r="AG815" s="13"/>
      <c r="AH815" s="13"/>
      <c r="AZ815" s="14"/>
      <c r="BA815" s="14"/>
      <c r="BB815" s="14"/>
    </row>
    <row r="816" ht="15.75" customHeight="1">
      <c r="B816" s="146"/>
      <c r="F816" s="13"/>
      <c r="K816" s="13"/>
      <c r="P816" s="13"/>
      <c r="Q816" s="13"/>
      <c r="R816" s="13"/>
      <c r="U816" s="13"/>
      <c r="W816" s="13"/>
      <c r="X816" s="13"/>
      <c r="Z816" s="13"/>
      <c r="AB816" s="13"/>
      <c r="AC816" s="13"/>
      <c r="AE816" s="13"/>
      <c r="AF816" s="13"/>
      <c r="AG816" s="13"/>
      <c r="AH816" s="13"/>
      <c r="AZ816" s="14"/>
      <c r="BA816" s="14"/>
      <c r="BB816" s="14"/>
    </row>
    <row r="817" ht="15.75" customHeight="1">
      <c r="B817" s="146"/>
      <c r="F817" s="13"/>
      <c r="K817" s="13"/>
      <c r="P817" s="13"/>
      <c r="Q817" s="13"/>
      <c r="R817" s="13"/>
      <c r="U817" s="13"/>
      <c r="W817" s="13"/>
      <c r="X817" s="13"/>
      <c r="Z817" s="13"/>
      <c r="AB817" s="13"/>
      <c r="AC817" s="13"/>
      <c r="AE817" s="13"/>
      <c r="AF817" s="13"/>
      <c r="AG817" s="13"/>
      <c r="AH817" s="13"/>
      <c r="AZ817" s="14"/>
      <c r="BA817" s="14"/>
      <c r="BB817" s="14"/>
    </row>
    <row r="818" ht="15.75" customHeight="1">
      <c r="B818" s="146"/>
      <c r="F818" s="13"/>
      <c r="K818" s="13"/>
      <c r="P818" s="13"/>
      <c r="Q818" s="13"/>
      <c r="R818" s="13"/>
      <c r="U818" s="13"/>
      <c r="W818" s="13"/>
      <c r="X818" s="13"/>
      <c r="Z818" s="13"/>
      <c r="AB818" s="13"/>
      <c r="AC818" s="13"/>
      <c r="AE818" s="13"/>
      <c r="AF818" s="13"/>
      <c r="AG818" s="13"/>
      <c r="AH818" s="13"/>
      <c r="AZ818" s="14"/>
      <c r="BA818" s="14"/>
      <c r="BB818" s="14"/>
    </row>
    <row r="819" ht="15.75" customHeight="1">
      <c r="B819" s="146"/>
      <c r="F819" s="13"/>
      <c r="K819" s="13"/>
      <c r="P819" s="13"/>
      <c r="Q819" s="13"/>
      <c r="R819" s="13"/>
      <c r="U819" s="13"/>
      <c r="W819" s="13"/>
      <c r="X819" s="13"/>
      <c r="Z819" s="13"/>
      <c r="AB819" s="13"/>
      <c r="AC819" s="13"/>
      <c r="AE819" s="13"/>
      <c r="AF819" s="13"/>
      <c r="AG819" s="13"/>
      <c r="AH819" s="13"/>
      <c r="AZ819" s="14"/>
      <c r="BA819" s="14"/>
      <c r="BB819" s="14"/>
    </row>
    <row r="820" ht="15.75" customHeight="1">
      <c r="B820" s="146"/>
      <c r="F820" s="13"/>
      <c r="K820" s="13"/>
      <c r="P820" s="13"/>
      <c r="Q820" s="13"/>
      <c r="R820" s="13"/>
      <c r="U820" s="13"/>
      <c r="W820" s="13"/>
      <c r="X820" s="13"/>
      <c r="Z820" s="13"/>
      <c r="AB820" s="13"/>
      <c r="AC820" s="13"/>
      <c r="AE820" s="13"/>
      <c r="AF820" s="13"/>
      <c r="AG820" s="13"/>
      <c r="AH820" s="13"/>
      <c r="AZ820" s="14"/>
      <c r="BA820" s="14"/>
      <c r="BB820" s="14"/>
    </row>
    <row r="821" ht="15.75" customHeight="1">
      <c r="B821" s="146"/>
      <c r="F821" s="13"/>
      <c r="K821" s="13"/>
      <c r="P821" s="13"/>
      <c r="Q821" s="13"/>
      <c r="R821" s="13"/>
      <c r="U821" s="13"/>
      <c r="W821" s="13"/>
      <c r="X821" s="13"/>
      <c r="Z821" s="13"/>
      <c r="AB821" s="13"/>
      <c r="AC821" s="13"/>
      <c r="AE821" s="13"/>
      <c r="AF821" s="13"/>
      <c r="AG821" s="13"/>
      <c r="AH821" s="13"/>
      <c r="AZ821" s="14"/>
      <c r="BA821" s="14"/>
      <c r="BB821" s="14"/>
    </row>
    <row r="822" ht="15.75" customHeight="1">
      <c r="B822" s="146"/>
      <c r="F822" s="13"/>
      <c r="K822" s="13"/>
      <c r="P822" s="13"/>
      <c r="Q822" s="13"/>
      <c r="R822" s="13"/>
      <c r="U822" s="13"/>
      <c r="W822" s="13"/>
      <c r="X822" s="13"/>
      <c r="Z822" s="13"/>
      <c r="AB822" s="13"/>
      <c r="AC822" s="13"/>
      <c r="AE822" s="13"/>
      <c r="AF822" s="13"/>
      <c r="AG822" s="13"/>
      <c r="AH822" s="13"/>
      <c r="AZ822" s="14"/>
      <c r="BA822" s="14"/>
      <c r="BB822" s="14"/>
    </row>
    <row r="823" ht="15.75" customHeight="1">
      <c r="B823" s="146"/>
      <c r="F823" s="13"/>
      <c r="K823" s="13"/>
      <c r="P823" s="13"/>
      <c r="Q823" s="13"/>
      <c r="R823" s="13"/>
      <c r="U823" s="13"/>
      <c r="W823" s="13"/>
      <c r="X823" s="13"/>
      <c r="Z823" s="13"/>
      <c r="AB823" s="13"/>
      <c r="AC823" s="13"/>
      <c r="AE823" s="13"/>
      <c r="AF823" s="13"/>
      <c r="AG823" s="13"/>
      <c r="AH823" s="13"/>
      <c r="AZ823" s="14"/>
      <c r="BA823" s="14"/>
      <c r="BB823" s="14"/>
    </row>
    <row r="824" ht="15.75" customHeight="1">
      <c r="B824" s="146"/>
      <c r="F824" s="13"/>
      <c r="K824" s="13"/>
      <c r="P824" s="13"/>
      <c r="Q824" s="13"/>
      <c r="R824" s="13"/>
      <c r="U824" s="13"/>
      <c r="W824" s="13"/>
      <c r="X824" s="13"/>
      <c r="Z824" s="13"/>
      <c r="AB824" s="13"/>
      <c r="AC824" s="13"/>
      <c r="AE824" s="13"/>
      <c r="AF824" s="13"/>
      <c r="AG824" s="13"/>
      <c r="AH824" s="13"/>
      <c r="AZ824" s="14"/>
      <c r="BA824" s="14"/>
      <c r="BB824" s="14"/>
    </row>
    <row r="825" ht="15.75" customHeight="1">
      <c r="B825" s="146"/>
      <c r="F825" s="13"/>
      <c r="K825" s="13"/>
      <c r="P825" s="13"/>
      <c r="Q825" s="13"/>
      <c r="R825" s="13"/>
      <c r="U825" s="13"/>
      <c r="W825" s="13"/>
      <c r="X825" s="13"/>
      <c r="Z825" s="13"/>
      <c r="AB825" s="13"/>
      <c r="AC825" s="13"/>
      <c r="AE825" s="13"/>
      <c r="AF825" s="13"/>
      <c r="AG825" s="13"/>
      <c r="AH825" s="13"/>
      <c r="AZ825" s="14"/>
      <c r="BA825" s="14"/>
      <c r="BB825" s="14"/>
    </row>
    <row r="826" ht="15.75" customHeight="1">
      <c r="B826" s="146"/>
      <c r="F826" s="13"/>
      <c r="K826" s="13"/>
      <c r="P826" s="13"/>
      <c r="Q826" s="13"/>
      <c r="R826" s="13"/>
      <c r="U826" s="13"/>
      <c r="W826" s="13"/>
      <c r="X826" s="13"/>
      <c r="Z826" s="13"/>
      <c r="AB826" s="13"/>
      <c r="AC826" s="13"/>
      <c r="AE826" s="13"/>
      <c r="AF826" s="13"/>
      <c r="AG826" s="13"/>
      <c r="AH826" s="13"/>
      <c r="AZ826" s="14"/>
      <c r="BA826" s="14"/>
      <c r="BB826" s="14"/>
    </row>
    <row r="827" ht="15.75" customHeight="1">
      <c r="B827" s="146"/>
      <c r="F827" s="13"/>
      <c r="K827" s="13"/>
      <c r="P827" s="13"/>
      <c r="Q827" s="13"/>
      <c r="R827" s="13"/>
      <c r="U827" s="13"/>
      <c r="W827" s="13"/>
      <c r="X827" s="13"/>
      <c r="Z827" s="13"/>
      <c r="AB827" s="13"/>
      <c r="AC827" s="13"/>
      <c r="AE827" s="13"/>
      <c r="AF827" s="13"/>
      <c r="AG827" s="13"/>
      <c r="AH827" s="13"/>
      <c r="AZ827" s="14"/>
      <c r="BA827" s="14"/>
      <c r="BB827" s="14"/>
    </row>
    <row r="828" ht="15.75" customHeight="1">
      <c r="B828" s="146"/>
      <c r="F828" s="13"/>
      <c r="K828" s="13"/>
      <c r="P828" s="13"/>
      <c r="Q828" s="13"/>
      <c r="R828" s="13"/>
      <c r="U828" s="13"/>
      <c r="W828" s="13"/>
      <c r="X828" s="13"/>
      <c r="Z828" s="13"/>
      <c r="AB828" s="13"/>
      <c r="AC828" s="13"/>
      <c r="AE828" s="13"/>
      <c r="AF828" s="13"/>
      <c r="AG828" s="13"/>
      <c r="AH828" s="13"/>
      <c r="AZ828" s="14"/>
      <c r="BA828" s="14"/>
      <c r="BB828" s="14"/>
    </row>
    <row r="829" ht="15.75" customHeight="1">
      <c r="B829" s="146"/>
      <c r="F829" s="13"/>
      <c r="K829" s="13"/>
      <c r="P829" s="13"/>
      <c r="Q829" s="13"/>
      <c r="R829" s="13"/>
      <c r="U829" s="13"/>
      <c r="W829" s="13"/>
      <c r="X829" s="13"/>
      <c r="Z829" s="13"/>
      <c r="AB829" s="13"/>
      <c r="AC829" s="13"/>
      <c r="AE829" s="13"/>
      <c r="AF829" s="13"/>
      <c r="AG829" s="13"/>
      <c r="AH829" s="13"/>
      <c r="AZ829" s="14"/>
      <c r="BA829" s="14"/>
      <c r="BB829" s="14"/>
    </row>
    <row r="830" ht="15.75" customHeight="1">
      <c r="B830" s="146"/>
      <c r="F830" s="13"/>
      <c r="K830" s="13"/>
      <c r="P830" s="13"/>
      <c r="Q830" s="13"/>
      <c r="R830" s="13"/>
      <c r="U830" s="13"/>
      <c r="W830" s="13"/>
      <c r="X830" s="13"/>
      <c r="Z830" s="13"/>
      <c r="AB830" s="13"/>
      <c r="AC830" s="13"/>
      <c r="AE830" s="13"/>
      <c r="AF830" s="13"/>
      <c r="AG830" s="13"/>
      <c r="AH830" s="13"/>
      <c r="AZ830" s="14"/>
      <c r="BA830" s="14"/>
      <c r="BB830" s="14"/>
    </row>
    <row r="831" ht="15.75" customHeight="1">
      <c r="B831" s="146"/>
      <c r="F831" s="13"/>
      <c r="K831" s="13"/>
      <c r="P831" s="13"/>
      <c r="Q831" s="13"/>
      <c r="R831" s="13"/>
      <c r="U831" s="13"/>
      <c r="W831" s="13"/>
      <c r="X831" s="13"/>
      <c r="Z831" s="13"/>
      <c r="AB831" s="13"/>
      <c r="AC831" s="13"/>
      <c r="AE831" s="13"/>
      <c r="AF831" s="13"/>
      <c r="AG831" s="13"/>
      <c r="AH831" s="13"/>
      <c r="AZ831" s="14"/>
      <c r="BA831" s="14"/>
      <c r="BB831" s="14"/>
    </row>
    <row r="832" ht="15.75" customHeight="1">
      <c r="B832" s="146"/>
      <c r="F832" s="13"/>
      <c r="K832" s="13"/>
      <c r="P832" s="13"/>
      <c r="Q832" s="13"/>
      <c r="R832" s="13"/>
      <c r="U832" s="13"/>
      <c r="W832" s="13"/>
      <c r="X832" s="13"/>
      <c r="Z832" s="13"/>
      <c r="AB832" s="13"/>
      <c r="AC832" s="13"/>
      <c r="AE832" s="13"/>
      <c r="AF832" s="13"/>
      <c r="AG832" s="13"/>
      <c r="AH832" s="13"/>
      <c r="AZ832" s="14"/>
      <c r="BA832" s="14"/>
      <c r="BB832" s="14"/>
    </row>
    <row r="833" ht="15.75" customHeight="1">
      <c r="B833" s="146"/>
      <c r="F833" s="13"/>
      <c r="K833" s="13"/>
      <c r="P833" s="13"/>
      <c r="Q833" s="13"/>
      <c r="R833" s="13"/>
      <c r="U833" s="13"/>
      <c r="W833" s="13"/>
      <c r="X833" s="13"/>
      <c r="Z833" s="13"/>
      <c r="AB833" s="13"/>
      <c r="AC833" s="13"/>
      <c r="AE833" s="13"/>
      <c r="AF833" s="13"/>
      <c r="AG833" s="13"/>
      <c r="AH833" s="13"/>
      <c r="AZ833" s="14"/>
      <c r="BA833" s="14"/>
      <c r="BB833" s="14"/>
    </row>
    <row r="834" ht="15.75" customHeight="1">
      <c r="B834" s="146"/>
      <c r="F834" s="13"/>
      <c r="K834" s="13"/>
      <c r="P834" s="13"/>
      <c r="Q834" s="13"/>
      <c r="R834" s="13"/>
      <c r="U834" s="13"/>
      <c r="W834" s="13"/>
      <c r="X834" s="13"/>
      <c r="Z834" s="13"/>
      <c r="AB834" s="13"/>
      <c r="AC834" s="13"/>
      <c r="AE834" s="13"/>
      <c r="AF834" s="13"/>
      <c r="AG834" s="13"/>
      <c r="AH834" s="13"/>
      <c r="AZ834" s="14"/>
      <c r="BA834" s="14"/>
      <c r="BB834" s="14"/>
    </row>
    <row r="835" ht="15.75" customHeight="1">
      <c r="B835" s="146"/>
      <c r="F835" s="13"/>
      <c r="K835" s="13"/>
      <c r="P835" s="13"/>
      <c r="Q835" s="13"/>
      <c r="R835" s="13"/>
      <c r="U835" s="13"/>
      <c r="W835" s="13"/>
      <c r="X835" s="13"/>
      <c r="Z835" s="13"/>
      <c r="AB835" s="13"/>
      <c r="AC835" s="13"/>
      <c r="AE835" s="13"/>
      <c r="AF835" s="13"/>
      <c r="AG835" s="13"/>
      <c r="AH835" s="13"/>
      <c r="AZ835" s="14"/>
      <c r="BA835" s="14"/>
      <c r="BB835" s="14"/>
    </row>
    <row r="836" ht="15.75" customHeight="1">
      <c r="B836" s="146"/>
      <c r="F836" s="13"/>
      <c r="K836" s="13"/>
      <c r="P836" s="13"/>
      <c r="Q836" s="13"/>
      <c r="R836" s="13"/>
      <c r="U836" s="13"/>
      <c r="W836" s="13"/>
      <c r="X836" s="13"/>
      <c r="Z836" s="13"/>
      <c r="AB836" s="13"/>
      <c r="AC836" s="13"/>
      <c r="AE836" s="13"/>
      <c r="AF836" s="13"/>
      <c r="AG836" s="13"/>
      <c r="AH836" s="13"/>
      <c r="AZ836" s="14"/>
      <c r="BA836" s="14"/>
      <c r="BB836" s="14"/>
    </row>
    <row r="837" ht="15.75" customHeight="1">
      <c r="B837" s="146"/>
      <c r="F837" s="13"/>
      <c r="K837" s="13"/>
      <c r="P837" s="13"/>
      <c r="Q837" s="13"/>
      <c r="R837" s="13"/>
      <c r="U837" s="13"/>
      <c r="W837" s="13"/>
      <c r="X837" s="13"/>
      <c r="Z837" s="13"/>
      <c r="AB837" s="13"/>
      <c r="AC837" s="13"/>
      <c r="AE837" s="13"/>
      <c r="AF837" s="13"/>
      <c r="AG837" s="13"/>
      <c r="AH837" s="13"/>
      <c r="AZ837" s="14"/>
      <c r="BA837" s="14"/>
      <c r="BB837" s="14"/>
    </row>
    <row r="838" ht="15.75" customHeight="1">
      <c r="B838" s="146"/>
      <c r="F838" s="13"/>
      <c r="K838" s="13"/>
      <c r="P838" s="13"/>
      <c r="Q838" s="13"/>
      <c r="R838" s="13"/>
      <c r="U838" s="13"/>
      <c r="W838" s="13"/>
      <c r="X838" s="13"/>
      <c r="Z838" s="13"/>
      <c r="AB838" s="13"/>
      <c r="AC838" s="13"/>
      <c r="AE838" s="13"/>
      <c r="AF838" s="13"/>
      <c r="AG838" s="13"/>
      <c r="AH838" s="13"/>
      <c r="AZ838" s="14"/>
      <c r="BA838" s="14"/>
      <c r="BB838" s="14"/>
    </row>
    <row r="839" ht="15.75" customHeight="1">
      <c r="B839" s="146"/>
      <c r="F839" s="13"/>
      <c r="K839" s="13"/>
      <c r="P839" s="13"/>
      <c r="Q839" s="13"/>
      <c r="R839" s="13"/>
      <c r="U839" s="13"/>
      <c r="W839" s="13"/>
      <c r="X839" s="13"/>
      <c r="Z839" s="13"/>
      <c r="AB839" s="13"/>
      <c r="AC839" s="13"/>
      <c r="AE839" s="13"/>
      <c r="AF839" s="13"/>
      <c r="AG839" s="13"/>
      <c r="AH839" s="13"/>
      <c r="AZ839" s="14"/>
      <c r="BA839" s="14"/>
      <c r="BB839" s="14"/>
    </row>
    <row r="840" ht="15.75" customHeight="1">
      <c r="B840" s="146"/>
      <c r="F840" s="13"/>
      <c r="K840" s="13"/>
      <c r="P840" s="13"/>
      <c r="Q840" s="13"/>
      <c r="R840" s="13"/>
      <c r="U840" s="13"/>
      <c r="W840" s="13"/>
      <c r="X840" s="13"/>
      <c r="Z840" s="13"/>
      <c r="AB840" s="13"/>
      <c r="AC840" s="13"/>
      <c r="AE840" s="13"/>
      <c r="AF840" s="13"/>
      <c r="AG840" s="13"/>
      <c r="AH840" s="13"/>
      <c r="AZ840" s="14"/>
      <c r="BA840" s="14"/>
      <c r="BB840" s="14"/>
    </row>
    <row r="841" ht="15.75" customHeight="1">
      <c r="B841" s="146"/>
      <c r="F841" s="13"/>
      <c r="K841" s="13"/>
      <c r="P841" s="13"/>
      <c r="Q841" s="13"/>
      <c r="R841" s="13"/>
      <c r="U841" s="13"/>
      <c r="W841" s="13"/>
      <c r="X841" s="13"/>
      <c r="Z841" s="13"/>
      <c r="AB841" s="13"/>
      <c r="AC841" s="13"/>
      <c r="AE841" s="13"/>
      <c r="AF841" s="13"/>
      <c r="AG841" s="13"/>
      <c r="AH841" s="13"/>
      <c r="AZ841" s="14"/>
      <c r="BA841" s="14"/>
      <c r="BB841" s="14"/>
    </row>
    <row r="842" ht="15.75" customHeight="1">
      <c r="B842" s="146"/>
      <c r="F842" s="13"/>
      <c r="K842" s="13"/>
      <c r="P842" s="13"/>
      <c r="Q842" s="13"/>
      <c r="R842" s="13"/>
      <c r="U842" s="13"/>
      <c r="W842" s="13"/>
      <c r="X842" s="13"/>
      <c r="Z842" s="13"/>
      <c r="AB842" s="13"/>
      <c r="AC842" s="13"/>
      <c r="AE842" s="13"/>
      <c r="AF842" s="13"/>
      <c r="AG842" s="13"/>
      <c r="AH842" s="13"/>
      <c r="AZ842" s="14"/>
      <c r="BA842" s="14"/>
      <c r="BB842" s="14"/>
    </row>
    <row r="843" ht="15.75" customHeight="1">
      <c r="B843" s="146"/>
      <c r="F843" s="13"/>
      <c r="K843" s="13"/>
      <c r="P843" s="13"/>
      <c r="Q843" s="13"/>
      <c r="R843" s="13"/>
      <c r="U843" s="13"/>
      <c r="W843" s="13"/>
      <c r="X843" s="13"/>
      <c r="Z843" s="13"/>
      <c r="AB843" s="13"/>
      <c r="AC843" s="13"/>
      <c r="AE843" s="13"/>
      <c r="AF843" s="13"/>
      <c r="AG843" s="13"/>
      <c r="AH843" s="13"/>
      <c r="AZ843" s="14"/>
      <c r="BA843" s="14"/>
      <c r="BB843" s="14"/>
    </row>
    <row r="844" ht="15.75" customHeight="1">
      <c r="B844" s="146"/>
      <c r="F844" s="13"/>
      <c r="K844" s="13"/>
      <c r="P844" s="13"/>
      <c r="Q844" s="13"/>
      <c r="R844" s="13"/>
      <c r="U844" s="13"/>
      <c r="W844" s="13"/>
      <c r="X844" s="13"/>
      <c r="Z844" s="13"/>
      <c r="AB844" s="13"/>
      <c r="AC844" s="13"/>
      <c r="AE844" s="13"/>
      <c r="AF844" s="13"/>
      <c r="AG844" s="13"/>
      <c r="AH844" s="13"/>
      <c r="AZ844" s="14"/>
      <c r="BA844" s="14"/>
      <c r="BB844" s="14"/>
    </row>
    <row r="845" ht="15.75" customHeight="1">
      <c r="B845" s="146"/>
      <c r="F845" s="13"/>
      <c r="K845" s="13"/>
      <c r="P845" s="13"/>
      <c r="Q845" s="13"/>
      <c r="R845" s="13"/>
      <c r="U845" s="13"/>
      <c r="W845" s="13"/>
      <c r="X845" s="13"/>
      <c r="Z845" s="13"/>
      <c r="AB845" s="13"/>
      <c r="AC845" s="13"/>
      <c r="AE845" s="13"/>
      <c r="AF845" s="13"/>
      <c r="AG845" s="13"/>
      <c r="AH845" s="13"/>
      <c r="AZ845" s="14"/>
      <c r="BA845" s="14"/>
      <c r="BB845" s="14"/>
    </row>
    <row r="846" ht="15.75" customHeight="1">
      <c r="B846" s="146"/>
      <c r="F846" s="13"/>
      <c r="K846" s="13"/>
      <c r="P846" s="13"/>
      <c r="Q846" s="13"/>
      <c r="R846" s="13"/>
      <c r="U846" s="13"/>
      <c r="W846" s="13"/>
      <c r="X846" s="13"/>
      <c r="Z846" s="13"/>
      <c r="AB846" s="13"/>
      <c r="AC846" s="13"/>
      <c r="AE846" s="13"/>
      <c r="AF846" s="13"/>
      <c r="AG846" s="13"/>
      <c r="AH846" s="13"/>
      <c r="AZ846" s="14"/>
      <c r="BA846" s="14"/>
      <c r="BB846" s="14"/>
    </row>
    <row r="847" ht="15.75" customHeight="1">
      <c r="B847" s="146"/>
      <c r="F847" s="13"/>
      <c r="K847" s="13"/>
      <c r="P847" s="13"/>
      <c r="Q847" s="13"/>
      <c r="R847" s="13"/>
      <c r="U847" s="13"/>
      <c r="W847" s="13"/>
      <c r="X847" s="13"/>
      <c r="Z847" s="13"/>
      <c r="AB847" s="13"/>
      <c r="AC847" s="13"/>
      <c r="AE847" s="13"/>
      <c r="AF847" s="13"/>
      <c r="AG847" s="13"/>
      <c r="AH847" s="13"/>
      <c r="AZ847" s="14"/>
      <c r="BA847" s="14"/>
      <c r="BB847" s="14"/>
    </row>
    <row r="848" ht="15.75" customHeight="1">
      <c r="B848" s="146"/>
      <c r="F848" s="13"/>
      <c r="K848" s="13"/>
      <c r="P848" s="13"/>
      <c r="Q848" s="13"/>
      <c r="R848" s="13"/>
      <c r="U848" s="13"/>
      <c r="W848" s="13"/>
      <c r="X848" s="13"/>
      <c r="Z848" s="13"/>
      <c r="AB848" s="13"/>
      <c r="AC848" s="13"/>
      <c r="AE848" s="13"/>
      <c r="AF848" s="13"/>
      <c r="AG848" s="13"/>
      <c r="AH848" s="13"/>
      <c r="AZ848" s="14"/>
      <c r="BA848" s="14"/>
      <c r="BB848" s="14"/>
    </row>
    <row r="849" ht="15.75" customHeight="1">
      <c r="B849" s="146"/>
      <c r="F849" s="13"/>
      <c r="K849" s="13"/>
      <c r="P849" s="13"/>
      <c r="Q849" s="13"/>
      <c r="R849" s="13"/>
      <c r="U849" s="13"/>
      <c r="W849" s="13"/>
      <c r="X849" s="13"/>
      <c r="Z849" s="13"/>
      <c r="AB849" s="13"/>
      <c r="AC849" s="13"/>
      <c r="AE849" s="13"/>
      <c r="AF849" s="13"/>
      <c r="AG849" s="13"/>
      <c r="AH849" s="13"/>
      <c r="AZ849" s="14"/>
      <c r="BA849" s="14"/>
      <c r="BB849" s="14"/>
    </row>
    <row r="850" ht="15.75" customHeight="1">
      <c r="B850" s="146"/>
      <c r="F850" s="13"/>
      <c r="K850" s="13"/>
      <c r="P850" s="13"/>
      <c r="Q850" s="13"/>
      <c r="R850" s="13"/>
      <c r="U850" s="13"/>
      <c r="W850" s="13"/>
      <c r="X850" s="13"/>
      <c r="Z850" s="13"/>
      <c r="AB850" s="13"/>
      <c r="AC850" s="13"/>
      <c r="AE850" s="13"/>
      <c r="AF850" s="13"/>
      <c r="AG850" s="13"/>
      <c r="AH850" s="13"/>
      <c r="AZ850" s="14"/>
      <c r="BA850" s="14"/>
      <c r="BB850" s="14"/>
    </row>
    <row r="851" ht="15.75" customHeight="1">
      <c r="B851" s="146"/>
      <c r="F851" s="13"/>
      <c r="K851" s="13"/>
      <c r="P851" s="13"/>
      <c r="Q851" s="13"/>
      <c r="R851" s="13"/>
      <c r="U851" s="13"/>
      <c r="W851" s="13"/>
      <c r="X851" s="13"/>
      <c r="Z851" s="13"/>
      <c r="AB851" s="13"/>
      <c r="AC851" s="13"/>
      <c r="AE851" s="13"/>
      <c r="AF851" s="13"/>
      <c r="AG851" s="13"/>
      <c r="AH851" s="13"/>
      <c r="AZ851" s="14"/>
      <c r="BA851" s="14"/>
      <c r="BB851" s="14"/>
    </row>
    <row r="852" ht="15.75" customHeight="1">
      <c r="B852" s="146"/>
      <c r="F852" s="13"/>
      <c r="K852" s="13"/>
      <c r="P852" s="13"/>
      <c r="Q852" s="13"/>
      <c r="R852" s="13"/>
      <c r="U852" s="13"/>
      <c r="W852" s="13"/>
      <c r="X852" s="13"/>
      <c r="Z852" s="13"/>
      <c r="AB852" s="13"/>
      <c r="AC852" s="13"/>
      <c r="AE852" s="13"/>
      <c r="AF852" s="13"/>
      <c r="AG852" s="13"/>
      <c r="AH852" s="13"/>
      <c r="AZ852" s="14"/>
      <c r="BA852" s="14"/>
      <c r="BB852" s="14"/>
    </row>
    <row r="853" ht="15.75" customHeight="1">
      <c r="B853" s="146"/>
      <c r="F853" s="13"/>
      <c r="K853" s="13"/>
      <c r="P853" s="13"/>
      <c r="Q853" s="13"/>
      <c r="R853" s="13"/>
      <c r="U853" s="13"/>
      <c r="W853" s="13"/>
      <c r="X853" s="13"/>
      <c r="Z853" s="13"/>
      <c r="AB853" s="13"/>
      <c r="AC853" s="13"/>
      <c r="AE853" s="13"/>
      <c r="AF853" s="13"/>
      <c r="AG853" s="13"/>
      <c r="AH853" s="13"/>
      <c r="AZ853" s="14"/>
      <c r="BA853" s="14"/>
      <c r="BB853" s="14"/>
    </row>
    <row r="854" ht="15.75" customHeight="1">
      <c r="B854" s="146"/>
      <c r="F854" s="13"/>
      <c r="K854" s="13"/>
      <c r="P854" s="13"/>
      <c r="Q854" s="13"/>
      <c r="R854" s="13"/>
      <c r="U854" s="13"/>
      <c r="W854" s="13"/>
      <c r="X854" s="13"/>
      <c r="Z854" s="13"/>
      <c r="AB854" s="13"/>
      <c r="AC854" s="13"/>
      <c r="AE854" s="13"/>
      <c r="AF854" s="13"/>
      <c r="AG854" s="13"/>
      <c r="AH854" s="13"/>
      <c r="AZ854" s="14"/>
      <c r="BA854" s="14"/>
      <c r="BB854" s="14"/>
    </row>
    <row r="855" ht="15.75" customHeight="1">
      <c r="B855" s="146"/>
      <c r="F855" s="13"/>
      <c r="K855" s="13"/>
      <c r="P855" s="13"/>
      <c r="Q855" s="13"/>
      <c r="R855" s="13"/>
      <c r="U855" s="13"/>
      <c r="W855" s="13"/>
      <c r="X855" s="13"/>
      <c r="Z855" s="13"/>
      <c r="AB855" s="13"/>
      <c r="AC855" s="13"/>
      <c r="AE855" s="13"/>
      <c r="AF855" s="13"/>
      <c r="AG855" s="13"/>
      <c r="AH855" s="13"/>
      <c r="AZ855" s="14"/>
      <c r="BA855" s="14"/>
      <c r="BB855" s="14"/>
    </row>
    <row r="856" ht="15.75" customHeight="1">
      <c r="B856" s="146"/>
      <c r="F856" s="13"/>
      <c r="K856" s="13"/>
      <c r="P856" s="13"/>
      <c r="Q856" s="13"/>
      <c r="R856" s="13"/>
      <c r="U856" s="13"/>
      <c r="W856" s="13"/>
      <c r="X856" s="13"/>
      <c r="Z856" s="13"/>
      <c r="AB856" s="13"/>
      <c r="AC856" s="13"/>
      <c r="AE856" s="13"/>
      <c r="AF856" s="13"/>
      <c r="AG856" s="13"/>
      <c r="AH856" s="13"/>
      <c r="AZ856" s="14"/>
      <c r="BA856" s="14"/>
      <c r="BB856" s="14"/>
    </row>
    <row r="857" ht="15.75" customHeight="1">
      <c r="B857" s="146"/>
      <c r="F857" s="13"/>
      <c r="K857" s="13"/>
      <c r="P857" s="13"/>
      <c r="Q857" s="13"/>
      <c r="R857" s="13"/>
      <c r="U857" s="13"/>
      <c r="W857" s="13"/>
      <c r="X857" s="13"/>
      <c r="Z857" s="13"/>
      <c r="AB857" s="13"/>
      <c r="AC857" s="13"/>
      <c r="AE857" s="13"/>
      <c r="AF857" s="13"/>
      <c r="AG857" s="13"/>
      <c r="AH857" s="13"/>
      <c r="AZ857" s="14"/>
      <c r="BA857" s="14"/>
      <c r="BB857" s="14"/>
    </row>
    <row r="858" ht="15.75" customHeight="1">
      <c r="B858" s="146"/>
      <c r="F858" s="13"/>
      <c r="K858" s="13"/>
      <c r="P858" s="13"/>
      <c r="Q858" s="13"/>
      <c r="R858" s="13"/>
      <c r="U858" s="13"/>
      <c r="W858" s="13"/>
      <c r="X858" s="13"/>
      <c r="Z858" s="13"/>
      <c r="AB858" s="13"/>
      <c r="AC858" s="13"/>
      <c r="AE858" s="13"/>
      <c r="AF858" s="13"/>
      <c r="AG858" s="13"/>
      <c r="AH858" s="13"/>
      <c r="AZ858" s="14"/>
      <c r="BA858" s="14"/>
      <c r="BB858" s="14"/>
    </row>
    <row r="859" ht="15.75" customHeight="1">
      <c r="B859" s="146"/>
      <c r="F859" s="13"/>
      <c r="K859" s="13"/>
      <c r="P859" s="13"/>
      <c r="Q859" s="13"/>
      <c r="R859" s="13"/>
      <c r="U859" s="13"/>
      <c r="W859" s="13"/>
      <c r="X859" s="13"/>
      <c r="Z859" s="13"/>
      <c r="AB859" s="13"/>
      <c r="AC859" s="13"/>
      <c r="AE859" s="13"/>
      <c r="AF859" s="13"/>
      <c r="AG859" s="13"/>
      <c r="AH859" s="13"/>
      <c r="AZ859" s="14"/>
      <c r="BA859" s="14"/>
      <c r="BB859" s="14"/>
    </row>
    <row r="860" ht="15.75" customHeight="1">
      <c r="B860" s="146"/>
      <c r="F860" s="13"/>
      <c r="K860" s="13"/>
      <c r="P860" s="13"/>
      <c r="Q860" s="13"/>
      <c r="R860" s="13"/>
      <c r="U860" s="13"/>
      <c r="W860" s="13"/>
      <c r="X860" s="13"/>
      <c r="Z860" s="13"/>
      <c r="AB860" s="13"/>
      <c r="AC860" s="13"/>
      <c r="AE860" s="13"/>
      <c r="AF860" s="13"/>
      <c r="AG860" s="13"/>
      <c r="AH860" s="13"/>
      <c r="AZ860" s="14"/>
      <c r="BA860" s="14"/>
      <c r="BB860" s="14"/>
    </row>
    <row r="861" ht="15.75" customHeight="1">
      <c r="B861" s="146"/>
      <c r="F861" s="13"/>
      <c r="K861" s="13"/>
      <c r="P861" s="13"/>
      <c r="Q861" s="13"/>
      <c r="R861" s="13"/>
      <c r="U861" s="13"/>
      <c r="W861" s="13"/>
      <c r="X861" s="13"/>
      <c r="Z861" s="13"/>
      <c r="AB861" s="13"/>
      <c r="AC861" s="13"/>
      <c r="AE861" s="13"/>
      <c r="AF861" s="13"/>
      <c r="AG861" s="13"/>
      <c r="AH861" s="13"/>
      <c r="AZ861" s="14"/>
      <c r="BA861" s="14"/>
      <c r="BB861" s="14"/>
    </row>
    <row r="862" ht="15.75" customHeight="1">
      <c r="B862" s="146"/>
      <c r="F862" s="13"/>
      <c r="K862" s="13"/>
      <c r="P862" s="13"/>
      <c r="Q862" s="13"/>
      <c r="R862" s="13"/>
      <c r="U862" s="13"/>
      <c r="W862" s="13"/>
      <c r="X862" s="13"/>
      <c r="Z862" s="13"/>
      <c r="AB862" s="13"/>
      <c r="AC862" s="13"/>
      <c r="AE862" s="13"/>
      <c r="AF862" s="13"/>
      <c r="AG862" s="13"/>
      <c r="AH862" s="13"/>
      <c r="AZ862" s="14"/>
      <c r="BA862" s="14"/>
      <c r="BB862" s="14"/>
    </row>
    <row r="863" ht="15.75" customHeight="1">
      <c r="B863" s="146"/>
      <c r="F863" s="13"/>
      <c r="K863" s="13"/>
      <c r="P863" s="13"/>
      <c r="Q863" s="13"/>
      <c r="R863" s="13"/>
      <c r="U863" s="13"/>
      <c r="W863" s="13"/>
      <c r="X863" s="13"/>
      <c r="Z863" s="13"/>
      <c r="AB863" s="13"/>
      <c r="AC863" s="13"/>
      <c r="AE863" s="13"/>
      <c r="AF863" s="13"/>
      <c r="AG863" s="13"/>
      <c r="AH863" s="13"/>
      <c r="AZ863" s="14"/>
      <c r="BA863" s="14"/>
      <c r="BB863" s="14"/>
    </row>
    <row r="864" ht="15.75" customHeight="1">
      <c r="B864" s="146"/>
      <c r="F864" s="13"/>
      <c r="K864" s="13"/>
      <c r="P864" s="13"/>
      <c r="Q864" s="13"/>
      <c r="R864" s="13"/>
      <c r="U864" s="13"/>
      <c r="W864" s="13"/>
      <c r="X864" s="13"/>
      <c r="Z864" s="13"/>
      <c r="AB864" s="13"/>
      <c r="AC864" s="13"/>
      <c r="AE864" s="13"/>
      <c r="AF864" s="13"/>
      <c r="AG864" s="13"/>
      <c r="AH864" s="13"/>
      <c r="AZ864" s="14"/>
      <c r="BA864" s="14"/>
      <c r="BB864" s="14"/>
    </row>
    <row r="865" ht="15.75" customHeight="1">
      <c r="B865" s="146"/>
      <c r="F865" s="13"/>
      <c r="K865" s="13"/>
      <c r="P865" s="13"/>
      <c r="Q865" s="13"/>
      <c r="R865" s="13"/>
      <c r="U865" s="13"/>
      <c r="W865" s="13"/>
      <c r="X865" s="13"/>
      <c r="Z865" s="13"/>
      <c r="AB865" s="13"/>
      <c r="AC865" s="13"/>
      <c r="AE865" s="13"/>
      <c r="AF865" s="13"/>
      <c r="AG865" s="13"/>
      <c r="AH865" s="13"/>
      <c r="AZ865" s="14"/>
      <c r="BA865" s="14"/>
      <c r="BB865" s="14"/>
    </row>
    <row r="866" ht="15.75" customHeight="1">
      <c r="B866" s="146"/>
      <c r="F866" s="13"/>
      <c r="K866" s="13"/>
      <c r="P866" s="13"/>
      <c r="Q866" s="13"/>
      <c r="R866" s="13"/>
      <c r="U866" s="13"/>
      <c r="W866" s="13"/>
      <c r="X866" s="13"/>
      <c r="Z866" s="13"/>
      <c r="AB866" s="13"/>
      <c r="AC866" s="13"/>
      <c r="AE866" s="13"/>
      <c r="AF866" s="13"/>
      <c r="AG866" s="13"/>
      <c r="AH866" s="13"/>
      <c r="AZ866" s="14"/>
      <c r="BA866" s="14"/>
      <c r="BB866" s="14"/>
    </row>
    <row r="867" ht="15.75" customHeight="1">
      <c r="B867" s="146"/>
      <c r="F867" s="13"/>
      <c r="K867" s="13"/>
      <c r="P867" s="13"/>
      <c r="Q867" s="13"/>
      <c r="R867" s="13"/>
      <c r="U867" s="13"/>
      <c r="W867" s="13"/>
      <c r="X867" s="13"/>
      <c r="Z867" s="13"/>
      <c r="AB867" s="13"/>
      <c r="AC867" s="13"/>
      <c r="AE867" s="13"/>
      <c r="AF867" s="13"/>
      <c r="AG867" s="13"/>
      <c r="AH867" s="13"/>
      <c r="AZ867" s="14"/>
      <c r="BA867" s="14"/>
      <c r="BB867" s="14"/>
    </row>
    <row r="868" ht="15.75" customHeight="1">
      <c r="B868" s="146"/>
      <c r="F868" s="13"/>
      <c r="K868" s="13"/>
      <c r="P868" s="13"/>
      <c r="Q868" s="13"/>
      <c r="R868" s="13"/>
      <c r="U868" s="13"/>
      <c r="W868" s="13"/>
      <c r="X868" s="13"/>
      <c r="Z868" s="13"/>
      <c r="AB868" s="13"/>
      <c r="AC868" s="13"/>
      <c r="AE868" s="13"/>
      <c r="AF868" s="13"/>
      <c r="AG868" s="13"/>
      <c r="AH868" s="13"/>
      <c r="AZ868" s="14"/>
      <c r="BA868" s="14"/>
      <c r="BB868" s="14"/>
    </row>
    <row r="869" ht="15.75" customHeight="1">
      <c r="B869" s="146"/>
      <c r="F869" s="13"/>
      <c r="K869" s="13"/>
      <c r="P869" s="13"/>
      <c r="Q869" s="13"/>
      <c r="R869" s="13"/>
      <c r="U869" s="13"/>
      <c r="W869" s="13"/>
      <c r="X869" s="13"/>
      <c r="Z869" s="13"/>
      <c r="AB869" s="13"/>
      <c r="AC869" s="13"/>
      <c r="AE869" s="13"/>
      <c r="AF869" s="13"/>
      <c r="AG869" s="13"/>
      <c r="AH869" s="13"/>
      <c r="AZ869" s="14"/>
      <c r="BA869" s="14"/>
      <c r="BB869" s="14"/>
    </row>
    <row r="870" ht="15.75" customHeight="1">
      <c r="B870" s="146"/>
      <c r="F870" s="13"/>
      <c r="K870" s="13"/>
      <c r="P870" s="13"/>
      <c r="Q870" s="13"/>
      <c r="R870" s="13"/>
      <c r="U870" s="13"/>
      <c r="W870" s="13"/>
      <c r="X870" s="13"/>
      <c r="Z870" s="13"/>
      <c r="AB870" s="13"/>
      <c r="AC870" s="13"/>
      <c r="AE870" s="13"/>
      <c r="AF870" s="13"/>
      <c r="AG870" s="13"/>
      <c r="AH870" s="13"/>
      <c r="AZ870" s="14"/>
      <c r="BA870" s="14"/>
      <c r="BB870" s="14"/>
    </row>
    <row r="871" ht="15.75" customHeight="1">
      <c r="B871" s="146"/>
      <c r="F871" s="13"/>
      <c r="K871" s="13"/>
      <c r="P871" s="13"/>
      <c r="Q871" s="13"/>
      <c r="R871" s="13"/>
      <c r="U871" s="13"/>
      <c r="W871" s="13"/>
      <c r="X871" s="13"/>
      <c r="Z871" s="13"/>
      <c r="AB871" s="13"/>
      <c r="AC871" s="13"/>
      <c r="AE871" s="13"/>
      <c r="AF871" s="13"/>
      <c r="AG871" s="13"/>
      <c r="AH871" s="13"/>
      <c r="AZ871" s="14"/>
      <c r="BA871" s="14"/>
      <c r="BB871" s="14"/>
    </row>
    <row r="872" ht="15.75" customHeight="1">
      <c r="B872" s="146"/>
      <c r="F872" s="13"/>
      <c r="K872" s="13"/>
      <c r="P872" s="13"/>
      <c r="Q872" s="13"/>
      <c r="R872" s="13"/>
      <c r="U872" s="13"/>
      <c r="W872" s="13"/>
      <c r="X872" s="13"/>
      <c r="Z872" s="13"/>
      <c r="AB872" s="13"/>
      <c r="AC872" s="13"/>
      <c r="AE872" s="13"/>
      <c r="AF872" s="13"/>
      <c r="AG872" s="13"/>
      <c r="AH872" s="13"/>
      <c r="AZ872" s="14"/>
      <c r="BA872" s="14"/>
      <c r="BB872" s="14"/>
    </row>
    <row r="873" ht="15.75" customHeight="1">
      <c r="B873" s="146"/>
      <c r="F873" s="13"/>
      <c r="K873" s="13"/>
      <c r="P873" s="13"/>
      <c r="Q873" s="13"/>
      <c r="R873" s="13"/>
      <c r="U873" s="13"/>
      <c r="W873" s="13"/>
      <c r="X873" s="13"/>
      <c r="Z873" s="13"/>
      <c r="AB873" s="13"/>
      <c r="AC873" s="13"/>
      <c r="AE873" s="13"/>
      <c r="AF873" s="13"/>
      <c r="AG873" s="13"/>
      <c r="AH873" s="13"/>
      <c r="AZ873" s="14"/>
      <c r="BA873" s="14"/>
      <c r="BB873" s="14"/>
    </row>
    <row r="874" ht="15.75" customHeight="1">
      <c r="B874" s="146"/>
      <c r="F874" s="13"/>
      <c r="K874" s="13"/>
      <c r="P874" s="13"/>
      <c r="Q874" s="13"/>
      <c r="R874" s="13"/>
      <c r="U874" s="13"/>
      <c r="W874" s="13"/>
      <c r="X874" s="13"/>
      <c r="Z874" s="13"/>
      <c r="AB874" s="13"/>
      <c r="AC874" s="13"/>
      <c r="AE874" s="13"/>
      <c r="AF874" s="13"/>
      <c r="AG874" s="13"/>
      <c r="AH874" s="13"/>
      <c r="AZ874" s="14"/>
      <c r="BA874" s="14"/>
      <c r="BB874" s="14"/>
    </row>
    <row r="875" ht="15.75" customHeight="1">
      <c r="B875" s="146"/>
      <c r="F875" s="13"/>
      <c r="K875" s="13"/>
      <c r="P875" s="13"/>
      <c r="Q875" s="13"/>
      <c r="R875" s="13"/>
      <c r="U875" s="13"/>
      <c r="W875" s="13"/>
      <c r="X875" s="13"/>
      <c r="Z875" s="13"/>
      <c r="AB875" s="13"/>
      <c r="AC875" s="13"/>
      <c r="AE875" s="13"/>
      <c r="AF875" s="13"/>
      <c r="AG875" s="13"/>
      <c r="AH875" s="13"/>
      <c r="AZ875" s="14"/>
      <c r="BA875" s="14"/>
      <c r="BB875" s="14"/>
    </row>
    <row r="876" ht="15.75" customHeight="1">
      <c r="B876" s="146"/>
      <c r="F876" s="13"/>
      <c r="K876" s="13"/>
      <c r="P876" s="13"/>
      <c r="Q876" s="13"/>
      <c r="R876" s="13"/>
      <c r="U876" s="13"/>
      <c r="W876" s="13"/>
      <c r="X876" s="13"/>
      <c r="Z876" s="13"/>
      <c r="AB876" s="13"/>
      <c r="AC876" s="13"/>
      <c r="AE876" s="13"/>
      <c r="AF876" s="13"/>
      <c r="AG876" s="13"/>
      <c r="AH876" s="13"/>
      <c r="AZ876" s="14"/>
      <c r="BA876" s="14"/>
      <c r="BB876" s="14"/>
    </row>
    <row r="877" ht="15.75" customHeight="1">
      <c r="B877" s="146"/>
      <c r="F877" s="13"/>
      <c r="K877" s="13"/>
      <c r="P877" s="13"/>
      <c r="Q877" s="13"/>
      <c r="R877" s="13"/>
      <c r="U877" s="13"/>
      <c r="W877" s="13"/>
      <c r="X877" s="13"/>
      <c r="Z877" s="13"/>
      <c r="AB877" s="13"/>
      <c r="AC877" s="13"/>
      <c r="AE877" s="13"/>
      <c r="AF877" s="13"/>
      <c r="AG877" s="13"/>
      <c r="AH877" s="13"/>
      <c r="AZ877" s="14"/>
      <c r="BA877" s="14"/>
      <c r="BB877" s="14"/>
    </row>
    <row r="878" ht="15.75" customHeight="1">
      <c r="B878" s="146"/>
      <c r="F878" s="13"/>
      <c r="K878" s="13"/>
      <c r="P878" s="13"/>
      <c r="Q878" s="13"/>
      <c r="R878" s="13"/>
      <c r="U878" s="13"/>
      <c r="W878" s="13"/>
      <c r="X878" s="13"/>
      <c r="Z878" s="13"/>
      <c r="AB878" s="13"/>
      <c r="AC878" s="13"/>
      <c r="AE878" s="13"/>
      <c r="AF878" s="13"/>
      <c r="AG878" s="13"/>
      <c r="AH878" s="13"/>
      <c r="AZ878" s="14"/>
      <c r="BA878" s="14"/>
      <c r="BB878" s="14"/>
    </row>
    <row r="879" ht="15.75" customHeight="1">
      <c r="B879" s="146"/>
      <c r="F879" s="13"/>
      <c r="K879" s="13"/>
      <c r="P879" s="13"/>
      <c r="Q879" s="13"/>
      <c r="R879" s="13"/>
      <c r="U879" s="13"/>
      <c r="W879" s="13"/>
      <c r="X879" s="13"/>
      <c r="Z879" s="13"/>
      <c r="AB879" s="13"/>
      <c r="AC879" s="13"/>
      <c r="AE879" s="13"/>
      <c r="AF879" s="13"/>
      <c r="AG879" s="13"/>
      <c r="AH879" s="13"/>
      <c r="AZ879" s="14"/>
      <c r="BA879" s="14"/>
      <c r="BB879" s="14"/>
    </row>
    <row r="880" ht="15.75" customHeight="1">
      <c r="B880" s="146"/>
      <c r="F880" s="13"/>
      <c r="K880" s="13"/>
      <c r="P880" s="13"/>
      <c r="Q880" s="13"/>
      <c r="R880" s="13"/>
      <c r="U880" s="13"/>
      <c r="W880" s="13"/>
      <c r="X880" s="13"/>
      <c r="Z880" s="13"/>
      <c r="AB880" s="13"/>
      <c r="AC880" s="13"/>
      <c r="AE880" s="13"/>
      <c r="AF880" s="13"/>
      <c r="AG880" s="13"/>
      <c r="AH880" s="13"/>
      <c r="AZ880" s="14"/>
      <c r="BA880" s="14"/>
      <c r="BB880" s="14"/>
    </row>
    <row r="881" ht="15.75" customHeight="1">
      <c r="B881" s="146"/>
      <c r="F881" s="13"/>
      <c r="K881" s="13"/>
      <c r="P881" s="13"/>
      <c r="Q881" s="13"/>
      <c r="R881" s="13"/>
      <c r="U881" s="13"/>
      <c r="W881" s="13"/>
      <c r="X881" s="13"/>
      <c r="Z881" s="13"/>
      <c r="AB881" s="13"/>
      <c r="AC881" s="13"/>
      <c r="AE881" s="13"/>
      <c r="AF881" s="13"/>
      <c r="AG881" s="13"/>
      <c r="AH881" s="13"/>
      <c r="AZ881" s="14"/>
      <c r="BA881" s="14"/>
      <c r="BB881" s="14"/>
    </row>
    <row r="882" ht="15.75" customHeight="1">
      <c r="B882" s="146"/>
      <c r="F882" s="13"/>
      <c r="K882" s="13"/>
      <c r="P882" s="13"/>
      <c r="Q882" s="13"/>
      <c r="R882" s="13"/>
      <c r="U882" s="13"/>
      <c r="W882" s="13"/>
      <c r="X882" s="13"/>
      <c r="Z882" s="13"/>
      <c r="AB882" s="13"/>
      <c r="AC882" s="13"/>
      <c r="AE882" s="13"/>
      <c r="AF882" s="13"/>
      <c r="AG882" s="13"/>
      <c r="AH882" s="13"/>
      <c r="AZ882" s="14"/>
      <c r="BA882" s="14"/>
      <c r="BB882" s="14"/>
    </row>
    <row r="883" ht="15.75" customHeight="1">
      <c r="B883" s="146"/>
      <c r="F883" s="13"/>
      <c r="K883" s="13"/>
      <c r="P883" s="13"/>
      <c r="Q883" s="13"/>
      <c r="R883" s="13"/>
      <c r="U883" s="13"/>
      <c r="W883" s="13"/>
      <c r="X883" s="13"/>
      <c r="Z883" s="13"/>
      <c r="AB883" s="13"/>
      <c r="AC883" s="13"/>
      <c r="AE883" s="13"/>
      <c r="AF883" s="13"/>
      <c r="AG883" s="13"/>
      <c r="AH883" s="13"/>
      <c r="AZ883" s="14"/>
      <c r="BA883" s="14"/>
      <c r="BB883" s="14"/>
    </row>
    <row r="884" ht="15.75" customHeight="1">
      <c r="B884" s="146"/>
      <c r="F884" s="13"/>
      <c r="K884" s="13"/>
      <c r="P884" s="13"/>
      <c r="Q884" s="13"/>
      <c r="R884" s="13"/>
      <c r="U884" s="13"/>
      <c r="W884" s="13"/>
      <c r="X884" s="13"/>
      <c r="Z884" s="13"/>
      <c r="AB884" s="13"/>
      <c r="AC884" s="13"/>
      <c r="AE884" s="13"/>
      <c r="AF884" s="13"/>
      <c r="AG884" s="13"/>
      <c r="AH884" s="13"/>
      <c r="AZ884" s="14"/>
      <c r="BA884" s="14"/>
      <c r="BB884" s="14"/>
    </row>
    <row r="885" ht="15.75" customHeight="1">
      <c r="B885" s="146"/>
      <c r="F885" s="13"/>
      <c r="K885" s="13"/>
      <c r="P885" s="13"/>
      <c r="Q885" s="13"/>
      <c r="R885" s="13"/>
      <c r="U885" s="13"/>
      <c r="W885" s="13"/>
      <c r="X885" s="13"/>
      <c r="Z885" s="13"/>
      <c r="AB885" s="13"/>
      <c r="AC885" s="13"/>
      <c r="AE885" s="13"/>
      <c r="AF885" s="13"/>
      <c r="AG885" s="13"/>
      <c r="AH885" s="13"/>
      <c r="AZ885" s="14"/>
      <c r="BA885" s="14"/>
      <c r="BB885" s="14"/>
    </row>
    <row r="886" ht="15.75" customHeight="1">
      <c r="B886" s="146"/>
      <c r="F886" s="13"/>
      <c r="K886" s="13"/>
      <c r="P886" s="13"/>
      <c r="Q886" s="13"/>
      <c r="R886" s="13"/>
      <c r="U886" s="13"/>
      <c r="W886" s="13"/>
      <c r="X886" s="13"/>
      <c r="Z886" s="13"/>
      <c r="AB886" s="13"/>
      <c r="AC886" s="13"/>
      <c r="AE886" s="13"/>
      <c r="AF886" s="13"/>
      <c r="AG886" s="13"/>
      <c r="AH886" s="13"/>
      <c r="AZ886" s="14"/>
      <c r="BA886" s="14"/>
      <c r="BB886" s="14"/>
    </row>
    <row r="887" ht="15.75" customHeight="1">
      <c r="B887" s="146"/>
      <c r="F887" s="13"/>
      <c r="K887" s="13"/>
      <c r="P887" s="13"/>
      <c r="Q887" s="13"/>
      <c r="R887" s="13"/>
      <c r="U887" s="13"/>
      <c r="W887" s="13"/>
      <c r="X887" s="13"/>
      <c r="Z887" s="13"/>
      <c r="AB887" s="13"/>
      <c r="AC887" s="13"/>
      <c r="AE887" s="13"/>
      <c r="AF887" s="13"/>
      <c r="AG887" s="13"/>
      <c r="AH887" s="13"/>
      <c r="AZ887" s="14"/>
      <c r="BA887" s="14"/>
      <c r="BB887" s="14"/>
    </row>
    <row r="888" ht="15.75" customHeight="1">
      <c r="B888" s="146"/>
      <c r="F888" s="13"/>
      <c r="K888" s="13"/>
      <c r="P888" s="13"/>
      <c r="Q888" s="13"/>
      <c r="R888" s="13"/>
      <c r="U888" s="13"/>
      <c r="W888" s="13"/>
      <c r="X888" s="13"/>
      <c r="Z888" s="13"/>
      <c r="AB888" s="13"/>
      <c r="AC888" s="13"/>
      <c r="AE888" s="13"/>
      <c r="AF888" s="13"/>
      <c r="AG888" s="13"/>
      <c r="AH888" s="13"/>
      <c r="AZ888" s="14"/>
      <c r="BA888" s="14"/>
      <c r="BB888" s="14"/>
    </row>
    <row r="889" ht="15.75" customHeight="1">
      <c r="B889" s="146"/>
      <c r="F889" s="13"/>
      <c r="K889" s="13"/>
      <c r="P889" s="13"/>
      <c r="Q889" s="13"/>
      <c r="R889" s="13"/>
      <c r="U889" s="13"/>
      <c r="W889" s="13"/>
      <c r="X889" s="13"/>
      <c r="Z889" s="13"/>
      <c r="AB889" s="13"/>
      <c r="AC889" s="13"/>
      <c r="AE889" s="13"/>
      <c r="AF889" s="13"/>
      <c r="AG889" s="13"/>
      <c r="AH889" s="13"/>
      <c r="AZ889" s="14"/>
      <c r="BA889" s="14"/>
      <c r="BB889" s="14"/>
    </row>
    <row r="890" ht="15.75" customHeight="1">
      <c r="B890" s="146"/>
      <c r="F890" s="13"/>
      <c r="K890" s="13"/>
      <c r="P890" s="13"/>
      <c r="Q890" s="13"/>
      <c r="R890" s="13"/>
      <c r="U890" s="13"/>
      <c r="W890" s="13"/>
      <c r="X890" s="13"/>
      <c r="Z890" s="13"/>
      <c r="AB890" s="13"/>
      <c r="AC890" s="13"/>
      <c r="AE890" s="13"/>
      <c r="AF890" s="13"/>
      <c r="AG890" s="13"/>
      <c r="AH890" s="13"/>
      <c r="AZ890" s="14"/>
      <c r="BA890" s="14"/>
      <c r="BB890" s="14"/>
    </row>
    <row r="891" ht="15.75" customHeight="1">
      <c r="B891" s="146"/>
      <c r="F891" s="13"/>
      <c r="K891" s="13"/>
      <c r="P891" s="13"/>
      <c r="Q891" s="13"/>
      <c r="R891" s="13"/>
      <c r="U891" s="13"/>
      <c r="W891" s="13"/>
      <c r="X891" s="13"/>
      <c r="Z891" s="13"/>
      <c r="AB891" s="13"/>
      <c r="AC891" s="13"/>
      <c r="AE891" s="13"/>
      <c r="AF891" s="13"/>
      <c r="AG891" s="13"/>
      <c r="AH891" s="13"/>
      <c r="AZ891" s="14"/>
      <c r="BA891" s="14"/>
      <c r="BB891" s="14"/>
    </row>
    <row r="892" ht="15.75" customHeight="1">
      <c r="B892" s="146"/>
      <c r="F892" s="13"/>
      <c r="K892" s="13"/>
      <c r="P892" s="13"/>
      <c r="Q892" s="13"/>
      <c r="R892" s="13"/>
      <c r="U892" s="13"/>
      <c r="W892" s="13"/>
      <c r="X892" s="13"/>
      <c r="Z892" s="13"/>
      <c r="AB892" s="13"/>
      <c r="AC892" s="13"/>
      <c r="AE892" s="13"/>
      <c r="AF892" s="13"/>
      <c r="AG892" s="13"/>
      <c r="AH892" s="13"/>
      <c r="AZ892" s="14"/>
      <c r="BA892" s="14"/>
      <c r="BB892" s="14"/>
    </row>
    <row r="893" ht="15.75" customHeight="1">
      <c r="B893" s="146"/>
      <c r="F893" s="13"/>
      <c r="K893" s="13"/>
      <c r="P893" s="13"/>
      <c r="Q893" s="13"/>
      <c r="R893" s="13"/>
      <c r="U893" s="13"/>
      <c r="W893" s="13"/>
      <c r="X893" s="13"/>
      <c r="Z893" s="13"/>
      <c r="AB893" s="13"/>
      <c r="AC893" s="13"/>
      <c r="AE893" s="13"/>
      <c r="AF893" s="13"/>
      <c r="AG893" s="13"/>
      <c r="AH893" s="13"/>
      <c r="AZ893" s="14"/>
      <c r="BA893" s="14"/>
      <c r="BB893" s="14"/>
    </row>
    <row r="894" ht="15.75" customHeight="1">
      <c r="B894" s="146"/>
      <c r="F894" s="13"/>
      <c r="K894" s="13"/>
      <c r="P894" s="13"/>
      <c r="Q894" s="13"/>
      <c r="R894" s="13"/>
      <c r="U894" s="13"/>
      <c r="W894" s="13"/>
      <c r="X894" s="13"/>
      <c r="Z894" s="13"/>
      <c r="AB894" s="13"/>
      <c r="AC894" s="13"/>
      <c r="AE894" s="13"/>
      <c r="AF894" s="13"/>
      <c r="AG894" s="13"/>
      <c r="AH894" s="13"/>
      <c r="AZ894" s="14"/>
      <c r="BA894" s="14"/>
      <c r="BB894" s="14"/>
    </row>
    <row r="895" ht="15.75" customHeight="1">
      <c r="B895" s="146"/>
      <c r="F895" s="13"/>
      <c r="K895" s="13"/>
      <c r="P895" s="13"/>
      <c r="Q895" s="13"/>
      <c r="R895" s="13"/>
      <c r="U895" s="13"/>
      <c r="W895" s="13"/>
      <c r="X895" s="13"/>
      <c r="Z895" s="13"/>
      <c r="AB895" s="13"/>
      <c r="AC895" s="13"/>
      <c r="AE895" s="13"/>
      <c r="AF895" s="13"/>
      <c r="AG895" s="13"/>
      <c r="AH895" s="13"/>
      <c r="AZ895" s="14"/>
      <c r="BA895" s="14"/>
      <c r="BB895" s="14"/>
    </row>
    <row r="896" ht="15.75" customHeight="1">
      <c r="B896" s="146"/>
      <c r="F896" s="13"/>
      <c r="K896" s="13"/>
      <c r="P896" s="13"/>
      <c r="Q896" s="13"/>
      <c r="R896" s="13"/>
      <c r="U896" s="13"/>
      <c r="W896" s="13"/>
      <c r="X896" s="13"/>
      <c r="Z896" s="13"/>
      <c r="AB896" s="13"/>
      <c r="AC896" s="13"/>
      <c r="AE896" s="13"/>
      <c r="AF896" s="13"/>
      <c r="AG896" s="13"/>
      <c r="AH896" s="13"/>
      <c r="AZ896" s="14"/>
      <c r="BA896" s="14"/>
      <c r="BB896" s="14"/>
    </row>
    <row r="897" ht="15.75" customHeight="1">
      <c r="B897" s="146"/>
      <c r="F897" s="13"/>
      <c r="K897" s="13"/>
      <c r="P897" s="13"/>
      <c r="Q897" s="13"/>
      <c r="R897" s="13"/>
      <c r="U897" s="13"/>
      <c r="W897" s="13"/>
      <c r="X897" s="13"/>
      <c r="Z897" s="13"/>
      <c r="AB897" s="13"/>
      <c r="AC897" s="13"/>
      <c r="AE897" s="13"/>
      <c r="AF897" s="13"/>
      <c r="AG897" s="13"/>
      <c r="AH897" s="13"/>
      <c r="AZ897" s="14"/>
      <c r="BA897" s="14"/>
      <c r="BB897" s="14"/>
    </row>
    <row r="898" ht="15.75" customHeight="1">
      <c r="B898" s="146"/>
      <c r="F898" s="13"/>
      <c r="K898" s="13"/>
      <c r="P898" s="13"/>
      <c r="Q898" s="13"/>
      <c r="R898" s="13"/>
      <c r="U898" s="13"/>
      <c r="W898" s="13"/>
      <c r="X898" s="13"/>
      <c r="Z898" s="13"/>
      <c r="AB898" s="13"/>
      <c r="AC898" s="13"/>
      <c r="AE898" s="13"/>
      <c r="AF898" s="13"/>
      <c r="AG898" s="13"/>
      <c r="AH898" s="13"/>
      <c r="AZ898" s="14"/>
      <c r="BA898" s="14"/>
      <c r="BB898" s="14"/>
    </row>
    <row r="899" ht="15.75" customHeight="1">
      <c r="B899" s="146"/>
      <c r="F899" s="13"/>
      <c r="K899" s="13"/>
      <c r="P899" s="13"/>
      <c r="Q899" s="13"/>
      <c r="R899" s="13"/>
      <c r="U899" s="13"/>
      <c r="W899" s="13"/>
      <c r="X899" s="13"/>
      <c r="Z899" s="13"/>
      <c r="AB899" s="13"/>
      <c r="AC899" s="13"/>
      <c r="AE899" s="13"/>
      <c r="AF899" s="13"/>
      <c r="AG899" s="13"/>
      <c r="AH899" s="13"/>
      <c r="AZ899" s="14"/>
      <c r="BA899" s="14"/>
      <c r="BB899" s="14"/>
    </row>
    <row r="900" ht="15.75" customHeight="1">
      <c r="B900" s="146"/>
      <c r="F900" s="13"/>
      <c r="K900" s="13"/>
      <c r="P900" s="13"/>
      <c r="Q900" s="13"/>
      <c r="R900" s="13"/>
      <c r="U900" s="13"/>
      <c r="W900" s="13"/>
      <c r="X900" s="13"/>
      <c r="Z900" s="13"/>
      <c r="AB900" s="13"/>
      <c r="AC900" s="13"/>
      <c r="AE900" s="13"/>
      <c r="AF900" s="13"/>
      <c r="AG900" s="13"/>
      <c r="AH900" s="13"/>
      <c r="AZ900" s="14"/>
      <c r="BA900" s="14"/>
      <c r="BB900" s="14"/>
    </row>
    <row r="901" ht="15.75" customHeight="1">
      <c r="B901" s="146"/>
      <c r="F901" s="13"/>
      <c r="K901" s="13"/>
      <c r="P901" s="13"/>
      <c r="Q901" s="13"/>
      <c r="R901" s="13"/>
      <c r="U901" s="13"/>
      <c r="W901" s="13"/>
      <c r="X901" s="13"/>
      <c r="Z901" s="13"/>
      <c r="AB901" s="13"/>
      <c r="AC901" s="13"/>
      <c r="AE901" s="13"/>
      <c r="AF901" s="13"/>
      <c r="AG901" s="13"/>
      <c r="AH901" s="13"/>
      <c r="AZ901" s="14"/>
      <c r="BA901" s="14"/>
      <c r="BB901" s="14"/>
    </row>
    <row r="902" ht="15.75" customHeight="1">
      <c r="B902" s="146"/>
      <c r="F902" s="13"/>
      <c r="K902" s="13"/>
      <c r="P902" s="13"/>
      <c r="Q902" s="13"/>
      <c r="R902" s="13"/>
      <c r="U902" s="13"/>
      <c r="W902" s="13"/>
      <c r="X902" s="13"/>
      <c r="Z902" s="13"/>
      <c r="AB902" s="13"/>
      <c r="AC902" s="13"/>
      <c r="AE902" s="13"/>
      <c r="AF902" s="13"/>
      <c r="AG902" s="13"/>
      <c r="AH902" s="13"/>
      <c r="AZ902" s="14"/>
      <c r="BA902" s="14"/>
      <c r="BB902" s="14"/>
    </row>
    <row r="903" ht="15.75" customHeight="1">
      <c r="B903" s="146"/>
      <c r="F903" s="13"/>
      <c r="K903" s="13"/>
      <c r="P903" s="13"/>
      <c r="Q903" s="13"/>
      <c r="R903" s="13"/>
      <c r="U903" s="13"/>
      <c r="W903" s="13"/>
      <c r="X903" s="13"/>
      <c r="Z903" s="13"/>
      <c r="AB903" s="13"/>
      <c r="AC903" s="13"/>
      <c r="AE903" s="13"/>
      <c r="AF903" s="13"/>
      <c r="AG903" s="13"/>
      <c r="AH903" s="13"/>
      <c r="AZ903" s="14"/>
      <c r="BA903" s="14"/>
      <c r="BB903" s="14"/>
    </row>
    <row r="904" ht="15.75" customHeight="1">
      <c r="B904" s="146"/>
      <c r="F904" s="13"/>
      <c r="K904" s="13"/>
      <c r="P904" s="13"/>
      <c r="Q904" s="13"/>
      <c r="R904" s="13"/>
      <c r="U904" s="13"/>
      <c r="W904" s="13"/>
      <c r="X904" s="13"/>
      <c r="Z904" s="13"/>
      <c r="AB904" s="13"/>
      <c r="AC904" s="13"/>
      <c r="AE904" s="13"/>
      <c r="AF904" s="13"/>
      <c r="AG904" s="13"/>
      <c r="AH904" s="13"/>
      <c r="AZ904" s="14"/>
      <c r="BA904" s="14"/>
      <c r="BB904" s="14"/>
    </row>
    <row r="905" ht="15.75" customHeight="1">
      <c r="B905" s="146"/>
      <c r="F905" s="13"/>
      <c r="K905" s="13"/>
      <c r="P905" s="13"/>
      <c r="Q905" s="13"/>
      <c r="R905" s="13"/>
      <c r="U905" s="13"/>
      <c r="W905" s="13"/>
      <c r="X905" s="13"/>
      <c r="Z905" s="13"/>
      <c r="AB905" s="13"/>
      <c r="AC905" s="13"/>
      <c r="AE905" s="13"/>
      <c r="AF905" s="13"/>
      <c r="AG905" s="13"/>
      <c r="AH905" s="13"/>
      <c r="AZ905" s="14"/>
      <c r="BA905" s="14"/>
      <c r="BB905" s="14"/>
    </row>
    <row r="906" ht="15.75" customHeight="1">
      <c r="B906" s="146"/>
      <c r="F906" s="13"/>
      <c r="K906" s="13"/>
      <c r="P906" s="13"/>
      <c r="Q906" s="13"/>
      <c r="R906" s="13"/>
      <c r="U906" s="13"/>
      <c r="W906" s="13"/>
      <c r="X906" s="13"/>
      <c r="Z906" s="13"/>
      <c r="AB906" s="13"/>
      <c r="AC906" s="13"/>
      <c r="AE906" s="13"/>
      <c r="AF906" s="13"/>
      <c r="AG906" s="13"/>
      <c r="AH906" s="13"/>
      <c r="AZ906" s="14"/>
      <c r="BA906" s="14"/>
      <c r="BB906" s="14"/>
    </row>
    <row r="907" ht="15.75" customHeight="1">
      <c r="B907" s="146"/>
      <c r="F907" s="13"/>
      <c r="K907" s="13"/>
      <c r="P907" s="13"/>
      <c r="Q907" s="13"/>
      <c r="R907" s="13"/>
      <c r="U907" s="13"/>
      <c r="W907" s="13"/>
      <c r="X907" s="13"/>
      <c r="Z907" s="13"/>
      <c r="AB907" s="13"/>
      <c r="AC907" s="13"/>
      <c r="AE907" s="13"/>
      <c r="AF907" s="13"/>
      <c r="AG907" s="13"/>
      <c r="AH907" s="13"/>
      <c r="AZ907" s="14"/>
      <c r="BA907" s="14"/>
      <c r="BB907" s="14"/>
    </row>
    <row r="908" ht="15.75" customHeight="1">
      <c r="B908" s="146"/>
      <c r="F908" s="13"/>
      <c r="K908" s="13"/>
      <c r="P908" s="13"/>
      <c r="Q908" s="13"/>
      <c r="R908" s="13"/>
      <c r="U908" s="13"/>
      <c r="W908" s="13"/>
      <c r="X908" s="13"/>
      <c r="Z908" s="13"/>
      <c r="AB908" s="13"/>
      <c r="AC908" s="13"/>
      <c r="AE908" s="13"/>
      <c r="AF908" s="13"/>
      <c r="AG908" s="13"/>
      <c r="AH908" s="13"/>
      <c r="AZ908" s="14"/>
      <c r="BA908" s="14"/>
      <c r="BB908" s="14"/>
    </row>
    <row r="909" ht="15.75" customHeight="1">
      <c r="B909" s="146"/>
      <c r="F909" s="13"/>
      <c r="K909" s="13"/>
      <c r="P909" s="13"/>
      <c r="Q909" s="13"/>
      <c r="R909" s="13"/>
      <c r="U909" s="13"/>
      <c r="W909" s="13"/>
      <c r="X909" s="13"/>
      <c r="Z909" s="13"/>
      <c r="AB909" s="13"/>
      <c r="AC909" s="13"/>
      <c r="AE909" s="13"/>
      <c r="AF909" s="13"/>
      <c r="AG909" s="13"/>
      <c r="AH909" s="13"/>
      <c r="AZ909" s="14"/>
      <c r="BA909" s="14"/>
      <c r="BB909" s="14"/>
    </row>
    <row r="910" ht="15.75" customHeight="1">
      <c r="B910" s="146"/>
      <c r="F910" s="13"/>
      <c r="K910" s="13"/>
      <c r="P910" s="13"/>
      <c r="Q910" s="13"/>
      <c r="R910" s="13"/>
      <c r="U910" s="13"/>
      <c r="W910" s="13"/>
      <c r="X910" s="13"/>
      <c r="Z910" s="13"/>
      <c r="AB910" s="13"/>
      <c r="AC910" s="13"/>
      <c r="AE910" s="13"/>
      <c r="AF910" s="13"/>
      <c r="AG910" s="13"/>
      <c r="AH910" s="13"/>
      <c r="AZ910" s="14"/>
      <c r="BA910" s="14"/>
      <c r="BB910" s="14"/>
    </row>
    <row r="911" ht="15.75" customHeight="1">
      <c r="B911" s="146"/>
      <c r="F911" s="13"/>
      <c r="K911" s="13"/>
      <c r="P911" s="13"/>
      <c r="Q911" s="13"/>
      <c r="R911" s="13"/>
      <c r="U911" s="13"/>
      <c r="W911" s="13"/>
      <c r="X911" s="13"/>
      <c r="Z911" s="13"/>
      <c r="AB911" s="13"/>
      <c r="AC911" s="13"/>
      <c r="AE911" s="13"/>
      <c r="AF911" s="13"/>
      <c r="AG911" s="13"/>
      <c r="AH911" s="13"/>
      <c r="AZ911" s="14"/>
      <c r="BA911" s="14"/>
      <c r="BB911" s="14"/>
    </row>
    <row r="912" ht="15.75" customHeight="1">
      <c r="B912" s="146"/>
      <c r="F912" s="13"/>
      <c r="K912" s="13"/>
      <c r="P912" s="13"/>
      <c r="Q912" s="13"/>
      <c r="R912" s="13"/>
      <c r="U912" s="13"/>
      <c r="W912" s="13"/>
      <c r="X912" s="13"/>
      <c r="Z912" s="13"/>
      <c r="AB912" s="13"/>
      <c r="AC912" s="13"/>
      <c r="AE912" s="13"/>
      <c r="AF912" s="13"/>
      <c r="AG912" s="13"/>
      <c r="AH912" s="13"/>
      <c r="AZ912" s="14"/>
      <c r="BA912" s="14"/>
      <c r="BB912" s="14"/>
    </row>
    <row r="913" ht="15.75" customHeight="1">
      <c r="B913" s="146"/>
      <c r="F913" s="13"/>
      <c r="K913" s="13"/>
      <c r="P913" s="13"/>
      <c r="Q913" s="13"/>
      <c r="R913" s="13"/>
      <c r="U913" s="13"/>
      <c r="W913" s="13"/>
      <c r="X913" s="13"/>
      <c r="Z913" s="13"/>
      <c r="AB913" s="13"/>
      <c r="AC913" s="13"/>
      <c r="AE913" s="13"/>
      <c r="AF913" s="13"/>
      <c r="AG913" s="13"/>
      <c r="AH913" s="13"/>
      <c r="AZ913" s="14"/>
      <c r="BA913" s="14"/>
      <c r="BB913" s="14"/>
    </row>
    <row r="914" ht="15.75" customHeight="1">
      <c r="B914" s="146"/>
      <c r="F914" s="13"/>
      <c r="K914" s="13"/>
      <c r="P914" s="13"/>
      <c r="Q914" s="13"/>
      <c r="R914" s="13"/>
      <c r="U914" s="13"/>
      <c r="W914" s="13"/>
      <c r="X914" s="13"/>
      <c r="Z914" s="13"/>
      <c r="AB914" s="13"/>
      <c r="AC914" s="13"/>
      <c r="AE914" s="13"/>
      <c r="AF914" s="13"/>
      <c r="AG914" s="13"/>
      <c r="AH914" s="13"/>
      <c r="AZ914" s="14"/>
      <c r="BA914" s="14"/>
      <c r="BB914" s="14"/>
    </row>
    <row r="915" ht="15.75" customHeight="1">
      <c r="B915" s="146"/>
      <c r="F915" s="13"/>
      <c r="K915" s="13"/>
      <c r="P915" s="13"/>
      <c r="Q915" s="13"/>
      <c r="R915" s="13"/>
      <c r="U915" s="13"/>
      <c r="W915" s="13"/>
      <c r="X915" s="13"/>
      <c r="Z915" s="13"/>
      <c r="AB915" s="13"/>
      <c r="AC915" s="13"/>
      <c r="AE915" s="13"/>
      <c r="AF915" s="13"/>
      <c r="AG915" s="13"/>
      <c r="AH915" s="13"/>
      <c r="AZ915" s="14"/>
      <c r="BA915" s="14"/>
      <c r="BB915" s="14"/>
    </row>
    <row r="916" ht="15.75" customHeight="1">
      <c r="B916" s="146"/>
      <c r="F916" s="13"/>
      <c r="K916" s="13"/>
      <c r="P916" s="13"/>
      <c r="Q916" s="13"/>
      <c r="R916" s="13"/>
      <c r="U916" s="13"/>
      <c r="W916" s="13"/>
      <c r="X916" s="13"/>
      <c r="Z916" s="13"/>
      <c r="AB916" s="13"/>
      <c r="AC916" s="13"/>
      <c r="AE916" s="13"/>
      <c r="AF916" s="13"/>
      <c r="AG916" s="13"/>
      <c r="AH916" s="13"/>
      <c r="AZ916" s="14"/>
      <c r="BA916" s="14"/>
      <c r="BB916" s="14"/>
    </row>
    <row r="917" ht="15.75" customHeight="1">
      <c r="B917" s="146"/>
      <c r="F917" s="13"/>
      <c r="K917" s="13"/>
      <c r="P917" s="13"/>
      <c r="Q917" s="13"/>
      <c r="R917" s="13"/>
      <c r="U917" s="13"/>
      <c r="W917" s="13"/>
      <c r="X917" s="13"/>
      <c r="Z917" s="13"/>
      <c r="AB917" s="13"/>
      <c r="AC917" s="13"/>
      <c r="AE917" s="13"/>
      <c r="AF917" s="13"/>
      <c r="AG917" s="13"/>
      <c r="AH917" s="13"/>
      <c r="AZ917" s="14"/>
      <c r="BA917" s="14"/>
      <c r="BB917" s="14"/>
    </row>
    <row r="918" ht="15.75" customHeight="1">
      <c r="B918" s="146"/>
      <c r="F918" s="13"/>
      <c r="K918" s="13"/>
      <c r="P918" s="13"/>
      <c r="Q918" s="13"/>
      <c r="R918" s="13"/>
      <c r="U918" s="13"/>
      <c r="W918" s="13"/>
      <c r="X918" s="13"/>
      <c r="Z918" s="13"/>
      <c r="AB918" s="13"/>
      <c r="AC918" s="13"/>
      <c r="AE918" s="13"/>
      <c r="AF918" s="13"/>
      <c r="AG918" s="13"/>
      <c r="AH918" s="13"/>
      <c r="AZ918" s="14"/>
      <c r="BA918" s="14"/>
      <c r="BB918" s="14"/>
    </row>
    <row r="919" ht="15.75" customHeight="1">
      <c r="B919" s="146"/>
      <c r="F919" s="13"/>
      <c r="K919" s="13"/>
      <c r="P919" s="13"/>
      <c r="Q919" s="13"/>
      <c r="R919" s="13"/>
      <c r="U919" s="13"/>
      <c r="W919" s="13"/>
      <c r="X919" s="13"/>
      <c r="Z919" s="13"/>
      <c r="AB919" s="13"/>
      <c r="AC919" s="13"/>
      <c r="AE919" s="13"/>
      <c r="AF919" s="13"/>
      <c r="AG919" s="13"/>
      <c r="AH919" s="13"/>
      <c r="AZ919" s="14"/>
      <c r="BA919" s="14"/>
      <c r="BB919" s="14"/>
    </row>
    <row r="920" ht="15.75" customHeight="1">
      <c r="B920" s="146"/>
      <c r="F920" s="13"/>
      <c r="K920" s="13"/>
      <c r="P920" s="13"/>
      <c r="Q920" s="13"/>
      <c r="R920" s="13"/>
      <c r="U920" s="13"/>
      <c r="W920" s="13"/>
      <c r="X920" s="13"/>
      <c r="Z920" s="13"/>
      <c r="AB920" s="13"/>
      <c r="AC920" s="13"/>
      <c r="AE920" s="13"/>
      <c r="AF920" s="13"/>
      <c r="AG920" s="13"/>
      <c r="AH920" s="13"/>
      <c r="AZ920" s="14"/>
      <c r="BA920" s="14"/>
      <c r="BB920" s="14"/>
    </row>
    <row r="921" ht="15.75" customHeight="1">
      <c r="B921" s="146"/>
      <c r="F921" s="13"/>
      <c r="K921" s="13"/>
      <c r="P921" s="13"/>
      <c r="Q921" s="13"/>
      <c r="R921" s="13"/>
      <c r="U921" s="13"/>
      <c r="W921" s="13"/>
      <c r="X921" s="13"/>
      <c r="Z921" s="13"/>
      <c r="AB921" s="13"/>
      <c r="AC921" s="13"/>
      <c r="AE921" s="13"/>
      <c r="AF921" s="13"/>
      <c r="AG921" s="13"/>
      <c r="AH921" s="13"/>
      <c r="AZ921" s="14"/>
      <c r="BA921" s="14"/>
      <c r="BB921" s="14"/>
    </row>
    <row r="922" ht="15.75" customHeight="1">
      <c r="B922" s="146"/>
      <c r="F922" s="13"/>
      <c r="K922" s="13"/>
      <c r="P922" s="13"/>
      <c r="Q922" s="13"/>
      <c r="R922" s="13"/>
      <c r="U922" s="13"/>
      <c r="W922" s="13"/>
      <c r="X922" s="13"/>
      <c r="Z922" s="13"/>
      <c r="AB922" s="13"/>
      <c r="AC922" s="13"/>
      <c r="AE922" s="13"/>
      <c r="AF922" s="13"/>
      <c r="AG922" s="13"/>
      <c r="AH922" s="13"/>
      <c r="AZ922" s="14"/>
      <c r="BA922" s="14"/>
      <c r="BB922" s="14"/>
    </row>
    <row r="923" ht="15.75" customHeight="1">
      <c r="B923" s="146"/>
      <c r="F923" s="13"/>
      <c r="K923" s="13"/>
      <c r="P923" s="13"/>
      <c r="Q923" s="13"/>
      <c r="R923" s="13"/>
      <c r="U923" s="13"/>
      <c r="W923" s="13"/>
      <c r="X923" s="13"/>
      <c r="Z923" s="13"/>
      <c r="AB923" s="13"/>
      <c r="AC923" s="13"/>
      <c r="AE923" s="13"/>
      <c r="AF923" s="13"/>
      <c r="AG923" s="13"/>
      <c r="AH923" s="13"/>
      <c r="AZ923" s="14"/>
      <c r="BA923" s="14"/>
      <c r="BB923" s="14"/>
    </row>
    <row r="924" ht="15.75" customHeight="1">
      <c r="B924" s="146"/>
      <c r="F924" s="13"/>
      <c r="K924" s="13"/>
      <c r="P924" s="13"/>
      <c r="Q924" s="13"/>
      <c r="R924" s="13"/>
      <c r="U924" s="13"/>
      <c r="W924" s="13"/>
      <c r="X924" s="13"/>
      <c r="Z924" s="13"/>
      <c r="AB924" s="13"/>
      <c r="AC924" s="13"/>
      <c r="AE924" s="13"/>
      <c r="AF924" s="13"/>
      <c r="AG924" s="13"/>
      <c r="AH924" s="13"/>
      <c r="AZ924" s="14"/>
      <c r="BA924" s="14"/>
      <c r="BB924" s="14"/>
    </row>
    <row r="925" ht="15.75" customHeight="1">
      <c r="B925" s="146"/>
      <c r="F925" s="13"/>
      <c r="K925" s="13"/>
      <c r="P925" s="13"/>
      <c r="Q925" s="13"/>
      <c r="R925" s="13"/>
      <c r="U925" s="13"/>
      <c r="W925" s="13"/>
      <c r="X925" s="13"/>
      <c r="Z925" s="13"/>
      <c r="AB925" s="13"/>
      <c r="AC925" s="13"/>
      <c r="AE925" s="13"/>
      <c r="AF925" s="13"/>
      <c r="AG925" s="13"/>
      <c r="AH925" s="13"/>
      <c r="AZ925" s="14"/>
      <c r="BA925" s="14"/>
      <c r="BB925" s="14"/>
    </row>
    <row r="926" ht="15.75" customHeight="1">
      <c r="B926" s="146"/>
      <c r="F926" s="13"/>
      <c r="K926" s="13"/>
      <c r="P926" s="13"/>
      <c r="Q926" s="13"/>
      <c r="R926" s="13"/>
      <c r="U926" s="13"/>
      <c r="W926" s="13"/>
      <c r="X926" s="13"/>
      <c r="Z926" s="13"/>
      <c r="AB926" s="13"/>
      <c r="AC926" s="13"/>
      <c r="AE926" s="13"/>
      <c r="AF926" s="13"/>
      <c r="AG926" s="13"/>
      <c r="AH926" s="13"/>
      <c r="AZ926" s="14"/>
      <c r="BA926" s="14"/>
      <c r="BB926" s="14"/>
    </row>
    <row r="927" ht="15.75" customHeight="1">
      <c r="B927" s="146"/>
      <c r="F927" s="13"/>
      <c r="K927" s="13"/>
      <c r="P927" s="13"/>
      <c r="Q927" s="13"/>
      <c r="R927" s="13"/>
      <c r="U927" s="13"/>
      <c r="W927" s="13"/>
      <c r="X927" s="13"/>
      <c r="Z927" s="13"/>
      <c r="AB927" s="13"/>
      <c r="AC927" s="13"/>
      <c r="AE927" s="13"/>
      <c r="AF927" s="13"/>
      <c r="AG927" s="13"/>
      <c r="AH927" s="13"/>
      <c r="AZ927" s="14"/>
      <c r="BA927" s="14"/>
      <c r="BB927" s="14"/>
    </row>
    <row r="928" ht="15.75" customHeight="1">
      <c r="B928" s="146"/>
      <c r="F928" s="13"/>
      <c r="K928" s="13"/>
      <c r="P928" s="13"/>
      <c r="Q928" s="13"/>
      <c r="R928" s="13"/>
      <c r="U928" s="13"/>
      <c r="W928" s="13"/>
      <c r="X928" s="13"/>
      <c r="Z928" s="13"/>
      <c r="AB928" s="13"/>
      <c r="AC928" s="13"/>
      <c r="AE928" s="13"/>
      <c r="AF928" s="13"/>
      <c r="AG928" s="13"/>
      <c r="AH928" s="13"/>
      <c r="AZ928" s="14"/>
      <c r="BA928" s="14"/>
      <c r="BB928" s="14"/>
    </row>
    <row r="929" ht="15.75" customHeight="1">
      <c r="B929" s="146"/>
      <c r="F929" s="13"/>
      <c r="K929" s="13"/>
      <c r="P929" s="13"/>
      <c r="Q929" s="13"/>
      <c r="R929" s="13"/>
      <c r="U929" s="13"/>
      <c r="W929" s="13"/>
      <c r="X929" s="13"/>
      <c r="Z929" s="13"/>
      <c r="AB929" s="13"/>
      <c r="AC929" s="13"/>
      <c r="AE929" s="13"/>
      <c r="AF929" s="13"/>
      <c r="AG929" s="13"/>
      <c r="AH929" s="13"/>
      <c r="AZ929" s="14"/>
      <c r="BA929" s="14"/>
      <c r="BB929" s="14"/>
    </row>
    <row r="930" ht="15.75" customHeight="1">
      <c r="B930" s="146"/>
      <c r="F930" s="13"/>
      <c r="K930" s="13"/>
      <c r="P930" s="13"/>
      <c r="Q930" s="13"/>
      <c r="R930" s="13"/>
      <c r="U930" s="13"/>
      <c r="W930" s="13"/>
      <c r="X930" s="13"/>
      <c r="Z930" s="13"/>
      <c r="AB930" s="13"/>
      <c r="AC930" s="13"/>
      <c r="AE930" s="13"/>
      <c r="AF930" s="13"/>
      <c r="AG930" s="13"/>
      <c r="AH930" s="13"/>
      <c r="AZ930" s="14"/>
      <c r="BA930" s="14"/>
      <c r="BB930" s="14"/>
    </row>
    <row r="931" ht="15.75" customHeight="1">
      <c r="B931" s="146"/>
      <c r="F931" s="13"/>
      <c r="K931" s="13"/>
      <c r="P931" s="13"/>
      <c r="Q931" s="13"/>
      <c r="R931" s="13"/>
      <c r="U931" s="13"/>
      <c r="W931" s="13"/>
      <c r="X931" s="13"/>
      <c r="Z931" s="13"/>
      <c r="AB931" s="13"/>
      <c r="AC931" s="13"/>
      <c r="AE931" s="13"/>
      <c r="AF931" s="13"/>
      <c r="AG931" s="13"/>
      <c r="AH931" s="13"/>
      <c r="AZ931" s="14"/>
      <c r="BA931" s="14"/>
      <c r="BB931" s="14"/>
    </row>
    <row r="932" ht="15.75" customHeight="1">
      <c r="B932" s="146"/>
      <c r="F932" s="13"/>
      <c r="K932" s="13"/>
      <c r="P932" s="13"/>
      <c r="Q932" s="13"/>
      <c r="R932" s="13"/>
      <c r="U932" s="13"/>
      <c r="W932" s="13"/>
      <c r="X932" s="13"/>
      <c r="Z932" s="13"/>
      <c r="AB932" s="13"/>
      <c r="AC932" s="13"/>
      <c r="AE932" s="13"/>
      <c r="AF932" s="13"/>
      <c r="AG932" s="13"/>
      <c r="AH932" s="13"/>
      <c r="AZ932" s="14"/>
      <c r="BA932" s="14"/>
      <c r="BB932" s="14"/>
    </row>
    <row r="933" ht="15.75" customHeight="1">
      <c r="B933" s="146"/>
      <c r="F933" s="13"/>
      <c r="K933" s="13"/>
      <c r="P933" s="13"/>
      <c r="Q933" s="13"/>
      <c r="R933" s="13"/>
      <c r="U933" s="13"/>
      <c r="W933" s="13"/>
      <c r="X933" s="13"/>
      <c r="Z933" s="13"/>
      <c r="AB933" s="13"/>
      <c r="AC933" s="13"/>
      <c r="AE933" s="13"/>
      <c r="AF933" s="13"/>
      <c r="AG933" s="13"/>
      <c r="AH933" s="13"/>
      <c r="AZ933" s="14"/>
      <c r="BA933" s="14"/>
      <c r="BB933" s="14"/>
    </row>
    <row r="934" ht="15.75" customHeight="1">
      <c r="B934" s="146"/>
      <c r="F934" s="13"/>
      <c r="K934" s="13"/>
      <c r="P934" s="13"/>
      <c r="Q934" s="13"/>
      <c r="R934" s="13"/>
      <c r="U934" s="13"/>
      <c r="W934" s="13"/>
      <c r="X934" s="13"/>
      <c r="Z934" s="13"/>
      <c r="AB934" s="13"/>
      <c r="AC934" s="13"/>
      <c r="AE934" s="13"/>
      <c r="AF934" s="13"/>
      <c r="AG934" s="13"/>
      <c r="AH934" s="13"/>
      <c r="AZ934" s="14"/>
      <c r="BA934" s="14"/>
      <c r="BB934" s="14"/>
    </row>
    <row r="935" ht="15.75" customHeight="1">
      <c r="B935" s="146"/>
      <c r="F935" s="13"/>
      <c r="K935" s="13"/>
      <c r="P935" s="13"/>
      <c r="Q935" s="13"/>
      <c r="R935" s="13"/>
      <c r="U935" s="13"/>
      <c r="W935" s="13"/>
      <c r="X935" s="13"/>
      <c r="Z935" s="13"/>
      <c r="AB935" s="13"/>
      <c r="AC935" s="13"/>
      <c r="AE935" s="13"/>
      <c r="AF935" s="13"/>
      <c r="AG935" s="13"/>
      <c r="AH935" s="13"/>
      <c r="AZ935" s="14"/>
      <c r="BA935" s="14"/>
      <c r="BB935" s="14"/>
    </row>
    <row r="936" ht="15.75" customHeight="1">
      <c r="B936" s="146"/>
      <c r="F936" s="13"/>
      <c r="K936" s="13"/>
      <c r="P936" s="13"/>
      <c r="Q936" s="13"/>
      <c r="R936" s="13"/>
      <c r="U936" s="13"/>
      <c r="W936" s="13"/>
      <c r="X936" s="13"/>
      <c r="Z936" s="13"/>
      <c r="AB936" s="13"/>
      <c r="AC936" s="13"/>
      <c r="AE936" s="13"/>
      <c r="AF936" s="13"/>
      <c r="AG936" s="13"/>
      <c r="AH936" s="13"/>
      <c r="AZ936" s="14"/>
      <c r="BA936" s="14"/>
      <c r="BB936" s="14"/>
    </row>
    <row r="937" ht="15.75" customHeight="1">
      <c r="B937" s="146"/>
      <c r="F937" s="13"/>
      <c r="K937" s="13"/>
      <c r="P937" s="13"/>
      <c r="Q937" s="13"/>
      <c r="R937" s="13"/>
      <c r="U937" s="13"/>
      <c r="W937" s="13"/>
      <c r="X937" s="13"/>
      <c r="Z937" s="13"/>
      <c r="AB937" s="13"/>
      <c r="AC937" s="13"/>
      <c r="AE937" s="13"/>
      <c r="AF937" s="13"/>
      <c r="AG937" s="13"/>
      <c r="AH937" s="13"/>
      <c r="AZ937" s="14"/>
      <c r="BA937" s="14"/>
      <c r="BB937" s="14"/>
    </row>
    <row r="938" ht="15.75" customHeight="1">
      <c r="B938" s="146"/>
      <c r="F938" s="13"/>
      <c r="K938" s="13"/>
      <c r="P938" s="13"/>
      <c r="Q938" s="13"/>
      <c r="R938" s="13"/>
      <c r="U938" s="13"/>
      <c r="W938" s="13"/>
      <c r="X938" s="13"/>
      <c r="Z938" s="13"/>
      <c r="AB938" s="13"/>
      <c r="AC938" s="13"/>
      <c r="AE938" s="13"/>
      <c r="AF938" s="13"/>
      <c r="AG938" s="13"/>
      <c r="AH938" s="13"/>
      <c r="AZ938" s="14"/>
      <c r="BA938" s="14"/>
      <c r="BB938" s="14"/>
    </row>
    <row r="939" ht="15.75" customHeight="1">
      <c r="B939" s="146"/>
      <c r="F939" s="13"/>
      <c r="K939" s="13"/>
      <c r="P939" s="13"/>
      <c r="Q939" s="13"/>
      <c r="R939" s="13"/>
      <c r="U939" s="13"/>
      <c r="W939" s="13"/>
      <c r="X939" s="13"/>
      <c r="Z939" s="13"/>
      <c r="AB939" s="13"/>
      <c r="AC939" s="13"/>
      <c r="AE939" s="13"/>
      <c r="AF939" s="13"/>
      <c r="AG939" s="13"/>
      <c r="AH939" s="13"/>
      <c r="AZ939" s="14"/>
      <c r="BA939" s="14"/>
      <c r="BB939" s="14"/>
    </row>
    <row r="940" ht="15.75" customHeight="1">
      <c r="B940" s="146"/>
      <c r="F940" s="13"/>
      <c r="K940" s="13"/>
      <c r="P940" s="13"/>
      <c r="Q940" s="13"/>
      <c r="R940" s="13"/>
      <c r="U940" s="13"/>
      <c r="W940" s="13"/>
      <c r="X940" s="13"/>
      <c r="Z940" s="13"/>
      <c r="AB940" s="13"/>
      <c r="AC940" s="13"/>
      <c r="AE940" s="13"/>
      <c r="AF940" s="13"/>
      <c r="AG940" s="13"/>
      <c r="AH940" s="13"/>
      <c r="AZ940" s="14"/>
      <c r="BA940" s="14"/>
      <c r="BB940" s="14"/>
    </row>
    <row r="941" ht="15.75" customHeight="1">
      <c r="B941" s="146"/>
      <c r="F941" s="13"/>
      <c r="K941" s="13"/>
      <c r="P941" s="13"/>
      <c r="Q941" s="13"/>
      <c r="R941" s="13"/>
      <c r="U941" s="13"/>
      <c r="W941" s="13"/>
      <c r="X941" s="13"/>
      <c r="Z941" s="13"/>
      <c r="AB941" s="13"/>
      <c r="AC941" s="13"/>
      <c r="AE941" s="13"/>
      <c r="AF941" s="13"/>
      <c r="AG941" s="13"/>
      <c r="AH941" s="13"/>
      <c r="AZ941" s="14"/>
      <c r="BA941" s="14"/>
      <c r="BB941" s="14"/>
    </row>
    <row r="942" ht="15.75" customHeight="1">
      <c r="B942" s="146"/>
      <c r="F942" s="13"/>
      <c r="K942" s="13"/>
      <c r="P942" s="13"/>
      <c r="Q942" s="13"/>
      <c r="R942" s="13"/>
      <c r="U942" s="13"/>
      <c r="W942" s="13"/>
      <c r="X942" s="13"/>
      <c r="Z942" s="13"/>
      <c r="AB942" s="13"/>
      <c r="AC942" s="13"/>
      <c r="AE942" s="13"/>
      <c r="AF942" s="13"/>
      <c r="AG942" s="13"/>
      <c r="AH942" s="13"/>
      <c r="AZ942" s="14"/>
      <c r="BA942" s="14"/>
      <c r="BB942" s="14"/>
    </row>
    <row r="943" ht="15.75" customHeight="1">
      <c r="B943" s="146"/>
      <c r="F943" s="13"/>
      <c r="K943" s="13"/>
      <c r="P943" s="13"/>
      <c r="Q943" s="13"/>
      <c r="R943" s="13"/>
      <c r="U943" s="13"/>
      <c r="W943" s="13"/>
      <c r="X943" s="13"/>
      <c r="Z943" s="13"/>
      <c r="AB943" s="13"/>
      <c r="AC943" s="13"/>
      <c r="AE943" s="13"/>
      <c r="AF943" s="13"/>
      <c r="AG943" s="13"/>
      <c r="AH943" s="13"/>
      <c r="AZ943" s="14"/>
      <c r="BA943" s="14"/>
      <c r="BB943" s="14"/>
    </row>
    <row r="944" ht="15.75" customHeight="1">
      <c r="B944" s="146"/>
      <c r="F944" s="13"/>
      <c r="K944" s="13"/>
      <c r="P944" s="13"/>
      <c r="Q944" s="13"/>
      <c r="R944" s="13"/>
      <c r="U944" s="13"/>
      <c r="W944" s="13"/>
      <c r="X944" s="13"/>
      <c r="Z944" s="13"/>
      <c r="AB944" s="13"/>
      <c r="AC944" s="13"/>
      <c r="AE944" s="13"/>
      <c r="AF944" s="13"/>
      <c r="AG944" s="13"/>
      <c r="AH944" s="13"/>
      <c r="AZ944" s="14"/>
      <c r="BA944" s="14"/>
      <c r="BB944" s="14"/>
    </row>
    <row r="945" ht="15.75" customHeight="1">
      <c r="B945" s="146"/>
      <c r="F945" s="13"/>
      <c r="K945" s="13"/>
      <c r="P945" s="13"/>
      <c r="Q945" s="13"/>
      <c r="R945" s="13"/>
      <c r="U945" s="13"/>
      <c r="W945" s="13"/>
      <c r="X945" s="13"/>
      <c r="Z945" s="13"/>
      <c r="AB945" s="13"/>
      <c r="AC945" s="13"/>
      <c r="AE945" s="13"/>
      <c r="AF945" s="13"/>
      <c r="AG945" s="13"/>
      <c r="AH945" s="13"/>
      <c r="AZ945" s="14"/>
      <c r="BA945" s="14"/>
      <c r="BB945" s="14"/>
    </row>
    <row r="946" ht="15.75" customHeight="1">
      <c r="B946" s="146"/>
      <c r="F946" s="13"/>
      <c r="K946" s="13"/>
      <c r="P946" s="13"/>
      <c r="Q946" s="13"/>
      <c r="R946" s="13"/>
      <c r="U946" s="13"/>
      <c r="W946" s="13"/>
      <c r="X946" s="13"/>
      <c r="Z946" s="13"/>
      <c r="AB946" s="13"/>
      <c r="AC946" s="13"/>
      <c r="AE946" s="13"/>
      <c r="AF946" s="13"/>
      <c r="AG946" s="13"/>
      <c r="AH946" s="13"/>
      <c r="AZ946" s="14"/>
      <c r="BA946" s="14"/>
      <c r="BB946" s="14"/>
    </row>
    <row r="947" ht="15.75" customHeight="1">
      <c r="B947" s="146"/>
      <c r="F947" s="13"/>
      <c r="K947" s="13"/>
      <c r="P947" s="13"/>
      <c r="Q947" s="13"/>
      <c r="R947" s="13"/>
      <c r="U947" s="13"/>
      <c r="W947" s="13"/>
      <c r="X947" s="13"/>
      <c r="Z947" s="13"/>
      <c r="AB947" s="13"/>
      <c r="AC947" s="13"/>
      <c r="AE947" s="13"/>
      <c r="AF947" s="13"/>
      <c r="AG947" s="13"/>
      <c r="AH947" s="13"/>
      <c r="AZ947" s="14"/>
      <c r="BA947" s="14"/>
      <c r="BB947" s="14"/>
    </row>
    <row r="948" ht="15.75" customHeight="1">
      <c r="B948" s="146"/>
      <c r="F948" s="13"/>
      <c r="K948" s="13"/>
      <c r="P948" s="13"/>
      <c r="Q948" s="13"/>
      <c r="R948" s="13"/>
      <c r="U948" s="13"/>
      <c r="W948" s="13"/>
      <c r="X948" s="13"/>
      <c r="Z948" s="13"/>
      <c r="AB948" s="13"/>
      <c r="AC948" s="13"/>
      <c r="AE948" s="13"/>
      <c r="AF948" s="13"/>
      <c r="AG948" s="13"/>
      <c r="AH948" s="13"/>
      <c r="AZ948" s="14"/>
      <c r="BA948" s="14"/>
      <c r="BB948" s="14"/>
    </row>
    <row r="949" ht="15.75" customHeight="1">
      <c r="B949" s="146"/>
      <c r="F949" s="13"/>
      <c r="K949" s="13"/>
      <c r="P949" s="13"/>
      <c r="Q949" s="13"/>
      <c r="R949" s="13"/>
      <c r="U949" s="13"/>
      <c r="W949" s="13"/>
      <c r="X949" s="13"/>
      <c r="Z949" s="13"/>
      <c r="AB949" s="13"/>
      <c r="AC949" s="13"/>
      <c r="AE949" s="13"/>
      <c r="AF949" s="13"/>
      <c r="AG949" s="13"/>
      <c r="AH949" s="13"/>
      <c r="AZ949" s="14"/>
      <c r="BA949" s="14"/>
      <c r="BB949" s="14"/>
    </row>
    <row r="950" ht="15.75" customHeight="1">
      <c r="B950" s="146"/>
      <c r="F950" s="13"/>
      <c r="K950" s="13"/>
      <c r="P950" s="13"/>
      <c r="Q950" s="13"/>
      <c r="R950" s="13"/>
      <c r="U950" s="13"/>
      <c r="W950" s="13"/>
      <c r="X950" s="13"/>
      <c r="Z950" s="13"/>
      <c r="AB950" s="13"/>
      <c r="AC950" s="13"/>
      <c r="AE950" s="13"/>
      <c r="AF950" s="13"/>
      <c r="AG950" s="13"/>
      <c r="AH950" s="13"/>
      <c r="AZ950" s="14"/>
      <c r="BA950" s="14"/>
      <c r="BB950" s="14"/>
    </row>
    <row r="951" ht="15.75" customHeight="1">
      <c r="B951" s="146"/>
      <c r="F951" s="13"/>
      <c r="K951" s="13"/>
      <c r="P951" s="13"/>
      <c r="Q951" s="13"/>
      <c r="R951" s="13"/>
      <c r="U951" s="13"/>
      <c r="W951" s="13"/>
      <c r="X951" s="13"/>
      <c r="Z951" s="13"/>
      <c r="AB951" s="13"/>
      <c r="AC951" s="13"/>
      <c r="AE951" s="13"/>
      <c r="AF951" s="13"/>
      <c r="AG951" s="13"/>
      <c r="AH951" s="13"/>
      <c r="AZ951" s="14"/>
      <c r="BA951" s="14"/>
      <c r="BB951" s="14"/>
    </row>
    <row r="952" ht="15.75" customHeight="1">
      <c r="B952" s="146"/>
      <c r="F952" s="13"/>
      <c r="K952" s="13"/>
      <c r="P952" s="13"/>
      <c r="Q952" s="13"/>
      <c r="R952" s="13"/>
      <c r="U952" s="13"/>
      <c r="W952" s="13"/>
      <c r="X952" s="13"/>
      <c r="Z952" s="13"/>
      <c r="AB952" s="13"/>
      <c r="AC952" s="13"/>
      <c r="AE952" s="13"/>
      <c r="AF952" s="13"/>
      <c r="AG952" s="13"/>
      <c r="AH952" s="13"/>
      <c r="AZ952" s="14"/>
      <c r="BA952" s="14"/>
      <c r="BB952" s="14"/>
    </row>
    <row r="953" ht="15.75" customHeight="1">
      <c r="B953" s="146"/>
      <c r="F953" s="13"/>
      <c r="K953" s="13"/>
      <c r="P953" s="13"/>
      <c r="Q953" s="13"/>
      <c r="R953" s="13"/>
      <c r="U953" s="13"/>
      <c r="W953" s="13"/>
      <c r="X953" s="13"/>
      <c r="Z953" s="13"/>
      <c r="AB953" s="13"/>
      <c r="AC953" s="13"/>
      <c r="AE953" s="13"/>
      <c r="AF953" s="13"/>
      <c r="AG953" s="13"/>
      <c r="AH953" s="13"/>
      <c r="AZ953" s="14"/>
      <c r="BA953" s="14"/>
      <c r="BB953" s="14"/>
    </row>
    <row r="954" ht="15.75" customHeight="1">
      <c r="B954" s="146"/>
      <c r="F954" s="13"/>
      <c r="K954" s="13"/>
      <c r="P954" s="13"/>
      <c r="Q954" s="13"/>
      <c r="R954" s="13"/>
      <c r="U954" s="13"/>
      <c r="W954" s="13"/>
      <c r="X954" s="13"/>
      <c r="Z954" s="13"/>
      <c r="AB954" s="13"/>
      <c r="AC954" s="13"/>
      <c r="AE954" s="13"/>
      <c r="AF954" s="13"/>
      <c r="AG954" s="13"/>
      <c r="AH954" s="13"/>
      <c r="AZ954" s="14"/>
      <c r="BA954" s="14"/>
      <c r="BB954" s="14"/>
    </row>
    <row r="955" ht="15.75" customHeight="1">
      <c r="B955" s="146"/>
      <c r="F955" s="13"/>
      <c r="K955" s="13"/>
      <c r="P955" s="13"/>
      <c r="Q955" s="13"/>
      <c r="R955" s="13"/>
      <c r="U955" s="13"/>
      <c r="W955" s="13"/>
      <c r="X955" s="13"/>
      <c r="Z955" s="13"/>
      <c r="AB955" s="13"/>
      <c r="AC955" s="13"/>
      <c r="AE955" s="13"/>
      <c r="AF955" s="13"/>
      <c r="AG955" s="13"/>
      <c r="AH955" s="13"/>
      <c r="AZ955" s="14"/>
      <c r="BA955" s="14"/>
      <c r="BB955" s="14"/>
    </row>
    <row r="956" ht="15.75" customHeight="1">
      <c r="B956" s="146"/>
      <c r="F956" s="13"/>
      <c r="K956" s="13"/>
      <c r="P956" s="13"/>
      <c r="Q956" s="13"/>
      <c r="R956" s="13"/>
      <c r="U956" s="13"/>
      <c r="W956" s="13"/>
      <c r="X956" s="13"/>
      <c r="Z956" s="13"/>
      <c r="AB956" s="13"/>
      <c r="AC956" s="13"/>
      <c r="AE956" s="13"/>
      <c r="AF956" s="13"/>
      <c r="AG956" s="13"/>
      <c r="AH956" s="13"/>
      <c r="AZ956" s="14"/>
      <c r="BA956" s="14"/>
      <c r="BB956" s="14"/>
    </row>
    <row r="957" ht="15.75" customHeight="1">
      <c r="B957" s="146"/>
      <c r="F957" s="13"/>
      <c r="K957" s="13"/>
      <c r="P957" s="13"/>
      <c r="Q957" s="13"/>
      <c r="R957" s="13"/>
      <c r="U957" s="13"/>
      <c r="W957" s="13"/>
      <c r="X957" s="13"/>
      <c r="Z957" s="13"/>
      <c r="AB957" s="13"/>
      <c r="AC957" s="13"/>
      <c r="AE957" s="13"/>
      <c r="AF957" s="13"/>
      <c r="AG957" s="13"/>
      <c r="AH957" s="13"/>
      <c r="AZ957" s="14"/>
      <c r="BA957" s="14"/>
      <c r="BB957" s="14"/>
    </row>
    <row r="958" ht="15.75" customHeight="1">
      <c r="B958" s="146"/>
      <c r="F958" s="13"/>
      <c r="K958" s="13"/>
      <c r="P958" s="13"/>
      <c r="Q958" s="13"/>
      <c r="R958" s="13"/>
      <c r="U958" s="13"/>
      <c r="W958" s="13"/>
      <c r="X958" s="13"/>
      <c r="Z958" s="13"/>
      <c r="AB958" s="13"/>
      <c r="AC958" s="13"/>
      <c r="AE958" s="13"/>
      <c r="AF958" s="13"/>
      <c r="AG958" s="13"/>
      <c r="AH958" s="13"/>
      <c r="AZ958" s="14"/>
      <c r="BA958" s="14"/>
      <c r="BB958" s="14"/>
    </row>
    <row r="959" ht="15.75" customHeight="1">
      <c r="B959" s="146"/>
      <c r="F959" s="13"/>
      <c r="K959" s="13"/>
      <c r="P959" s="13"/>
      <c r="Q959" s="13"/>
      <c r="R959" s="13"/>
      <c r="U959" s="13"/>
      <c r="W959" s="13"/>
      <c r="X959" s="13"/>
      <c r="Z959" s="13"/>
      <c r="AB959" s="13"/>
      <c r="AC959" s="13"/>
      <c r="AE959" s="13"/>
      <c r="AF959" s="13"/>
      <c r="AG959" s="13"/>
      <c r="AH959" s="13"/>
      <c r="AZ959" s="14"/>
      <c r="BA959" s="14"/>
      <c r="BB959" s="14"/>
    </row>
    <row r="960" ht="15.75" customHeight="1">
      <c r="B960" s="146"/>
      <c r="F960" s="13"/>
      <c r="K960" s="13"/>
      <c r="P960" s="13"/>
      <c r="Q960" s="13"/>
      <c r="R960" s="13"/>
      <c r="U960" s="13"/>
      <c r="W960" s="13"/>
      <c r="X960" s="13"/>
      <c r="Z960" s="13"/>
      <c r="AB960" s="13"/>
      <c r="AC960" s="13"/>
      <c r="AE960" s="13"/>
      <c r="AF960" s="13"/>
      <c r="AG960" s="13"/>
      <c r="AH960" s="13"/>
      <c r="AZ960" s="14"/>
      <c r="BA960" s="14"/>
      <c r="BB960" s="14"/>
    </row>
    <row r="961" ht="15.75" customHeight="1">
      <c r="B961" s="146"/>
      <c r="F961" s="13"/>
      <c r="K961" s="13"/>
      <c r="P961" s="13"/>
      <c r="Q961" s="13"/>
      <c r="R961" s="13"/>
      <c r="U961" s="13"/>
      <c r="W961" s="13"/>
      <c r="X961" s="13"/>
      <c r="Z961" s="13"/>
      <c r="AB961" s="13"/>
      <c r="AC961" s="13"/>
      <c r="AE961" s="13"/>
      <c r="AF961" s="13"/>
      <c r="AG961" s="13"/>
      <c r="AH961" s="13"/>
      <c r="AZ961" s="14"/>
      <c r="BA961" s="14"/>
      <c r="BB961" s="14"/>
    </row>
    <row r="962" ht="15.75" customHeight="1">
      <c r="B962" s="146"/>
      <c r="F962" s="13"/>
      <c r="K962" s="13"/>
      <c r="P962" s="13"/>
      <c r="Q962" s="13"/>
      <c r="R962" s="13"/>
      <c r="U962" s="13"/>
      <c r="W962" s="13"/>
      <c r="X962" s="13"/>
      <c r="Z962" s="13"/>
      <c r="AB962" s="13"/>
      <c r="AC962" s="13"/>
      <c r="AE962" s="13"/>
      <c r="AF962" s="13"/>
      <c r="AG962" s="13"/>
      <c r="AH962" s="13"/>
      <c r="AZ962" s="14"/>
      <c r="BA962" s="14"/>
      <c r="BB962" s="14"/>
    </row>
    <row r="963" ht="15.75" customHeight="1">
      <c r="B963" s="146"/>
      <c r="F963" s="13"/>
      <c r="K963" s="13"/>
      <c r="P963" s="13"/>
      <c r="Q963" s="13"/>
      <c r="R963" s="13"/>
      <c r="U963" s="13"/>
      <c r="W963" s="13"/>
      <c r="X963" s="13"/>
      <c r="Z963" s="13"/>
      <c r="AB963" s="13"/>
      <c r="AC963" s="13"/>
      <c r="AE963" s="13"/>
      <c r="AF963" s="13"/>
      <c r="AG963" s="13"/>
      <c r="AH963" s="13"/>
      <c r="AZ963" s="14"/>
      <c r="BA963" s="14"/>
      <c r="BB963" s="14"/>
    </row>
    <row r="964" ht="15.75" customHeight="1">
      <c r="B964" s="146"/>
      <c r="F964" s="13"/>
      <c r="K964" s="13"/>
      <c r="P964" s="13"/>
      <c r="Q964" s="13"/>
      <c r="R964" s="13"/>
      <c r="U964" s="13"/>
      <c r="W964" s="13"/>
      <c r="X964" s="13"/>
      <c r="Z964" s="13"/>
      <c r="AB964" s="13"/>
      <c r="AC964" s="13"/>
      <c r="AE964" s="13"/>
      <c r="AF964" s="13"/>
      <c r="AG964" s="13"/>
      <c r="AH964" s="13"/>
      <c r="AZ964" s="14"/>
      <c r="BA964" s="14"/>
      <c r="BB964" s="14"/>
    </row>
    <row r="965" ht="15.75" customHeight="1">
      <c r="B965" s="146"/>
      <c r="F965" s="13"/>
      <c r="K965" s="13"/>
      <c r="P965" s="13"/>
      <c r="Q965" s="13"/>
      <c r="R965" s="13"/>
      <c r="U965" s="13"/>
      <c r="W965" s="13"/>
      <c r="X965" s="13"/>
      <c r="Z965" s="13"/>
      <c r="AB965" s="13"/>
      <c r="AC965" s="13"/>
      <c r="AE965" s="13"/>
      <c r="AF965" s="13"/>
      <c r="AG965" s="13"/>
      <c r="AH965" s="13"/>
      <c r="AZ965" s="14"/>
      <c r="BA965" s="14"/>
      <c r="BB965" s="14"/>
    </row>
    <row r="966" ht="15.75" customHeight="1">
      <c r="B966" s="146"/>
      <c r="F966" s="13"/>
      <c r="K966" s="13"/>
      <c r="P966" s="13"/>
      <c r="Q966" s="13"/>
      <c r="R966" s="13"/>
      <c r="U966" s="13"/>
      <c r="W966" s="13"/>
      <c r="X966" s="13"/>
      <c r="Z966" s="13"/>
      <c r="AB966" s="13"/>
      <c r="AC966" s="13"/>
      <c r="AE966" s="13"/>
      <c r="AF966" s="13"/>
      <c r="AG966" s="13"/>
      <c r="AH966" s="13"/>
      <c r="AZ966" s="14"/>
      <c r="BA966" s="14"/>
      <c r="BB966" s="14"/>
    </row>
    <row r="967" ht="15.75" customHeight="1">
      <c r="B967" s="146"/>
      <c r="F967" s="13"/>
      <c r="K967" s="13"/>
      <c r="P967" s="13"/>
      <c r="Q967" s="13"/>
      <c r="R967" s="13"/>
      <c r="U967" s="13"/>
      <c r="W967" s="13"/>
      <c r="X967" s="13"/>
      <c r="Z967" s="13"/>
      <c r="AB967" s="13"/>
      <c r="AC967" s="13"/>
      <c r="AE967" s="13"/>
      <c r="AF967" s="13"/>
      <c r="AG967" s="13"/>
      <c r="AH967" s="13"/>
      <c r="AZ967" s="14"/>
      <c r="BA967" s="14"/>
      <c r="BB967" s="14"/>
    </row>
    <row r="968" ht="15.75" customHeight="1">
      <c r="B968" s="146"/>
      <c r="F968" s="13"/>
      <c r="K968" s="13"/>
      <c r="P968" s="13"/>
      <c r="Q968" s="13"/>
      <c r="R968" s="13"/>
      <c r="U968" s="13"/>
      <c r="W968" s="13"/>
      <c r="X968" s="13"/>
      <c r="Z968" s="13"/>
      <c r="AB968" s="13"/>
      <c r="AC968" s="13"/>
      <c r="AE968" s="13"/>
      <c r="AF968" s="13"/>
      <c r="AG968" s="13"/>
      <c r="AH968" s="13"/>
      <c r="AZ968" s="14"/>
      <c r="BA968" s="14"/>
      <c r="BB968" s="14"/>
    </row>
    <row r="969" ht="15.75" customHeight="1">
      <c r="B969" s="146"/>
      <c r="F969" s="13"/>
      <c r="K969" s="13"/>
      <c r="P969" s="13"/>
      <c r="Q969" s="13"/>
      <c r="R969" s="13"/>
      <c r="U969" s="13"/>
      <c r="W969" s="13"/>
      <c r="X969" s="13"/>
      <c r="Z969" s="13"/>
      <c r="AB969" s="13"/>
      <c r="AC969" s="13"/>
      <c r="AE969" s="13"/>
      <c r="AF969" s="13"/>
      <c r="AG969" s="13"/>
      <c r="AH969" s="13"/>
      <c r="AZ969" s="14"/>
      <c r="BA969" s="14"/>
      <c r="BB969" s="14"/>
    </row>
    <row r="970" ht="15.75" customHeight="1">
      <c r="B970" s="146"/>
      <c r="F970" s="13"/>
      <c r="K970" s="13"/>
      <c r="P970" s="13"/>
      <c r="Q970" s="13"/>
      <c r="R970" s="13"/>
      <c r="U970" s="13"/>
      <c r="W970" s="13"/>
      <c r="X970" s="13"/>
      <c r="Z970" s="13"/>
      <c r="AB970" s="13"/>
      <c r="AC970" s="13"/>
      <c r="AE970" s="13"/>
      <c r="AF970" s="13"/>
      <c r="AG970" s="13"/>
      <c r="AH970" s="13"/>
      <c r="AZ970" s="14"/>
      <c r="BA970" s="14"/>
      <c r="BB970" s="14"/>
    </row>
    <row r="971" ht="15.75" customHeight="1">
      <c r="B971" s="146"/>
      <c r="F971" s="13"/>
      <c r="K971" s="13"/>
      <c r="P971" s="13"/>
      <c r="Q971" s="13"/>
      <c r="R971" s="13"/>
      <c r="U971" s="13"/>
      <c r="W971" s="13"/>
      <c r="X971" s="13"/>
      <c r="Z971" s="13"/>
      <c r="AB971" s="13"/>
      <c r="AC971" s="13"/>
      <c r="AE971" s="13"/>
      <c r="AF971" s="13"/>
      <c r="AG971" s="13"/>
      <c r="AH971" s="13"/>
      <c r="AZ971" s="14"/>
      <c r="BA971" s="14"/>
      <c r="BB971" s="14"/>
    </row>
    <row r="972" ht="15.75" customHeight="1">
      <c r="B972" s="146"/>
      <c r="F972" s="13"/>
      <c r="K972" s="13"/>
      <c r="P972" s="13"/>
      <c r="Q972" s="13"/>
      <c r="R972" s="13"/>
      <c r="U972" s="13"/>
      <c r="W972" s="13"/>
      <c r="X972" s="13"/>
      <c r="Z972" s="13"/>
      <c r="AB972" s="13"/>
      <c r="AC972" s="13"/>
      <c r="AE972" s="13"/>
      <c r="AF972" s="13"/>
      <c r="AG972" s="13"/>
      <c r="AH972" s="13"/>
      <c r="AZ972" s="14"/>
      <c r="BA972" s="14"/>
      <c r="BB972" s="14"/>
    </row>
    <row r="973" ht="15.75" customHeight="1">
      <c r="B973" s="146"/>
      <c r="F973" s="13"/>
      <c r="K973" s="13"/>
      <c r="P973" s="13"/>
      <c r="Q973" s="13"/>
      <c r="R973" s="13"/>
      <c r="U973" s="13"/>
      <c r="W973" s="13"/>
      <c r="X973" s="13"/>
      <c r="Z973" s="13"/>
      <c r="AB973" s="13"/>
      <c r="AC973" s="13"/>
      <c r="AE973" s="13"/>
      <c r="AF973" s="13"/>
      <c r="AG973" s="13"/>
      <c r="AH973" s="13"/>
      <c r="AZ973" s="14"/>
      <c r="BA973" s="14"/>
      <c r="BB973" s="14"/>
    </row>
    <row r="974" ht="15.75" customHeight="1">
      <c r="B974" s="146"/>
      <c r="F974" s="13"/>
      <c r="K974" s="13"/>
      <c r="P974" s="13"/>
      <c r="Q974" s="13"/>
      <c r="R974" s="13"/>
      <c r="U974" s="13"/>
      <c r="W974" s="13"/>
      <c r="X974" s="13"/>
      <c r="Z974" s="13"/>
      <c r="AB974" s="13"/>
      <c r="AC974" s="13"/>
      <c r="AE974" s="13"/>
      <c r="AF974" s="13"/>
      <c r="AG974" s="13"/>
      <c r="AH974" s="13"/>
      <c r="AZ974" s="14"/>
      <c r="BA974" s="14"/>
      <c r="BB974" s="14"/>
    </row>
    <row r="975" ht="15.75" customHeight="1">
      <c r="B975" s="146"/>
      <c r="F975" s="13"/>
      <c r="K975" s="13"/>
      <c r="P975" s="13"/>
      <c r="Q975" s="13"/>
      <c r="R975" s="13"/>
      <c r="U975" s="13"/>
      <c r="W975" s="13"/>
      <c r="X975" s="13"/>
      <c r="Z975" s="13"/>
      <c r="AB975" s="13"/>
      <c r="AC975" s="13"/>
      <c r="AE975" s="13"/>
      <c r="AF975" s="13"/>
      <c r="AG975" s="13"/>
      <c r="AH975" s="13"/>
      <c r="AZ975" s="14"/>
      <c r="BA975" s="14"/>
      <c r="BB975" s="14"/>
    </row>
    <row r="976" ht="15.75" customHeight="1">
      <c r="B976" s="146"/>
      <c r="F976" s="13"/>
      <c r="K976" s="13"/>
      <c r="P976" s="13"/>
      <c r="Q976" s="13"/>
      <c r="R976" s="13"/>
      <c r="U976" s="13"/>
      <c r="W976" s="13"/>
      <c r="X976" s="13"/>
      <c r="Z976" s="13"/>
      <c r="AB976" s="13"/>
      <c r="AC976" s="13"/>
      <c r="AE976" s="13"/>
      <c r="AF976" s="13"/>
      <c r="AG976" s="13"/>
      <c r="AH976" s="13"/>
      <c r="AZ976" s="14"/>
      <c r="BA976" s="14"/>
      <c r="BB976" s="14"/>
    </row>
    <row r="977" ht="15.75" customHeight="1">
      <c r="B977" s="146"/>
      <c r="F977" s="13"/>
      <c r="K977" s="13"/>
      <c r="P977" s="13"/>
      <c r="Q977" s="13"/>
      <c r="R977" s="13"/>
      <c r="U977" s="13"/>
      <c r="W977" s="13"/>
      <c r="X977" s="13"/>
      <c r="Z977" s="13"/>
      <c r="AB977" s="13"/>
      <c r="AC977" s="13"/>
      <c r="AE977" s="13"/>
      <c r="AF977" s="13"/>
      <c r="AG977" s="13"/>
      <c r="AH977" s="13"/>
      <c r="AZ977" s="14"/>
      <c r="BA977" s="14"/>
      <c r="BB977" s="14"/>
    </row>
    <row r="978" ht="15.75" customHeight="1">
      <c r="B978" s="146"/>
      <c r="F978" s="13"/>
      <c r="K978" s="13"/>
      <c r="P978" s="13"/>
      <c r="Q978" s="13"/>
      <c r="R978" s="13"/>
      <c r="U978" s="13"/>
      <c r="W978" s="13"/>
      <c r="X978" s="13"/>
      <c r="Z978" s="13"/>
      <c r="AB978" s="13"/>
      <c r="AC978" s="13"/>
      <c r="AE978" s="13"/>
      <c r="AF978" s="13"/>
      <c r="AG978" s="13"/>
      <c r="AH978" s="13"/>
      <c r="AZ978" s="14"/>
      <c r="BA978" s="14"/>
      <c r="BB978" s="14"/>
    </row>
    <row r="979" ht="15.75" customHeight="1">
      <c r="B979" s="146"/>
      <c r="F979" s="13"/>
      <c r="K979" s="13"/>
      <c r="P979" s="13"/>
      <c r="Q979" s="13"/>
      <c r="R979" s="13"/>
      <c r="U979" s="13"/>
      <c r="W979" s="13"/>
      <c r="X979" s="13"/>
      <c r="Z979" s="13"/>
      <c r="AB979" s="13"/>
      <c r="AC979" s="13"/>
      <c r="AE979" s="13"/>
      <c r="AF979" s="13"/>
      <c r="AG979" s="13"/>
      <c r="AH979" s="13"/>
      <c r="AZ979" s="14"/>
      <c r="BA979" s="14"/>
      <c r="BB979" s="14"/>
    </row>
    <row r="980" ht="15.75" customHeight="1">
      <c r="B980" s="146"/>
      <c r="F980" s="13"/>
      <c r="K980" s="13"/>
      <c r="P980" s="13"/>
      <c r="Q980" s="13"/>
      <c r="R980" s="13"/>
      <c r="U980" s="13"/>
      <c r="W980" s="13"/>
      <c r="X980" s="13"/>
      <c r="Z980" s="13"/>
      <c r="AB980" s="13"/>
      <c r="AC980" s="13"/>
      <c r="AE980" s="13"/>
      <c r="AF980" s="13"/>
      <c r="AG980" s="13"/>
      <c r="AH980" s="13"/>
      <c r="AZ980" s="14"/>
      <c r="BA980" s="14"/>
      <c r="BB980" s="14"/>
    </row>
    <row r="981" ht="15.75" customHeight="1">
      <c r="B981" s="146"/>
      <c r="F981" s="13"/>
      <c r="K981" s="13"/>
      <c r="P981" s="13"/>
      <c r="Q981" s="13"/>
      <c r="R981" s="13"/>
      <c r="U981" s="13"/>
      <c r="W981" s="13"/>
      <c r="X981" s="13"/>
      <c r="Z981" s="13"/>
      <c r="AB981" s="13"/>
      <c r="AC981" s="13"/>
      <c r="AE981" s="13"/>
      <c r="AF981" s="13"/>
      <c r="AG981" s="13"/>
      <c r="AH981" s="13"/>
      <c r="AZ981" s="14"/>
      <c r="BA981" s="14"/>
      <c r="BB981" s="14"/>
    </row>
    <row r="982" ht="15.75" customHeight="1">
      <c r="B982" s="146"/>
      <c r="F982" s="13"/>
      <c r="K982" s="13"/>
      <c r="P982" s="13"/>
      <c r="Q982" s="13"/>
      <c r="R982" s="13"/>
      <c r="U982" s="13"/>
      <c r="W982" s="13"/>
      <c r="X982" s="13"/>
      <c r="Z982" s="13"/>
      <c r="AB982" s="13"/>
      <c r="AC982" s="13"/>
      <c r="AE982" s="13"/>
      <c r="AF982" s="13"/>
      <c r="AG982" s="13"/>
      <c r="AH982" s="13"/>
      <c r="AZ982" s="14"/>
      <c r="BA982" s="14"/>
      <c r="BB982" s="14"/>
    </row>
    <row r="983" ht="15.75" customHeight="1">
      <c r="B983" s="146"/>
      <c r="F983" s="13"/>
      <c r="K983" s="13"/>
      <c r="P983" s="13"/>
      <c r="Q983" s="13"/>
      <c r="R983" s="13"/>
      <c r="U983" s="13"/>
      <c r="W983" s="13"/>
      <c r="X983" s="13"/>
      <c r="Z983" s="13"/>
      <c r="AB983" s="13"/>
      <c r="AC983" s="13"/>
      <c r="AE983" s="13"/>
      <c r="AF983" s="13"/>
      <c r="AG983" s="13"/>
      <c r="AH983" s="13"/>
      <c r="AZ983" s="14"/>
      <c r="BA983" s="14"/>
      <c r="BB983" s="14"/>
    </row>
    <row r="984" ht="15.75" customHeight="1">
      <c r="B984" s="146"/>
      <c r="F984" s="13"/>
      <c r="K984" s="13"/>
      <c r="P984" s="13"/>
      <c r="Q984" s="13"/>
      <c r="R984" s="13"/>
      <c r="U984" s="13"/>
      <c r="W984" s="13"/>
      <c r="X984" s="13"/>
      <c r="Z984" s="13"/>
      <c r="AB984" s="13"/>
      <c r="AC984" s="13"/>
      <c r="AE984" s="13"/>
      <c r="AF984" s="13"/>
      <c r="AG984" s="13"/>
      <c r="AH984" s="13"/>
      <c r="AZ984" s="14"/>
      <c r="BA984" s="14"/>
      <c r="BB984" s="14"/>
    </row>
    <row r="985" ht="15.75" customHeight="1">
      <c r="B985" s="146"/>
      <c r="F985" s="13"/>
      <c r="K985" s="13"/>
      <c r="P985" s="13"/>
      <c r="Q985" s="13"/>
      <c r="R985" s="13"/>
      <c r="U985" s="13"/>
      <c r="W985" s="13"/>
      <c r="X985" s="13"/>
      <c r="Z985" s="13"/>
      <c r="AB985" s="13"/>
      <c r="AC985" s="13"/>
      <c r="AE985" s="13"/>
      <c r="AF985" s="13"/>
      <c r="AG985" s="13"/>
      <c r="AH985" s="13"/>
      <c r="AZ985" s="14"/>
      <c r="BA985" s="14"/>
      <c r="BB985" s="14"/>
    </row>
    <row r="986" ht="15.75" customHeight="1">
      <c r="B986" s="146"/>
      <c r="F986" s="13"/>
      <c r="K986" s="13"/>
      <c r="P986" s="13"/>
      <c r="Q986" s="13"/>
      <c r="R986" s="13"/>
      <c r="U986" s="13"/>
      <c r="W986" s="13"/>
      <c r="X986" s="13"/>
      <c r="Z986" s="13"/>
      <c r="AB986" s="13"/>
      <c r="AC986" s="13"/>
      <c r="AE986" s="13"/>
      <c r="AF986" s="13"/>
      <c r="AG986" s="13"/>
      <c r="AH986" s="13"/>
      <c r="AZ986" s="14"/>
      <c r="BA986" s="14"/>
      <c r="BB986" s="14"/>
    </row>
    <row r="987" ht="15.75" customHeight="1">
      <c r="B987" s="146"/>
      <c r="F987" s="13"/>
      <c r="K987" s="13"/>
      <c r="P987" s="13"/>
      <c r="Q987" s="13"/>
      <c r="R987" s="13"/>
      <c r="U987" s="13"/>
      <c r="W987" s="13"/>
      <c r="X987" s="13"/>
      <c r="Z987" s="13"/>
      <c r="AB987" s="13"/>
      <c r="AC987" s="13"/>
      <c r="AE987" s="13"/>
      <c r="AF987" s="13"/>
      <c r="AG987" s="13"/>
      <c r="AH987" s="13"/>
      <c r="AZ987" s="14"/>
      <c r="BA987" s="14"/>
      <c r="BB987" s="14"/>
    </row>
    <row r="988" ht="15.75" customHeight="1">
      <c r="B988" s="146"/>
      <c r="F988" s="13"/>
      <c r="K988" s="13"/>
      <c r="P988" s="13"/>
      <c r="Q988" s="13"/>
      <c r="R988" s="13"/>
      <c r="U988" s="13"/>
      <c r="W988" s="13"/>
      <c r="X988" s="13"/>
      <c r="Z988" s="13"/>
      <c r="AB988" s="13"/>
      <c r="AC988" s="13"/>
      <c r="AE988" s="13"/>
      <c r="AF988" s="13"/>
      <c r="AG988" s="13"/>
      <c r="AH988" s="13"/>
      <c r="AZ988" s="14"/>
      <c r="BA988" s="14"/>
      <c r="BB988" s="14"/>
    </row>
    <row r="989" ht="15.75" customHeight="1">
      <c r="B989" s="146"/>
      <c r="F989" s="13"/>
      <c r="K989" s="13"/>
      <c r="P989" s="13"/>
      <c r="Q989" s="13"/>
      <c r="R989" s="13"/>
      <c r="U989" s="13"/>
      <c r="W989" s="13"/>
      <c r="X989" s="13"/>
      <c r="Z989" s="13"/>
      <c r="AB989" s="13"/>
      <c r="AC989" s="13"/>
      <c r="AE989" s="13"/>
      <c r="AF989" s="13"/>
      <c r="AG989" s="13"/>
      <c r="AH989" s="13"/>
      <c r="AZ989" s="14"/>
      <c r="BA989" s="14"/>
      <c r="BB989" s="14"/>
    </row>
    <row r="990" ht="15.75" customHeight="1">
      <c r="B990" s="146"/>
      <c r="F990" s="13"/>
      <c r="K990" s="13"/>
      <c r="P990" s="13"/>
      <c r="Q990" s="13"/>
      <c r="R990" s="13"/>
      <c r="U990" s="13"/>
      <c r="W990" s="13"/>
      <c r="X990" s="13"/>
      <c r="Z990" s="13"/>
      <c r="AB990" s="13"/>
      <c r="AC990" s="13"/>
      <c r="AE990" s="13"/>
      <c r="AF990" s="13"/>
      <c r="AG990" s="13"/>
      <c r="AH990" s="13"/>
      <c r="AZ990" s="14"/>
      <c r="BA990" s="14"/>
      <c r="BB990" s="14"/>
    </row>
    <row r="991" ht="15.75" customHeight="1">
      <c r="B991" s="146"/>
      <c r="F991" s="13"/>
      <c r="K991" s="13"/>
      <c r="P991" s="13"/>
      <c r="Q991" s="13"/>
      <c r="R991" s="13"/>
      <c r="U991" s="13"/>
      <c r="W991" s="13"/>
      <c r="X991" s="13"/>
      <c r="Z991" s="13"/>
      <c r="AB991" s="13"/>
      <c r="AC991" s="13"/>
      <c r="AE991" s="13"/>
      <c r="AF991" s="13"/>
      <c r="AG991" s="13"/>
      <c r="AH991" s="13"/>
      <c r="AZ991" s="14"/>
      <c r="BA991" s="14"/>
      <c r="BB991" s="14"/>
    </row>
    <row r="992" ht="15.75" customHeight="1">
      <c r="B992" s="146"/>
      <c r="F992" s="13"/>
      <c r="K992" s="13"/>
      <c r="P992" s="13"/>
      <c r="Q992" s="13"/>
      <c r="R992" s="13"/>
      <c r="U992" s="13"/>
      <c r="W992" s="13"/>
      <c r="X992" s="13"/>
      <c r="Z992" s="13"/>
      <c r="AB992" s="13"/>
      <c r="AC992" s="13"/>
      <c r="AE992" s="13"/>
      <c r="AF992" s="13"/>
      <c r="AG992" s="13"/>
      <c r="AH992" s="13"/>
      <c r="AZ992" s="14"/>
      <c r="BA992" s="14"/>
      <c r="BB992" s="14"/>
    </row>
    <row r="993" ht="15.75" customHeight="1">
      <c r="B993" s="146"/>
      <c r="F993" s="13"/>
      <c r="K993" s="13"/>
      <c r="P993" s="13"/>
      <c r="Q993" s="13"/>
      <c r="R993" s="13"/>
      <c r="U993" s="13"/>
      <c r="W993" s="13"/>
      <c r="X993" s="13"/>
      <c r="Z993" s="13"/>
      <c r="AB993" s="13"/>
      <c r="AC993" s="13"/>
      <c r="AE993" s="13"/>
      <c r="AF993" s="13"/>
      <c r="AG993" s="13"/>
      <c r="AH993" s="13"/>
      <c r="AZ993" s="14"/>
      <c r="BA993" s="14"/>
      <c r="BB993" s="14"/>
    </row>
    <row r="994" ht="15.75" customHeight="1">
      <c r="B994" s="146"/>
      <c r="F994" s="13"/>
      <c r="K994" s="13"/>
      <c r="P994" s="13"/>
      <c r="Q994" s="13"/>
      <c r="R994" s="13"/>
      <c r="U994" s="13"/>
      <c r="W994" s="13"/>
      <c r="X994" s="13"/>
      <c r="Z994" s="13"/>
      <c r="AB994" s="13"/>
      <c r="AC994" s="13"/>
      <c r="AE994" s="13"/>
      <c r="AF994" s="13"/>
      <c r="AG994" s="13"/>
      <c r="AH994" s="13"/>
      <c r="AZ994" s="14"/>
      <c r="BA994" s="14"/>
      <c r="BB994" s="14"/>
    </row>
    <row r="995" ht="15.75" customHeight="1">
      <c r="B995" s="146"/>
      <c r="F995" s="13"/>
      <c r="K995" s="13"/>
      <c r="P995" s="13"/>
      <c r="Q995" s="13"/>
      <c r="R995" s="13"/>
      <c r="U995" s="13"/>
      <c r="W995" s="13"/>
      <c r="X995" s="13"/>
      <c r="Z995" s="13"/>
      <c r="AB995" s="13"/>
      <c r="AC995" s="13"/>
      <c r="AE995" s="13"/>
      <c r="AF995" s="13"/>
      <c r="AG995" s="13"/>
      <c r="AH995" s="13"/>
      <c r="AZ995" s="14"/>
      <c r="BA995" s="14"/>
      <c r="BB995" s="14"/>
    </row>
    <row r="996" ht="15.75" customHeight="1">
      <c r="B996" s="146"/>
      <c r="F996" s="13"/>
      <c r="K996" s="13"/>
      <c r="P996" s="13"/>
      <c r="Q996" s="13"/>
      <c r="R996" s="13"/>
      <c r="U996" s="13"/>
      <c r="W996" s="13"/>
      <c r="X996" s="13"/>
      <c r="Z996" s="13"/>
      <c r="AB996" s="13"/>
      <c r="AC996" s="13"/>
      <c r="AE996" s="13"/>
      <c r="AF996" s="13"/>
      <c r="AG996" s="13"/>
      <c r="AH996" s="13"/>
      <c r="AZ996" s="14"/>
      <c r="BA996" s="14"/>
      <c r="BB996" s="14"/>
    </row>
    <row r="997" ht="15.75" customHeight="1">
      <c r="B997" s="146"/>
      <c r="F997" s="13"/>
      <c r="K997" s="13"/>
      <c r="P997" s="13"/>
      <c r="Q997" s="13"/>
      <c r="R997" s="13"/>
      <c r="U997" s="13"/>
      <c r="W997" s="13"/>
      <c r="X997" s="13"/>
      <c r="Z997" s="13"/>
      <c r="AB997" s="13"/>
      <c r="AC997" s="13"/>
      <c r="AE997" s="13"/>
      <c r="AF997" s="13"/>
      <c r="AG997" s="13"/>
      <c r="AH997" s="13"/>
      <c r="AZ997" s="14"/>
      <c r="BA997" s="14"/>
      <c r="BB997" s="14"/>
    </row>
    <row r="998" ht="15.75" customHeight="1">
      <c r="B998" s="146"/>
      <c r="F998" s="13"/>
      <c r="K998" s="13"/>
      <c r="P998" s="13"/>
      <c r="Q998" s="13"/>
      <c r="R998" s="13"/>
      <c r="U998" s="13"/>
      <c r="W998" s="13"/>
      <c r="X998" s="13"/>
      <c r="Z998" s="13"/>
      <c r="AB998" s="13"/>
      <c r="AC998" s="13"/>
      <c r="AE998" s="13"/>
      <c r="AF998" s="13"/>
      <c r="AG998" s="13"/>
      <c r="AH998" s="13"/>
      <c r="AZ998" s="14"/>
      <c r="BA998" s="14"/>
      <c r="BB998" s="14"/>
    </row>
    <row r="999" ht="15.75" customHeight="1">
      <c r="B999" s="146"/>
      <c r="F999" s="13"/>
      <c r="K999" s="13"/>
      <c r="P999" s="13"/>
      <c r="Q999" s="13"/>
      <c r="R999" s="13"/>
      <c r="U999" s="13"/>
      <c r="W999" s="13"/>
      <c r="X999" s="13"/>
      <c r="Z999" s="13"/>
      <c r="AB999" s="13"/>
      <c r="AC999" s="13"/>
      <c r="AE999" s="13"/>
      <c r="AF999" s="13"/>
      <c r="AG999" s="13"/>
      <c r="AH999" s="13"/>
      <c r="AZ999" s="14"/>
      <c r="BA999" s="14"/>
      <c r="BB999" s="14"/>
    </row>
    <row r="1000" ht="15.75" customHeight="1">
      <c r="B1000" s="146"/>
      <c r="F1000" s="13"/>
      <c r="K1000" s="13"/>
      <c r="P1000" s="13"/>
      <c r="Q1000" s="13"/>
      <c r="R1000" s="13"/>
      <c r="U1000" s="13"/>
      <c r="W1000" s="13"/>
      <c r="X1000" s="13"/>
      <c r="Z1000" s="13"/>
      <c r="AB1000" s="13"/>
      <c r="AC1000" s="13"/>
      <c r="AE1000" s="13"/>
      <c r="AF1000" s="13"/>
      <c r="AG1000" s="13"/>
      <c r="AH1000" s="13"/>
      <c r="AZ1000" s="14"/>
      <c r="BA1000" s="14"/>
      <c r="BB1000" s="14"/>
    </row>
    <row r="1001" ht="15.75" customHeight="1">
      <c r="B1001" s="146"/>
      <c r="F1001" s="13"/>
      <c r="K1001" s="13"/>
      <c r="P1001" s="13"/>
      <c r="Q1001" s="13"/>
      <c r="R1001" s="13"/>
      <c r="U1001" s="13"/>
      <c r="W1001" s="13"/>
      <c r="X1001" s="13"/>
      <c r="Z1001" s="13"/>
      <c r="AB1001" s="13"/>
      <c r="AC1001" s="13"/>
      <c r="AE1001" s="13"/>
      <c r="AF1001" s="13"/>
      <c r="AG1001" s="13"/>
      <c r="AH1001" s="13"/>
      <c r="AZ1001" s="14"/>
      <c r="BA1001" s="14"/>
      <c r="BB1001" s="14"/>
    </row>
    <row r="1002" ht="15.75" customHeight="1">
      <c r="B1002" s="146"/>
      <c r="F1002" s="13"/>
      <c r="K1002" s="13"/>
      <c r="P1002" s="13"/>
      <c r="Q1002" s="13"/>
      <c r="R1002" s="13"/>
      <c r="U1002" s="13"/>
      <c r="W1002" s="13"/>
      <c r="X1002" s="13"/>
      <c r="Z1002" s="13"/>
      <c r="AB1002" s="13"/>
      <c r="AC1002" s="13"/>
      <c r="AE1002" s="13"/>
      <c r="AF1002" s="13"/>
      <c r="AG1002" s="13"/>
      <c r="AH1002" s="13"/>
      <c r="AZ1002" s="14"/>
      <c r="BA1002" s="14"/>
      <c r="BB1002" s="14"/>
    </row>
    <row r="1003" ht="15.75" customHeight="1">
      <c r="B1003" s="146"/>
      <c r="F1003" s="13"/>
      <c r="K1003" s="13"/>
      <c r="P1003" s="13"/>
      <c r="Q1003" s="13"/>
      <c r="R1003" s="13"/>
      <c r="U1003" s="13"/>
      <c r="W1003" s="13"/>
      <c r="X1003" s="13"/>
      <c r="Z1003" s="13"/>
      <c r="AB1003" s="13"/>
      <c r="AC1003" s="13"/>
      <c r="AE1003" s="13"/>
      <c r="AF1003" s="13"/>
      <c r="AG1003" s="13"/>
      <c r="AH1003" s="13"/>
      <c r="AZ1003" s="14"/>
      <c r="BA1003" s="14"/>
      <c r="BB1003" s="14"/>
    </row>
    <row r="1004" ht="15.75" customHeight="1">
      <c r="B1004" s="146"/>
      <c r="F1004" s="13"/>
      <c r="K1004" s="13"/>
      <c r="P1004" s="13"/>
      <c r="Q1004" s="13"/>
      <c r="R1004" s="13"/>
      <c r="U1004" s="13"/>
      <c r="W1004" s="13"/>
      <c r="X1004" s="13"/>
      <c r="Z1004" s="13"/>
      <c r="AB1004" s="13"/>
      <c r="AC1004" s="13"/>
      <c r="AE1004" s="13"/>
      <c r="AF1004" s="13"/>
      <c r="AG1004" s="13"/>
      <c r="AH1004" s="13"/>
      <c r="AZ1004" s="14"/>
      <c r="BA1004" s="14"/>
      <c r="BB1004" s="14"/>
    </row>
    <row r="1005" ht="15.75" customHeight="1">
      <c r="B1005" s="146"/>
      <c r="F1005" s="13"/>
      <c r="K1005" s="13"/>
      <c r="P1005" s="13"/>
      <c r="Q1005" s="13"/>
      <c r="R1005" s="13"/>
      <c r="U1005" s="13"/>
      <c r="W1005" s="13"/>
      <c r="X1005" s="13"/>
      <c r="Z1005" s="13"/>
      <c r="AB1005" s="13"/>
      <c r="AC1005" s="13"/>
      <c r="AE1005" s="13"/>
      <c r="AF1005" s="13"/>
      <c r="AG1005" s="13"/>
      <c r="AH1005" s="13"/>
      <c r="AZ1005" s="14"/>
      <c r="BA1005" s="14"/>
      <c r="BB1005" s="14"/>
    </row>
    <row r="1006" ht="15.75" customHeight="1">
      <c r="B1006" s="146"/>
      <c r="F1006" s="13"/>
      <c r="K1006" s="13"/>
      <c r="P1006" s="13"/>
      <c r="Q1006" s="13"/>
      <c r="R1006" s="13"/>
      <c r="U1006" s="13"/>
      <c r="W1006" s="13"/>
      <c r="X1006" s="13"/>
      <c r="Z1006" s="13"/>
      <c r="AB1006" s="13"/>
      <c r="AC1006" s="13"/>
      <c r="AE1006" s="13"/>
      <c r="AF1006" s="13"/>
      <c r="AG1006" s="13"/>
      <c r="AH1006" s="13"/>
      <c r="AZ1006" s="14"/>
      <c r="BA1006" s="14"/>
      <c r="BB1006" s="14"/>
    </row>
    <row r="1007" ht="15.75" customHeight="1">
      <c r="B1007" s="146"/>
      <c r="F1007" s="13"/>
      <c r="K1007" s="13"/>
      <c r="P1007" s="13"/>
      <c r="Q1007" s="13"/>
      <c r="R1007" s="13"/>
      <c r="U1007" s="13"/>
      <c r="W1007" s="13"/>
      <c r="X1007" s="13"/>
      <c r="Z1007" s="13"/>
      <c r="AB1007" s="13"/>
      <c r="AC1007" s="13"/>
      <c r="AE1007" s="13"/>
      <c r="AF1007" s="13"/>
      <c r="AG1007" s="13"/>
      <c r="AH1007" s="13"/>
      <c r="AZ1007" s="14"/>
      <c r="BA1007" s="14"/>
      <c r="BB1007" s="14"/>
    </row>
    <row r="1008" ht="15.75" customHeight="1">
      <c r="B1008" s="146"/>
      <c r="F1008" s="13"/>
      <c r="K1008" s="13"/>
      <c r="P1008" s="13"/>
      <c r="Q1008" s="13"/>
      <c r="R1008" s="13"/>
      <c r="U1008" s="13"/>
      <c r="W1008" s="13"/>
      <c r="X1008" s="13"/>
      <c r="Z1008" s="13"/>
      <c r="AB1008" s="13"/>
      <c r="AC1008" s="13"/>
      <c r="AE1008" s="13"/>
      <c r="AF1008" s="13"/>
      <c r="AG1008" s="13"/>
      <c r="AH1008" s="13"/>
      <c r="AZ1008" s="14"/>
      <c r="BA1008" s="14"/>
      <c r="BB1008" s="14"/>
    </row>
    <row r="1009" ht="15.75" customHeight="1">
      <c r="B1009" s="146"/>
      <c r="F1009" s="13"/>
      <c r="K1009" s="13"/>
      <c r="P1009" s="13"/>
      <c r="Q1009" s="13"/>
      <c r="R1009" s="13"/>
      <c r="U1009" s="13"/>
      <c r="W1009" s="13"/>
      <c r="X1009" s="13"/>
      <c r="Z1009" s="13"/>
      <c r="AB1009" s="13"/>
      <c r="AC1009" s="13"/>
      <c r="AE1009" s="13"/>
      <c r="AF1009" s="13"/>
      <c r="AG1009" s="13"/>
      <c r="AH1009" s="13"/>
      <c r="AZ1009" s="14"/>
      <c r="BA1009" s="14"/>
      <c r="BB1009" s="14"/>
    </row>
    <row r="1010" ht="15.75" customHeight="1">
      <c r="B1010" s="146"/>
      <c r="F1010" s="13"/>
      <c r="K1010" s="13"/>
      <c r="P1010" s="13"/>
      <c r="Q1010" s="13"/>
      <c r="R1010" s="13"/>
      <c r="U1010" s="13"/>
      <c r="W1010" s="13"/>
      <c r="X1010" s="13"/>
      <c r="Z1010" s="13"/>
      <c r="AB1010" s="13"/>
      <c r="AC1010" s="13"/>
      <c r="AE1010" s="13"/>
      <c r="AF1010" s="13"/>
      <c r="AG1010" s="13"/>
      <c r="AH1010" s="13"/>
      <c r="AZ1010" s="14"/>
      <c r="BA1010" s="14"/>
      <c r="BB1010" s="14"/>
    </row>
    <row r="1011" ht="15.75" customHeight="1">
      <c r="B1011" s="146"/>
      <c r="F1011" s="13"/>
      <c r="K1011" s="13"/>
      <c r="P1011" s="13"/>
      <c r="Q1011" s="13"/>
      <c r="R1011" s="13"/>
      <c r="U1011" s="13"/>
      <c r="W1011" s="13"/>
      <c r="X1011" s="13"/>
      <c r="Z1011" s="13"/>
      <c r="AB1011" s="13"/>
      <c r="AC1011" s="13"/>
      <c r="AE1011" s="13"/>
      <c r="AF1011" s="13"/>
      <c r="AG1011" s="13"/>
      <c r="AH1011" s="13"/>
      <c r="AZ1011" s="14"/>
      <c r="BA1011" s="14"/>
      <c r="BB1011" s="14"/>
    </row>
    <row r="1012" ht="15.75" customHeight="1">
      <c r="B1012" s="146"/>
      <c r="F1012" s="13"/>
      <c r="K1012" s="13"/>
      <c r="P1012" s="13"/>
      <c r="Q1012" s="13"/>
      <c r="R1012" s="13"/>
      <c r="U1012" s="13"/>
      <c r="W1012" s="13"/>
      <c r="X1012" s="13"/>
      <c r="Z1012" s="13"/>
      <c r="AB1012" s="13"/>
      <c r="AC1012" s="13"/>
      <c r="AE1012" s="13"/>
      <c r="AF1012" s="13"/>
      <c r="AG1012" s="13"/>
      <c r="AH1012" s="13"/>
      <c r="AZ1012" s="14"/>
      <c r="BA1012" s="14"/>
      <c r="BB1012" s="14"/>
    </row>
    <row r="1013" ht="15.75" customHeight="1">
      <c r="B1013" s="146"/>
      <c r="F1013" s="13"/>
      <c r="K1013" s="13"/>
      <c r="P1013" s="13"/>
      <c r="Q1013" s="13"/>
      <c r="R1013" s="13"/>
      <c r="U1013" s="13"/>
      <c r="W1013" s="13"/>
      <c r="X1013" s="13"/>
      <c r="Z1013" s="13"/>
      <c r="AB1013" s="13"/>
      <c r="AC1013" s="13"/>
      <c r="AE1013" s="13"/>
      <c r="AF1013" s="13"/>
      <c r="AG1013" s="13"/>
      <c r="AH1013" s="13"/>
      <c r="AZ1013" s="14"/>
      <c r="BA1013" s="14"/>
      <c r="BB1013" s="14"/>
    </row>
    <row r="1014" ht="15.75" customHeight="1">
      <c r="B1014" s="146"/>
      <c r="F1014" s="13"/>
      <c r="K1014" s="13"/>
      <c r="P1014" s="13"/>
      <c r="Q1014" s="13"/>
      <c r="R1014" s="13"/>
      <c r="U1014" s="13"/>
      <c r="W1014" s="13"/>
      <c r="X1014" s="13"/>
      <c r="Z1014" s="13"/>
      <c r="AB1014" s="13"/>
      <c r="AC1014" s="13"/>
      <c r="AE1014" s="13"/>
      <c r="AF1014" s="13"/>
      <c r="AG1014" s="13"/>
      <c r="AH1014" s="13"/>
      <c r="AZ1014" s="14"/>
      <c r="BA1014" s="14"/>
      <c r="BB1014" s="14"/>
    </row>
    <row r="1015" ht="15.75" customHeight="1">
      <c r="B1015" s="146"/>
      <c r="F1015" s="13"/>
      <c r="K1015" s="13"/>
      <c r="P1015" s="13"/>
      <c r="Q1015" s="13"/>
      <c r="R1015" s="13"/>
      <c r="U1015" s="13"/>
      <c r="W1015" s="13"/>
      <c r="X1015" s="13"/>
      <c r="Z1015" s="13"/>
      <c r="AB1015" s="13"/>
      <c r="AC1015" s="13"/>
      <c r="AE1015" s="13"/>
      <c r="AF1015" s="13"/>
      <c r="AG1015" s="13"/>
      <c r="AH1015" s="13"/>
      <c r="AZ1015" s="14"/>
      <c r="BA1015" s="14"/>
      <c r="BB1015" s="14"/>
    </row>
    <row r="1016" ht="15.75" customHeight="1">
      <c r="B1016" s="146"/>
      <c r="F1016" s="13"/>
      <c r="K1016" s="13"/>
      <c r="P1016" s="13"/>
      <c r="Q1016" s="13"/>
      <c r="R1016" s="13"/>
      <c r="U1016" s="13"/>
      <c r="W1016" s="13"/>
      <c r="X1016" s="13"/>
      <c r="Z1016" s="13"/>
      <c r="AB1016" s="13"/>
      <c r="AC1016" s="13"/>
      <c r="AE1016" s="13"/>
      <c r="AF1016" s="13"/>
      <c r="AG1016" s="13"/>
      <c r="AH1016" s="13"/>
      <c r="AZ1016" s="14"/>
      <c r="BA1016" s="14"/>
      <c r="BB1016" s="14"/>
    </row>
    <row r="1017" ht="15.75" customHeight="1">
      <c r="B1017" s="146"/>
      <c r="F1017" s="13"/>
      <c r="K1017" s="13"/>
      <c r="P1017" s="13"/>
      <c r="Q1017" s="13"/>
      <c r="R1017" s="13"/>
      <c r="U1017" s="13"/>
      <c r="W1017" s="13"/>
      <c r="X1017" s="13"/>
      <c r="Z1017" s="13"/>
      <c r="AB1017" s="13"/>
      <c r="AC1017" s="13"/>
      <c r="AE1017" s="13"/>
      <c r="AF1017" s="13"/>
      <c r="AG1017" s="13"/>
      <c r="AH1017" s="13"/>
      <c r="AZ1017" s="14"/>
      <c r="BA1017" s="14"/>
      <c r="BB1017" s="14"/>
    </row>
    <row r="1018" ht="15.75" customHeight="1">
      <c r="B1018" s="146"/>
      <c r="F1018" s="13"/>
      <c r="K1018" s="13"/>
      <c r="P1018" s="13"/>
      <c r="Q1018" s="13"/>
      <c r="R1018" s="13"/>
      <c r="U1018" s="13"/>
      <c r="W1018" s="13"/>
      <c r="X1018" s="13"/>
      <c r="Z1018" s="13"/>
      <c r="AB1018" s="13"/>
      <c r="AC1018" s="13"/>
      <c r="AE1018" s="13"/>
      <c r="AF1018" s="13"/>
      <c r="AG1018" s="13"/>
      <c r="AH1018" s="13"/>
      <c r="AZ1018" s="14"/>
      <c r="BA1018" s="14"/>
      <c r="BB1018" s="14"/>
    </row>
    <row r="1019" ht="15.75" customHeight="1">
      <c r="B1019" s="146"/>
      <c r="F1019" s="13"/>
      <c r="K1019" s="13"/>
      <c r="P1019" s="13"/>
      <c r="Q1019" s="13"/>
      <c r="R1019" s="13"/>
      <c r="U1019" s="13"/>
      <c r="W1019" s="13"/>
      <c r="X1019" s="13"/>
      <c r="Z1019" s="13"/>
      <c r="AB1019" s="13"/>
      <c r="AC1019" s="13"/>
      <c r="AE1019" s="13"/>
      <c r="AF1019" s="13"/>
      <c r="AG1019" s="13"/>
      <c r="AH1019" s="13"/>
      <c r="AZ1019" s="14"/>
      <c r="BA1019" s="14"/>
      <c r="BB1019" s="14"/>
    </row>
    <row r="1020" ht="15.75" customHeight="1">
      <c r="B1020" s="146"/>
      <c r="F1020" s="13"/>
      <c r="K1020" s="13"/>
      <c r="P1020" s="13"/>
      <c r="Q1020" s="13"/>
      <c r="R1020" s="13"/>
      <c r="U1020" s="13"/>
      <c r="W1020" s="13"/>
      <c r="X1020" s="13"/>
      <c r="Z1020" s="13"/>
      <c r="AB1020" s="13"/>
      <c r="AC1020" s="13"/>
      <c r="AE1020" s="13"/>
      <c r="AF1020" s="13"/>
      <c r="AG1020" s="13"/>
      <c r="AH1020" s="13"/>
      <c r="AZ1020" s="14"/>
      <c r="BA1020" s="14"/>
      <c r="BB1020" s="14"/>
    </row>
    <row r="1021" ht="15.75" customHeight="1">
      <c r="B1021" s="146"/>
      <c r="F1021" s="13"/>
      <c r="K1021" s="13"/>
      <c r="P1021" s="13"/>
      <c r="Q1021" s="13"/>
      <c r="R1021" s="13"/>
      <c r="U1021" s="13"/>
      <c r="W1021" s="13"/>
      <c r="X1021" s="13"/>
      <c r="Z1021" s="13"/>
      <c r="AB1021" s="13"/>
      <c r="AC1021" s="13"/>
      <c r="AE1021" s="13"/>
      <c r="AF1021" s="13"/>
      <c r="AG1021" s="13"/>
      <c r="AH1021" s="13"/>
      <c r="AZ1021" s="14"/>
      <c r="BA1021" s="14"/>
      <c r="BB1021" s="14"/>
    </row>
    <row r="1022" ht="15.75" customHeight="1">
      <c r="B1022" s="146"/>
      <c r="F1022" s="13"/>
      <c r="K1022" s="13"/>
      <c r="P1022" s="13"/>
      <c r="Q1022" s="13"/>
      <c r="R1022" s="13"/>
      <c r="U1022" s="13"/>
      <c r="W1022" s="13"/>
      <c r="X1022" s="13"/>
      <c r="Z1022" s="13"/>
      <c r="AB1022" s="13"/>
      <c r="AC1022" s="13"/>
      <c r="AE1022" s="13"/>
      <c r="AF1022" s="13"/>
      <c r="AG1022" s="13"/>
      <c r="AH1022" s="13"/>
      <c r="AZ1022" s="14"/>
      <c r="BA1022" s="14"/>
      <c r="BB1022" s="14"/>
    </row>
    <row r="1023" ht="15.75" customHeight="1">
      <c r="B1023" s="146"/>
      <c r="F1023" s="13"/>
      <c r="K1023" s="13"/>
      <c r="P1023" s="13"/>
      <c r="Q1023" s="13"/>
      <c r="R1023" s="13"/>
      <c r="U1023" s="13"/>
      <c r="W1023" s="13"/>
      <c r="X1023" s="13"/>
      <c r="Z1023" s="13"/>
      <c r="AB1023" s="13"/>
      <c r="AC1023" s="13"/>
      <c r="AE1023" s="13"/>
      <c r="AF1023" s="13"/>
      <c r="AG1023" s="13"/>
      <c r="AH1023" s="13"/>
      <c r="AZ1023" s="14"/>
      <c r="BA1023" s="14"/>
      <c r="BB1023" s="14"/>
    </row>
    <row r="1024" ht="15.75" customHeight="1">
      <c r="B1024" s="146"/>
      <c r="F1024" s="13"/>
      <c r="K1024" s="13"/>
      <c r="P1024" s="13"/>
      <c r="Q1024" s="13"/>
      <c r="R1024" s="13"/>
      <c r="U1024" s="13"/>
      <c r="W1024" s="13"/>
      <c r="X1024" s="13"/>
      <c r="Z1024" s="13"/>
      <c r="AB1024" s="13"/>
      <c r="AC1024" s="13"/>
      <c r="AE1024" s="13"/>
      <c r="AF1024" s="13"/>
      <c r="AG1024" s="13"/>
      <c r="AH1024" s="13"/>
      <c r="AZ1024" s="14"/>
      <c r="BA1024" s="14"/>
      <c r="BB1024" s="14"/>
    </row>
    <row r="1025" ht="15.75" customHeight="1">
      <c r="B1025" s="146"/>
      <c r="F1025" s="13"/>
      <c r="K1025" s="13"/>
      <c r="P1025" s="13"/>
      <c r="Q1025" s="13"/>
      <c r="R1025" s="13"/>
      <c r="U1025" s="13"/>
      <c r="W1025" s="13"/>
      <c r="X1025" s="13"/>
      <c r="Z1025" s="13"/>
      <c r="AB1025" s="13"/>
      <c r="AC1025" s="13"/>
      <c r="AE1025" s="13"/>
      <c r="AF1025" s="13"/>
      <c r="AG1025" s="13"/>
      <c r="AH1025" s="13"/>
      <c r="AZ1025" s="14"/>
      <c r="BA1025" s="14"/>
      <c r="BB1025" s="14"/>
    </row>
    <row r="1026" ht="15.75" customHeight="1">
      <c r="B1026" s="146"/>
      <c r="F1026" s="13"/>
      <c r="K1026" s="13"/>
      <c r="P1026" s="13"/>
      <c r="Q1026" s="13"/>
      <c r="R1026" s="13"/>
      <c r="U1026" s="13"/>
      <c r="W1026" s="13"/>
      <c r="X1026" s="13"/>
      <c r="Z1026" s="13"/>
      <c r="AB1026" s="13"/>
      <c r="AC1026" s="13"/>
      <c r="AE1026" s="13"/>
      <c r="AF1026" s="13"/>
      <c r="AG1026" s="13"/>
      <c r="AH1026" s="13"/>
      <c r="AZ1026" s="14"/>
      <c r="BA1026" s="14"/>
      <c r="BB1026" s="14"/>
    </row>
    <row r="1027" ht="15.75" customHeight="1">
      <c r="B1027" s="146"/>
      <c r="F1027" s="13"/>
      <c r="K1027" s="13"/>
      <c r="P1027" s="13"/>
      <c r="Q1027" s="13"/>
      <c r="R1027" s="13"/>
      <c r="U1027" s="13"/>
      <c r="W1027" s="13"/>
      <c r="X1027" s="13"/>
      <c r="Z1027" s="13"/>
      <c r="AB1027" s="13"/>
      <c r="AC1027" s="13"/>
      <c r="AE1027" s="13"/>
      <c r="AF1027" s="13"/>
      <c r="AG1027" s="13"/>
      <c r="AH1027" s="13"/>
      <c r="AZ1027" s="14"/>
      <c r="BA1027" s="14"/>
      <c r="BB1027" s="14"/>
    </row>
    <row r="1028" ht="15.75" customHeight="1">
      <c r="B1028" s="146"/>
      <c r="F1028" s="13"/>
      <c r="K1028" s="13"/>
      <c r="P1028" s="13"/>
      <c r="Q1028" s="13"/>
      <c r="R1028" s="13"/>
      <c r="U1028" s="13"/>
      <c r="W1028" s="13"/>
      <c r="X1028" s="13"/>
      <c r="Z1028" s="13"/>
      <c r="AB1028" s="13"/>
      <c r="AC1028" s="13"/>
      <c r="AE1028" s="13"/>
      <c r="AF1028" s="13"/>
      <c r="AG1028" s="13"/>
      <c r="AH1028" s="13"/>
      <c r="AZ1028" s="14"/>
      <c r="BA1028" s="14"/>
      <c r="BB1028" s="14"/>
    </row>
    <row r="1029" ht="15.75" customHeight="1">
      <c r="B1029" s="146"/>
      <c r="F1029" s="13"/>
      <c r="K1029" s="13"/>
      <c r="P1029" s="13"/>
      <c r="Q1029" s="13"/>
      <c r="R1029" s="13"/>
      <c r="U1029" s="13"/>
      <c r="W1029" s="13"/>
      <c r="X1029" s="13"/>
      <c r="Z1029" s="13"/>
      <c r="AB1029" s="13"/>
      <c r="AC1029" s="13"/>
      <c r="AE1029" s="13"/>
      <c r="AF1029" s="13"/>
      <c r="AG1029" s="13"/>
      <c r="AH1029" s="13"/>
      <c r="AZ1029" s="14"/>
      <c r="BA1029" s="14"/>
      <c r="BB1029" s="14"/>
    </row>
    <row r="1030" ht="15.75" customHeight="1">
      <c r="B1030" s="146"/>
      <c r="F1030" s="13"/>
      <c r="K1030" s="13"/>
      <c r="P1030" s="13"/>
      <c r="Q1030" s="13"/>
      <c r="R1030" s="13"/>
      <c r="U1030" s="13"/>
      <c r="W1030" s="13"/>
      <c r="X1030" s="13"/>
      <c r="Z1030" s="13"/>
      <c r="AB1030" s="13"/>
      <c r="AC1030" s="13"/>
      <c r="AE1030" s="13"/>
      <c r="AF1030" s="13"/>
      <c r="AG1030" s="13"/>
      <c r="AH1030" s="13"/>
      <c r="AZ1030" s="14"/>
      <c r="BA1030" s="14"/>
      <c r="BB1030" s="14"/>
    </row>
    <row r="1031" ht="15.75" customHeight="1">
      <c r="B1031" s="146"/>
      <c r="F1031" s="13"/>
      <c r="K1031" s="13"/>
      <c r="P1031" s="13"/>
      <c r="Q1031" s="13"/>
      <c r="R1031" s="13"/>
      <c r="U1031" s="13"/>
      <c r="W1031" s="13"/>
      <c r="X1031" s="13"/>
      <c r="Z1031" s="13"/>
      <c r="AB1031" s="13"/>
      <c r="AC1031" s="13"/>
      <c r="AE1031" s="13"/>
      <c r="AF1031" s="13"/>
      <c r="AG1031" s="13"/>
      <c r="AH1031" s="13"/>
      <c r="AZ1031" s="14"/>
      <c r="BA1031" s="14"/>
      <c r="BB1031" s="14"/>
    </row>
    <row r="1032" ht="15.75" customHeight="1">
      <c r="B1032" s="146"/>
      <c r="F1032" s="13"/>
      <c r="K1032" s="13"/>
      <c r="P1032" s="13"/>
      <c r="Q1032" s="13"/>
      <c r="R1032" s="13"/>
      <c r="U1032" s="13"/>
      <c r="W1032" s="13"/>
      <c r="X1032" s="13"/>
      <c r="Z1032" s="13"/>
      <c r="AB1032" s="13"/>
      <c r="AC1032" s="13"/>
      <c r="AE1032" s="13"/>
      <c r="AF1032" s="13"/>
      <c r="AG1032" s="13"/>
      <c r="AH1032" s="13"/>
      <c r="AZ1032" s="14"/>
      <c r="BA1032" s="14"/>
      <c r="BB1032" s="14"/>
    </row>
    <row r="1033" ht="15.75" customHeight="1">
      <c r="B1033" s="146"/>
      <c r="F1033" s="13"/>
      <c r="K1033" s="13"/>
      <c r="P1033" s="13"/>
      <c r="Q1033" s="13"/>
      <c r="R1033" s="13"/>
      <c r="U1033" s="13"/>
      <c r="W1033" s="13"/>
      <c r="X1033" s="13"/>
      <c r="Z1033" s="13"/>
      <c r="AB1033" s="13"/>
      <c r="AC1033" s="13"/>
      <c r="AE1033" s="13"/>
      <c r="AF1033" s="13"/>
      <c r="AG1033" s="13"/>
      <c r="AH1033" s="13"/>
      <c r="AZ1033" s="14"/>
      <c r="BA1033" s="14"/>
      <c r="BB1033" s="14"/>
    </row>
    <row r="1034" ht="15.75" customHeight="1">
      <c r="B1034" s="146"/>
      <c r="F1034" s="13"/>
      <c r="K1034" s="13"/>
      <c r="P1034" s="13"/>
      <c r="Q1034" s="13"/>
      <c r="R1034" s="13"/>
      <c r="U1034" s="13"/>
      <c r="W1034" s="13"/>
      <c r="X1034" s="13"/>
      <c r="Z1034" s="13"/>
      <c r="AB1034" s="13"/>
      <c r="AC1034" s="13"/>
      <c r="AE1034" s="13"/>
      <c r="AF1034" s="13"/>
      <c r="AG1034" s="13"/>
      <c r="AH1034" s="13"/>
      <c r="AZ1034" s="14"/>
      <c r="BA1034" s="14"/>
      <c r="BB1034" s="14"/>
    </row>
    <row r="1035" ht="15.75" customHeight="1">
      <c r="B1035" s="146"/>
      <c r="F1035" s="13"/>
      <c r="K1035" s="13"/>
      <c r="P1035" s="13"/>
      <c r="Q1035" s="13"/>
      <c r="R1035" s="13"/>
      <c r="U1035" s="13"/>
      <c r="W1035" s="13"/>
      <c r="X1035" s="13"/>
      <c r="Z1035" s="13"/>
      <c r="AB1035" s="13"/>
      <c r="AC1035" s="13"/>
      <c r="AE1035" s="13"/>
      <c r="AF1035" s="13"/>
      <c r="AG1035" s="13"/>
      <c r="AH1035" s="13"/>
      <c r="AZ1035" s="14"/>
      <c r="BA1035" s="14"/>
      <c r="BB1035" s="14"/>
    </row>
    <row r="1036" ht="15.75" customHeight="1">
      <c r="B1036" s="146"/>
      <c r="F1036" s="13"/>
      <c r="K1036" s="13"/>
      <c r="P1036" s="13"/>
      <c r="Q1036" s="13"/>
      <c r="R1036" s="13"/>
      <c r="U1036" s="13"/>
      <c r="W1036" s="13"/>
      <c r="X1036" s="13"/>
      <c r="Z1036" s="13"/>
      <c r="AB1036" s="13"/>
      <c r="AC1036" s="13"/>
      <c r="AE1036" s="13"/>
      <c r="AF1036" s="13"/>
      <c r="AG1036" s="13"/>
      <c r="AH1036" s="13"/>
      <c r="AZ1036" s="14"/>
      <c r="BA1036" s="14"/>
      <c r="BB1036" s="14"/>
    </row>
    <row r="1037" ht="15.75" customHeight="1">
      <c r="B1037" s="146"/>
      <c r="F1037" s="13"/>
      <c r="K1037" s="13"/>
      <c r="P1037" s="13"/>
      <c r="Q1037" s="13"/>
      <c r="R1037" s="13"/>
      <c r="U1037" s="13"/>
      <c r="W1037" s="13"/>
      <c r="X1037" s="13"/>
      <c r="Z1037" s="13"/>
      <c r="AB1037" s="13"/>
      <c r="AC1037" s="13"/>
      <c r="AE1037" s="13"/>
      <c r="AF1037" s="13"/>
      <c r="AG1037" s="13"/>
      <c r="AH1037" s="13"/>
      <c r="AZ1037" s="14"/>
      <c r="BA1037" s="14"/>
      <c r="BB1037" s="14"/>
    </row>
    <row r="1038" ht="15.75" customHeight="1">
      <c r="B1038" s="146"/>
      <c r="F1038" s="13"/>
      <c r="K1038" s="13"/>
      <c r="P1038" s="13"/>
      <c r="Q1038" s="13"/>
      <c r="R1038" s="13"/>
      <c r="U1038" s="13"/>
      <c r="W1038" s="13"/>
      <c r="X1038" s="13"/>
      <c r="Z1038" s="13"/>
      <c r="AB1038" s="13"/>
      <c r="AC1038" s="13"/>
      <c r="AE1038" s="13"/>
      <c r="AF1038" s="13"/>
      <c r="AG1038" s="13"/>
      <c r="AH1038" s="13"/>
      <c r="AZ1038" s="14"/>
      <c r="BA1038" s="14"/>
      <c r="BB1038" s="14"/>
    </row>
    <row r="1039" ht="15.75" customHeight="1">
      <c r="B1039" s="146"/>
      <c r="F1039" s="13"/>
      <c r="K1039" s="13"/>
      <c r="P1039" s="13"/>
      <c r="Q1039" s="13"/>
      <c r="R1039" s="13"/>
      <c r="U1039" s="13"/>
      <c r="W1039" s="13"/>
      <c r="X1039" s="13"/>
      <c r="Z1039" s="13"/>
      <c r="AB1039" s="13"/>
      <c r="AC1039" s="13"/>
      <c r="AE1039" s="13"/>
      <c r="AF1039" s="13"/>
      <c r="AG1039" s="13"/>
      <c r="AH1039" s="13"/>
      <c r="AZ1039" s="14"/>
      <c r="BA1039" s="14"/>
      <c r="BB1039" s="14"/>
    </row>
    <row r="1040" ht="15.75" customHeight="1">
      <c r="B1040" s="146"/>
      <c r="F1040" s="13"/>
      <c r="K1040" s="13"/>
      <c r="P1040" s="13"/>
      <c r="Q1040" s="13"/>
      <c r="R1040" s="13"/>
      <c r="U1040" s="13"/>
      <c r="W1040" s="13"/>
      <c r="X1040" s="13"/>
      <c r="Z1040" s="13"/>
      <c r="AB1040" s="13"/>
      <c r="AC1040" s="13"/>
      <c r="AE1040" s="13"/>
      <c r="AF1040" s="13"/>
      <c r="AG1040" s="13"/>
      <c r="AH1040" s="13"/>
      <c r="AZ1040" s="14"/>
      <c r="BA1040" s="14"/>
      <c r="BB1040" s="14"/>
    </row>
    <row r="1041" ht="15.75" customHeight="1">
      <c r="B1041" s="146"/>
      <c r="F1041" s="13"/>
      <c r="K1041" s="13"/>
      <c r="P1041" s="13"/>
      <c r="Q1041" s="13"/>
      <c r="R1041" s="13"/>
      <c r="U1041" s="13"/>
      <c r="W1041" s="13"/>
      <c r="X1041" s="13"/>
      <c r="Z1041" s="13"/>
      <c r="AB1041" s="13"/>
      <c r="AC1041" s="13"/>
      <c r="AE1041" s="13"/>
      <c r="AF1041" s="13"/>
      <c r="AG1041" s="13"/>
      <c r="AH1041" s="13"/>
      <c r="AZ1041" s="14"/>
      <c r="BA1041" s="14"/>
      <c r="BB1041" s="14"/>
    </row>
    <row r="1042" ht="15.75" customHeight="1">
      <c r="B1042" s="146"/>
      <c r="F1042" s="13"/>
      <c r="K1042" s="13"/>
      <c r="P1042" s="13"/>
      <c r="Q1042" s="13"/>
      <c r="R1042" s="13"/>
      <c r="U1042" s="13"/>
      <c r="W1042" s="13"/>
      <c r="X1042" s="13"/>
      <c r="Z1042" s="13"/>
      <c r="AB1042" s="13"/>
      <c r="AC1042" s="13"/>
      <c r="AE1042" s="13"/>
      <c r="AF1042" s="13"/>
      <c r="AG1042" s="13"/>
      <c r="AH1042" s="13"/>
      <c r="AZ1042" s="14"/>
      <c r="BA1042" s="14"/>
      <c r="BB1042" s="14"/>
    </row>
    <row r="1043" ht="15.75" customHeight="1">
      <c r="B1043" s="146"/>
      <c r="F1043" s="13"/>
      <c r="K1043" s="13"/>
      <c r="P1043" s="13"/>
      <c r="Q1043" s="13"/>
      <c r="R1043" s="13"/>
      <c r="U1043" s="13"/>
      <c r="W1043" s="13"/>
      <c r="X1043" s="13"/>
      <c r="Z1043" s="13"/>
      <c r="AB1043" s="13"/>
      <c r="AC1043" s="13"/>
      <c r="AE1043" s="13"/>
      <c r="AF1043" s="13"/>
      <c r="AG1043" s="13"/>
      <c r="AH1043" s="13"/>
      <c r="AZ1043" s="14"/>
      <c r="BA1043" s="14"/>
      <c r="BB1043" s="14"/>
    </row>
    <row r="1044" ht="15.75" customHeight="1">
      <c r="B1044" s="146"/>
      <c r="F1044" s="13"/>
      <c r="K1044" s="13"/>
      <c r="P1044" s="13"/>
      <c r="Q1044" s="13"/>
      <c r="R1044" s="13"/>
      <c r="U1044" s="13"/>
      <c r="W1044" s="13"/>
      <c r="X1044" s="13"/>
      <c r="Z1044" s="13"/>
      <c r="AB1044" s="13"/>
      <c r="AC1044" s="13"/>
      <c r="AE1044" s="13"/>
      <c r="AF1044" s="13"/>
      <c r="AG1044" s="13"/>
      <c r="AH1044" s="13"/>
      <c r="AZ1044" s="14"/>
      <c r="BA1044" s="14"/>
      <c r="BB1044" s="14"/>
    </row>
    <row r="1045" ht="15.75" customHeight="1">
      <c r="B1045" s="146"/>
      <c r="F1045" s="13"/>
      <c r="K1045" s="13"/>
      <c r="P1045" s="13"/>
      <c r="Q1045" s="13"/>
      <c r="R1045" s="13"/>
      <c r="U1045" s="13"/>
      <c r="W1045" s="13"/>
      <c r="X1045" s="13"/>
      <c r="Z1045" s="13"/>
      <c r="AB1045" s="13"/>
      <c r="AC1045" s="13"/>
      <c r="AE1045" s="13"/>
      <c r="AF1045" s="13"/>
      <c r="AG1045" s="13"/>
      <c r="AH1045" s="13"/>
      <c r="AZ1045" s="14"/>
      <c r="BA1045" s="14"/>
      <c r="BB1045" s="14"/>
    </row>
    <row r="1046" ht="15.75" customHeight="1">
      <c r="B1046" s="146"/>
      <c r="F1046" s="13"/>
      <c r="K1046" s="13"/>
      <c r="P1046" s="13"/>
      <c r="Q1046" s="13"/>
      <c r="R1046" s="13"/>
      <c r="U1046" s="13"/>
      <c r="W1046" s="13"/>
      <c r="X1046" s="13"/>
      <c r="Z1046" s="13"/>
      <c r="AB1046" s="13"/>
      <c r="AC1046" s="13"/>
      <c r="AE1046" s="13"/>
      <c r="AF1046" s="13"/>
      <c r="AG1046" s="13"/>
      <c r="AH1046" s="13"/>
      <c r="AZ1046" s="14"/>
      <c r="BA1046" s="14"/>
      <c r="BB1046" s="14"/>
    </row>
    <row r="1047" ht="15.75" customHeight="1">
      <c r="B1047" s="146"/>
      <c r="F1047" s="13"/>
      <c r="K1047" s="13"/>
      <c r="P1047" s="13"/>
      <c r="Q1047" s="13"/>
      <c r="R1047" s="13"/>
      <c r="U1047" s="13"/>
      <c r="W1047" s="13"/>
      <c r="X1047" s="13"/>
      <c r="Z1047" s="13"/>
      <c r="AB1047" s="13"/>
      <c r="AC1047" s="13"/>
      <c r="AE1047" s="13"/>
      <c r="AF1047" s="13"/>
      <c r="AG1047" s="13"/>
      <c r="AH1047" s="13"/>
      <c r="AZ1047" s="14"/>
      <c r="BA1047" s="14"/>
      <c r="BB1047" s="14"/>
    </row>
    <row r="1048" ht="15.75" customHeight="1">
      <c r="B1048" s="146"/>
      <c r="F1048" s="13"/>
      <c r="K1048" s="13"/>
      <c r="P1048" s="13"/>
      <c r="Q1048" s="13"/>
      <c r="R1048" s="13"/>
      <c r="U1048" s="13"/>
      <c r="W1048" s="13"/>
      <c r="X1048" s="13"/>
      <c r="Z1048" s="13"/>
      <c r="AB1048" s="13"/>
      <c r="AC1048" s="13"/>
      <c r="AE1048" s="13"/>
      <c r="AF1048" s="13"/>
      <c r="AG1048" s="13"/>
      <c r="AH1048" s="13"/>
      <c r="AZ1048" s="14"/>
      <c r="BA1048" s="14"/>
      <c r="BB1048" s="14"/>
    </row>
    <row r="1049" ht="15.75" customHeight="1">
      <c r="B1049" s="146"/>
      <c r="F1049" s="13"/>
      <c r="K1049" s="13"/>
      <c r="P1049" s="13"/>
      <c r="Q1049" s="13"/>
      <c r="R1049" s="13"/>
      <c r="U1049" s="13"/>
      <c r="W1049" s="13"/>
      <c r="X1049" s="13"/>
      <c r="Z1049" s="13"/>
      <c r="AB1049" s="13"/>
      <c r="AC1049" s="13"/>
      <c r="AE1049" s="13"/>
      <c r="AF1049" s="13"/>
      <c r="AG1049" s="13"/>
      <c r="AH1049" s="13"/>
      <c r="AZ1049" s="14"/>
      <c r="BA1049" s="14"/>
      <c r="BB1049" s="14"/>
    </row>
    <row r="1050" ht="15.75" customHeight="1">
      <c r="B1050" s="146"/>
      <c r="F1050" s="13"/>
      <c r="K1050" s="13"/>
      <c r="P1050" s="13"/>
      <c r="Q1050" s="13"/>
      <c r="R1050" s="13"/>
      <c r="U1050" s="13"/>
      <c r="W1050" s="13"/>
      <c r="X1050" s="13"/>
      <c r="Z1050" s="13"/>
      <c r="AB1050" s="13"/>
      <c r="AC1050" s="13"/>
      <c r="AE1050" s="13"/>
      <c r="AF1050" s="13"/>
      <c r="AG1050" s="13"/>
      <c r="AH1050" s="13"/>
      <c r="AZ1050" s="14"/>
      <c r="BA1050" s="14"/>
      <c r="BB1050" s="14"/>
    </row>
    <row r="1051" ht="15.75" customHeight="1">
      <c r="B1051" s="146"/>
      <c r="F1051" s="13"/>
      <c r="K1051" s="13"/>
      <c r="P1051" s="13"/>
      <c r="Q1051" s="13"/>
      <c r="R1051" s="13"/>
      <c r="U1051" s="13"/>
      <c r="W1051" s="13"/>
      <c r="X1051" s="13"/>
      <c r="Z1051" s="13"/>
      <c r="AB1051" s="13"/>
      <c r="AC1051" s="13"/>
      <c r="AE1051" s="13"/>
      <c r="AF1051" s="13"/>
      <c r="AG1051" s="13"/>
      <c r="AH1051" s="13"/>
      <c r="AZ1051" s="14"/>
      <c r="BA1051" s="14"/>
      <c r="BB1051" s="14"/>
    </row>
    <row r="1052" ht="15.75" customHeight="1">
      <c r="B1052" s="146"/>
      <c r="F1052" s="13"/>
      <c r="K1052" s="13"/>
      <c r="P1052" s="13"/>
      <c r="Q1052" s="13"/>
      <c r="R1052" s="13"/>
      <c r="U1052" s="13"/>
      <c r="W1052" s="13"/>
      <c r="X1052" s="13"/>
      <c r="Z1052" s="13"/>
      <c r="AB1052" s="13"/>
      <c r="AC1052" s="13"/>
      <c r="AE1052" s="13"/>
      <c r="AF1052" s="13"/>
      <c r="AG1052" s="13"/>
      <c r="AH1052" s="13"/>
      <c r="AZ1052" s="14"/>
      <c r="BA1052" s="14"/>
      <c r="BB1052" s="14"/>
    </row>
    <row r="1053" ht="15.75" customHeight="1">
      <c r="B1053" s="146"/>
      <c r="F1053" s="13"/>
      <c r="K1053" s="13"/>
      <c r="P1053" s="13"/>
      <c r="Q1053" s="13"/>
      <c r="R1053" s="13"/>
      <c r="U1053" s="13"/>
      <c r="W1053" s="13"/>
      <c r="X1053" s="13"/>
      <c r="Z1053" s="13"/>
      <c r="AB1053" s="13"/>
      <c r="AC1053" s="13"/>
      <c r="AE1053" s="13"/>
      <c r="AF1053" s="13"/>
      <c r="AG1053" s="13"/>
      <c r="AH1053" s="13"/>
      <c r="AZ1053" s="14"/>
      <c r="BA1053" s="14"/>
      <c r="BB1053" s="14"/>
    </row>
    <row r="1054" ht="15.75" customHeight="1">
      <c r="B1054" s="146"/>
      <c r="F1054" s="13"/>
      <c r="K1054" s="13"/>
      <c r="P1054" s="13"/>
      <c r="Q1054" s="13"/>
      <c r="R1054" s="13"/>
      <c r="U1054" s="13"/>
      <c r="W1054" s="13"/>
      <c r="X1054" s="13"/>
      <c r="Z1054" s="13"/>
      <c r="AB1054" s="13"/>
      <c r="AC1054" s="13"/>
      <c r="AE1054" s="13"/>
      <c r="AF1054" s="13"/>
      <c r="AG1054" s="13"/>
      <c r="AH1054" s="13"/>
      <c r="AZ1054" s="14"/>
      <c r="BA1054" s="14"/>
      <c r="BB1054" s="14"/>
    </row>
    <row r="1055" ht="15.75" customHeight="1">
      <c r="B1055" s="146"/>
      <c r="F1055" s="13"/>
      <c r="K1055" s="13"/>
      <c r="P1055" s="13"/>
      <c r="Q1055" s="13"/>
      <c r="R1055" s="13"/>
      <c r="U1055" s="13"/>
      <c r="W1055" s="13"/>
      <c r="X1055" s="13"/>
      <c r="Z1055" s="13"/>
      <c r="AB1055" s="13"/>
      <c r="AC1055" s="13"/>
      <c r="AE1055" s="13"/>
      <c r="AF1055" s="13"/>
      <c r="AG1055" s="13"/>
      <c r="AH1055" s="13"/>
      <c r="AZ1055" s="14"/>
      <c r="BA1055" s="14"/>
      <c r="BB1055" s="14"/>
    </row>
    <row r="1056" ht="15.75" customHeight="1">
      <c r="B1056" s="146"/>
      <c r="F1056" s="13"/>
      <c r="K1056" s="13"/>
      <c r="P1056" s="13"/>
      <c r="Q1056" s="13"/>
      <c r="R1056" s="13"/>
      <c r="U1056" s="13"/>
      <c r="W1056" s="13"/>
      <c r="X1056" s="13"/>
      <c r="Z1056" s="13"/>
      <c r="AB1056" s="13"/>
      <c r="AC1056" s="13"/>
      <c r="AE1056" s="13"/>
      <c r="AF1056" s="13"/>
      <c r="AG1056" s="13"/>
      <c r="AH1056" s="13"/>
      <c r="AZ1056" s="14"/>
      <c r="BA1056" s="14"/>
      <c r="BB1056" s="14"/>
    </row>
    <row r="1057" ht="15.75" customHeight="1">
      <c r="B1057" s="146"/>
      <c r="F1057" s="13"/>
      <c r="K1057" s="13"/>
      <c r="P1057" s="13"/>
      <c r="Q1057" s="13"/>
      <c r="R1057" s="13"/>
      <c r="U1057" s="13"/>
      <c r="W1057" s="13"/>
      <c r="X1057" s="13"/>
      <c r="Z1057" s="13"/>
      <c r="AB1057" s="13"/>
      <c r="AC1057" s="13"/>
      <c r="AE1057" s="13"/>
      <c r="AF1057" s="13"/>
      <c r="AG1057" s="13"/>
      <c r="AH1057" s="13"/>
      <c r="AZ1057" s="14"/>
      <c r="BA1057" s="14"/>
      <c r="BB1057" s="14"/>
    </row>
    <row r="1058" ht="15.75" customHeight="1">
      <c r="B1058" s="146"/>
      <c r="F1058" s="13"/>
      <c r="K1058" s="13"/>
      <c r="P1058" s="13"/>
      <c r="Q1058" s="13"/>
      <c r="R1058" s="13"/>
      <c r="U1058" s="13"/>
      <c r="W1058" s="13"/>
      <c r="X1058" s="13"/>
      <c r="Z1058" s="13"/>
      <c r="AB1058" s="13"/>
      <c r="AC1058" s="13"/>
      <c r="AE1058" s="13"/>
      <c r="AF1058" s="13"/>
      <c r="AG1058" s="13"/>
      <c r="AH1058" s="13"/>
      <c r="AZ1058" s="14"/>
      <c r="BA1058" s="14"/>
      <c r="BB1058" s="14"/>
    </row>
    <row r="1059" ht="15.75" customHeight="1">
      <c r="B1059" s="146"/>
      <c r="F1059" s="13"/>
      <c r="K1059" s="13"/>
      <c r="P1059" s="13"/>
      <c r="Q1059" s="13"/>
      <c r="R1059" s="13"/>
      <c r="U1059" s="13"/>
      <c r="W1059" s="13"/>
      <c r="X1059" s="13"/>
      <c r="Z1059" s="13"/>
      <c r="AB1059" s="13"/>
      <c r="AC1059" s="13"/>
      <c r="AE1059" s="13"/>
      <c r="AF1059" s="13"/>
      <c r="AG1059" s="13"/>
      <c r="AH1059" s="13"/>
      <c r="AZ1059" s="14"/>
      <c r="BA1059" s="14"/>
      <c r="BB1059" s="14"/>
    </row>
    <row r="1060" ht="15.75" customHeight="1">
      <c r="B1060" s="146"/>
      <c r="F1060" s="13"/>
      <c r="K1060" s="13"/>
      <c r="P1060" s="13"/>
      <c r="Q1060" s="13"/>
      <c r="R1060" s="13"/>
      <c r="U1060" s="13"/>
      <c r="W1060" s="13"/>
      <c r="X1060" s="13"/>
      <c r="Z1060" s="13"/>
      <c r="AB1060" s="13"/>
      <c r="AC1060" s="13"/>
      <c r="AE1060" s="13"/>
      <c r="AF1060" s="13"/>
      <c r="AG1060" s="13"/>
      <c r="AH1060" s="13"/>
      <c r="AZ1060" s="14"/>
      <c r="BA1060" s="14"/>
      <c r="BB1060" s="14"/>
    </row>
    <row r="1061" ht="15.75" customHeight="1">
      <c r="B1061" s="146"/>
      <c r="F1061" s="13"/>
      <c r="K1061" s="13"/>
      <c r="P1061" s="13"/>
      <c r="Q1061" s="13"/>
      <c r="R1061" s="13"/>
      <c r="U1061" s="13"/>
      <c r="W1061" s="13"/>
      <c r="X1061" s="13"/>
      <c r="Z1061" s="13"/>
      <c r="AB1061" s="13"/>
      <c r="AC1061" s="13"/>
      <c r="AE1061" s="13"/>
      <c r="AF1061" s="13"/>
      <c r="AG1061" s="13"/>
      <c r="AH1061" s="13"/>
      <c r="AZ1061" s="14"/>
      <c r="BA1061" s="14"/>
      <c r="BB1061" s="14"/>
    </row>
    <row r="1062" ht="15.75" customHeight="1">
      <c r="B1062" s="146"/>
      <c r="F1062" s="13"/>
      <c r="K1062" s="13"/>
      <c r="P1062" s="13"/>
      <c r="Q1062" s="13"/>
      <c r="R1062" s="13"/>
      <c r="U1062" s="13"/>
      <c r="W1062" s="13"/>
      <c r="X1062" s="13"/>
      <c r="Z1062" s="13"/>
      <c r="AB1062" s="13"/>
      <c r="AC1062" s="13"/>
      <c r="AE1062" s="13"/>
      <c r="AF1062" s="13"/>
      <c r="AG1062" s="13"/>
      <c r="AH1062" s="13"/>
      <c r="AZ1062" s="14"/>
      <c r="BA1062" s="14"/>
      <c r="BB1062" s="14"/>
    </row>
    <row r="1063" ht="15.75" customHeight="1">
      <c r="B1063" s="146"/>
      <c r="F1063" s="13"/>
      <c r="K1063" s="13"/>
      <c r="P1063" s="13"/>
      <c r="Q1063" s="13"/>
      <c r="R1063" s="13"/>
      <c r="U1063" s="13"/>
      <c r="W1063" s="13"/>
      <c r="X1063" s="13"/>
      <c r="Z1063" s="13"/>
      <c r="AB1063" s="13"/>
      <c r="AC1063" s="13"/>
      <c r="AE1063" s="13"/>
      <c r="AF1063" s="13"/>
      <c r="AG1063" s="13"/>
      <c r="AH1063" s="13"/>
      <c r="AZ1063" s="14"/>
      <c r="BA1063" s="14"/>
      <c r="BB1063" s="14"/>
    </row>
    <row r="1064" ht="15.75" customHeight="1">
      <c r="B1064" s="146"/>
      <c r="F1064" s="13"/>
      <c r="K1064" s="13"/>
      <c r="P1064" s="13"/>
      <c r="Q1064" s="13"/>
      <c r="R1064" s="13"/>
      <c r="U1064" s="13"/>
      <c r="W1064" s="13"/>
      <c r="X1064" s="13"/>
      <c r="Z1064" s="13"/>
      <c r="AB1064" s="13"/>
      <c r="AC1064" s="13"/>
      <c r="AE1064" s="13"/>
      <c r="AF1064" s="13"/>
      <c r="AG1064" s="13"/>
      <c r="AH1064" s="13"/>
      <c r="AZ1064" s="14"/>
      <c r="BA1064" s="14"/>
      <c r="BB1064" s="14"/>
    </row>
    <row r="1065" ht="15.75" customHeight="1">
      <c r="B1065" s="146"/>
      <c r="F1065" s="13"/>
      <c r="K1065" s="13"/>
      <c r="P1065" s="13"/>
      <c r="Q1065" s="13"/>
      <c r="R1065" s="13"/>
      <c r="U1065" s="13"/>
      <c r="W1065" s="13"/>
      <c r="X1065" s="13"/>
      <c r="Z1065" s="13"/>
      <c r="AB1065" s="13"/>
      <c r="AC1065" s="13"/>
      <c r="AE1065" s="13"/>
      <c r="AF1065" s="13"/>
      <c r="AG1065" s="13"/>
      <c r="AH1065" s="13"/>
      <c r="AZ1065" s="14"/>
      <c r="BA1065" s="14"/>
      <c r="BB1065" s="14"/>
    </row>
    <row r="1066" ht="15.75" customHeight="1">
      <c r="B1066" s="146"/>
      <c r="F1066" s="13"/>
      <c r="K1066" s="13"/>
      <c r="P1066" s="13"/>
      <c r="Q1066" s="13"/>
      <c r="R1066" s="13"/>
      <c r="U1066" s="13"/>
      <c r="W1066" s="13"/>
      <c r="X1066" s="13"/>
      <c r="Z1066" s="13"/>
      <c r="AB1066" s="13"/>
      <c r="AC1066" s="13"/>
      <c r="AE1066" s="13"/>
      <c r="AF1066" s="13"/>
      <c r="AG1066" s="13"/>
      <c r="AH1066" s="13"/>
      <c r="AZ1066" s="14"/>
      <c r="BA1066" s="14"/>
      <c r="BB1066" s="14"/>
    </row>
    <row r="1067" ht="15.75" customHeight="1">
      <c r="B1067" s="146"/>
      <c r="F1067" s="13"/>
      <c r="K1067" s="13"/>
      <c r="P1067" s="13"/>
      <c r="Q1067" s="13"/>
      <c r="R1067" s="13"/>
      <c r="U1067" s="13"/>
      <c r="W1067" s="13"/>
      <c r="X1067" s="13"/>
      <c r="Z1067" s="13"/>
      <c r="AB1067" s="13"/>
      <c r="AC1067" s="13"/>
      <c r="AE1067" s="13"/>
      <c r="AF1067" s="13"/>
      <c r="AG1067" s="13"/>
      <c r="AH1067" s="13"/>
      <c r="AZ1067" s="14"/>
      <c r="BA1067" s="14"/>
      <c r="BB1067" s="14"/>
    </row>
    <row r="1068" ht="15.75" customHeight="1">
      <c r="B1068" s="146"/>
      <c r="F1068" s="13"/>
      <c r="K1068" s="13"/>
      <c r="P1068" s="13"/>
      <c r="Q1068" s="13"/>
      <c r="R1068" s="13"/>
      <c r="U1068" s="13"/>
      <c r="W1068" s="13"/>
      <c r="X1068" s="13"/>
      <c r="Z1068" s="13"/>
      <c r="AB1068" s="13"/>
      <c r="AC1068" s="13"/>
      <c r="AE1068" s="13"/>
      <c r="AF1068" s="13"/>
      <c r="AG1068" s="13"/>
      <c r="AH1068" s="13"/>
      <c r="AZ1068" s="14"/>
      <c r="BA1068" s="14"/>
      <c r="BB1068" s="14"/>
    </row>
    <row r="1069" ht="15.75" customHeight="1">
      <c r="B1069" s="146"/>
      <c r="F1069" s="13"/>
      <c r="K1069" s="13"/>
      <c r="P1069" s="13"/>
      <c r="Q1069" s="13"/>
      <c r="R1069" s="13"/>
      <c r="U1069" s="13"/>
      <c r="W1069" s="13"/>
      <c r="X1069" s="13"/>
      <c r="Z1069" s="13"/>
      <c r="AB1069" s="13"/>
      <c r="AC1069" s="13"/>
      <c r="AE1069" s="13"/>
      <c r="AF1069" s="13"/>
      <c r="AG1069" s="13"/>
      <c r="AH1069" s="13"/>
      <c r="AZ1069" s="14"/>
      <c r="BA1069" s="14"/>
      <c r="BB1069" s="14"/>
    </row>
    <row r="1070" ht="15.75" customHeight="1">
      <c r="B1070" s="146"/>
      <c r="F1070" s="13"/>
      <c r="K1070" s="13"/>
      <c r="P1070" s="13"/>
      <c r="Q1070" s="13"/>
      <c r="R1070" s="13"/>
      <c r="U1070" s="13"/>
      <c r="W1070" s="13"/>
      <c r="X1070" s="13"/>
      <c r="Z1070" s="13"/>
      <c r="AB1070" s="13"/>
      <c r="AC1070" s="13"/>
      <c r="AE1070" s="13"/>
      <c r="AF1070" s="13"/>
      <c r="AG1070" s="13"/>
      <c r="AH1070" s="13"/>
      <c r="AZ1070" s="14"/>
      <c r="BA1070" s="14"/>
      <c r="BB1070" s="14"/>
    </row>
    <row r="1071" ht="15.75" customHeight="1">
      <c r="B1071" s="146"/>
      <c r="F1071" s="13"/>
      <c r="K1071" s="13"/>
      <c r="P1071" s="13"/>
      <c r="Q1071" s="13"/>
      <c r="R1071" s="13"/>
      <c r="U1071" s="13"/>
      <c r="W1071" s="13"/>
      <c r="X1071" s="13"/>
      <c r="Z1071" s="13"/>
      <c r="AB1071" s="13"/>
      <c r="AC1071" s="13"/>
      <c r="AE1071" s="13"/>
      <c r="AF1071" s="13"/>
      <c r="AG1071" s="13"/>
      <c r="AH1071" s="13"/>
      <c r="AZ1071" s="14"/>
      <c r="BA1071" s="14"/>
      <c r="BB1071" s="14"/>
    </row>
    <row r="1072" ht="15.75" customHeight="1">
      <c r="B1072" s="146"/>
      <c r="F1072" s="13"/>
      <c r="K1072" s="13"/>
      <c r="P1072" s="13"/>
      <c r="Q1072" s="13"/>
      <c r="R1072" s="13"/>
      <c r="U1072" s="13"/>
      <c r="W1072" s="13"/>
      <c r="X1072" s="13"/>
      <c r="Z1072" s="13"/>
      <c r="AB1072" s="13"/>
      <c r="AC1072" s="13"/>
      <c r="AE1072" s="13"/>
      <c r="AF1072" s="13"/>
      <c r="AG1072" s="13"/>
      <c r="AH1072" s="13"/>
      <c r="AZ1072" s="14"/>
      <c r="BA1072" s="14"/>
      <c r="BB1072" s="14"/>
    </row>
    <row r="1073" ht="15.75" customHeight="1">
      <c r="B1073" s="146"/>
      <c r="F1073" s="13"/>
      <c r="K1073" s="13"/>
      <c r="P1073" s="13"/>
      <c r="Q1073" s="13"/>
      <c r="R1073" s="13"/>
      <c r="U1073" s="13"/>
      <c r="W1073" s="13"/>
      <c r="X1073" s="13"/>
      <c r="Z1073" s="13"/>
      <c r="AB1073" s="13"/>
      <c r="AC1073" s="13"/>
      <c r="AE1073" s="13"/>
      <c r="AF1073" s="13"/>
      <c r="AG1073" s="13"/>
      <c r="AH1073" s="13"/>
      <c r="AZ1073" s="14"/>
      <c r="BA1073" s="14"/>
      <c r="BB1073" s="14"/>
    </row>
    <row r="1074" ht="15.75" customHeight="1">
      <c r="B1074" s="146"/>
      <c r="F1074" s="13"/>
      <c r="K1074" s="13"/>
      <c r="P1074" s="13"/>
      <c r="Q1074" s="13"/>
      <c r="R1074" s="13"/>
      <c r="U1074" s="13"/>
      <c r="W1074" s="13"/>
      <c r="X1074" s="13"/>
      <c r="Z1074" s="13"/>
      <c r="AB1074" s="13"/>
      <c r="AC1074" s="13"/>
      <c r="AE1074" s="13"/>
      <c r="AF1074" s="13"/>
      <c r="AG1074" s="13"/>
      <c r="AH1074" s="13"/>
      <c r="AZ1074" s="14"/>
      <c r="BA1074" s="14"/>
      <c r="BB1074" s="14"/>
    </row>
    <row r="1075" ht="15.75" customHeight="1">
      <c r="B1075" s="146"/>
      <c r="F1075" s="13"/>
      <c r="K1075" s="13"/>
      <c r="P1075" s="13"/>
      <c r="Q1075" s="13"/>
      <c r="R1075" s="13"/>
      <c r="U1075" s="13"/>
      <c r="W1075" s="13"/>
      <c r="X1075" s="13"/>
      <c r="Z1075" s="13"/>
      <c r="AB1075" s="13"/>
      <c r="AC1075" s="13"/>
      <c r="AE1075" s="13"/>
      <c r="AF1075" s="13"/>
      <c r="AG1075" s="13"/>
      <c r="AH1075" s="13"/>
      <c r="AZ1075" s="14"/>
      <c r="BA1075" s="14"/>
      <c r="BB1075" s="14"/>
    </row>
    <row r="1076" ht="15.75" customHeight="1">
      <c r="B1076" s="146"/>
      <c r="F1076" s="13"/>
      <c r="K1076" s="13"/>
      <c r="P1076" s="13"/>
      <c r="Q1076" s="13"/>
      <c r="R1076" s="13"/>
      <c r="U1076" s="13"/>
      <c r="W1076" s="13"/>
      <c r="X1076" s="13"/>
      <c r="Z1076" s="13"/>
      <c r="AB1076" s="13"/>
      <c r="AC1076" s="13"/>
      <c r="AE1076" s="13"/>
      <c r="AF1076" s="13"/>
      <c r="AG1076" s="13"/>
      <c r="AH1076" s="13"/>
      <c r="AZ1076" s="14"/>
      <c r="BA1076" s="14"/>
      <c r="BB1076" s="14"/>
    </row>
    <row r="1077" ht="15.75" customHeight="1">
      <c r="B1077" s="146"/>
      <c r="F1077" s="13"/>
      <c r="K1077" s="13"/>
      <c r="P1077" s="13"/>
      <c r="Q1077" s="13"/>
      <c r="R1077" s="13"/>
      <c r="U1077" s="13"/>
      <c r="W1077" s="13"/>
      <c r="X1077" s="13"/>
      <c r="Z1077" s="13"/>
      <c r="AB1077" s="13"/>
      <c r="AC1077" s="13"/>
      <c r="AE1077" s="13"/>
      <c r="AF1077" s="13"/>
      <c r="AG1077" s="13"/>
      <c r="AH1077" s="13"/>
      <c r="AZ1077" s="14"/>
      <c r="BA1077" s="14"/>
      <c r="BB1077" s="14"/>
    </row>
    <row r="1078" ht="15.75" customHeight="1">
      <c r="B1078" s="146"/>
      <c r="F1078" s="13"/>
      <c r="K1078" s="13"/>
      <c r="P1078" s="13"/>
      <c r="Q1078" s="13"/>
      <c r="R1078" s="13"/>
      <c r="U1078" s="13"/>
      <c r="W1078" s="13"/>
      <c r="X1078" s="13"/>
      <c r="Z1078" s="13"/>
      <c r="AB1078" s="13"/>
      <c r="AC1078" s="13"/>
      <c r="AE1078" s="13"/>
      <c r="AF1078" s="13"/>
      <c r="AG1078" s="13"/>
      <c r="AH1078" s="13"/>
      <c r="AZ1078" s="14"/>
      <c r="BA1078" s="14"/>
      <c r="BB1078" s="14"/>
    </row>
    <row r="1079" ht="15.75" customHeight="1">
      <c r="B1079" s="146"/>
      <c r="F1079" s="13"/>
      <c r="K1079" s="13"/>
      <c r="P1079" s="13"/>
      <c r="Q1079" s="13"/>
      <c r="R1079" s="13"/>
      <c r="U1079" s="13"/>
      <c r="W1079" s="13"/>
      <c r="X1079" s="13"/>
      <c r="Z1079" s="13"/>
      <c r="AB1079" s="13"/>
      <c r="AC1079" s="13"/>
      <c r="AE1079" s="13"/>
      <c r="AF1079" s="13"/>
      <c r="AG1079" s="13"/>
      <c r="AH1079" s="13"/>
      <c r="AZ1079" s="14"/>
      <c r="BA1079" s="14"/>
      <c r="BB1079" s="14"/>
    </row>
    <row r="1080" ht="15.75" customHeight="1">
      <c r="B1080" s="146"/>
      <c r="F1080" s="13"/>
      <c r="K1080" s="13"/>
      <c r="P1080" s="13"/>
      <c r="Q1080" s="13"/>
      <c r="R1080" s="13"/>
      <c r="U1080" s="13"/>
      <c r="W1080" s="13"/>
      <c r="X1080" s="13"/>
      <c r="Z1080" s="13"/>
      <c r="AB1080" s="13"/>
      <c r="AC1080" s="13"/>
      <c r="AE1080" s="13"/>
      <c r="AF1080" s="13"/>
      <c r="AG1080" s="13"/>
      <c r="AH1080" s="13"/>
      <c r="AZ1080" s="14"/>
      <c r="BA1080" s="14"/>
      <c r="BB1080" s="14"/>
    </row>
    <row r="1081" ht="15.75" customHeight="1">
      <c r="B1081" s="146"/>
      <c r="F1081" s="13"/>
      <c r="K1081" s="13"/>
      <c r="P1081" s="13"/>
      <c r="Q1081" s="13"/>
      <c r="R1081" s="13"/>
      <c r="U1081" s="13"/>
      <c r="W1081" s="13"/>
      <c r="X1081" s="13"/>
      <c r="Z1081" s="13"/>
      <c r="AB1081" s="13"/>
      <c r="AC1081" s="13"/>
      <c r="AE1081" s="13"/>
      <c r="AF1081" s="13"/>
      <c r="AG1081" s="13"/>
      <c r="AH1081" s="13"/>
      <c r="AZ1081" s="14"/>
      <c r="BA1081" s="14"/>
      <c r="BB1081" s="14"/>
    </row>
    <row r="1082" ht="15.75" customHeight="1">
      <c r="B1082" s="146"/>
      <c r="F1082" s="13"/>
      <c r="K1082" s="13"/>
      <c r="P1082" s="13"/>
      <c r="Q1082" s="13"/>
      <c r="R1082" s="13"/>
      <c r="U1082" s="13"/>
      <c r="W1082" s="13"/>
      <c r="X1082" s="13"/>
      <c r="Z1082" s="13"/>
      <c r="AB1082" s="13"/>
      <c r="AC1082" s="13"/>
      <c r="AE1082" s="13"/>
      <c r="AF1082" s="13"/>
      <c r="AG1082" s="13"/>
      <c r="AH1082" s="13"/>
      <c r="AZ1082" s="14"/>
      <c r="BA1082" s="14"/>
      <c r="BB1082" s="14"/>
    </row>
    <row r="1083" ht="15.75" customHeight="1">
      <c r="B1083" s="146"/>
      <c r="F1083" s="13"/>
      <c r="K1083" s="13"/>
      <c r="P1083" s="13"/>
      <c r="Q1083" s="13"/>
      <c r="R1083" s="13"/>
      <c r="U1083" s="13"/>
      <c r="W1083" s="13"/>
      <c r="X1083" s="13"/>
      <c r="Z1083" s="13"/>
      <c r="AB1083" s="13"/>
      <c r="AC1083" s="13"/>
      <c r="AE1083" s="13"/>
      <c r="AF1083" s="13"/>
      <c r="AG1083" s="13"/>
      <c r="AH1083" s="13"/>
      <c r="AZ1083" s="14"/>
      <c r="BA1083" s="14"/>
      <c r="BB1083" s="14"/>
    </row>
  </sheetData>
  <mergeCells count="48">
    <mergeCell ref="I142:L145"/>
    <mergeCell ref="N142:S145"/>
    <mergeCell ref="B164:H164"/>
    <mergeCell ref="U142:X145"/>
    <mergeCell ref="Z142:AC145"/>
    <mergeCell ref="AE142:AG145"/>
    <mergeCell ref="B143:C143"/>
    <mergeCell ref="B144:C144"/>
    <mergeCell ref="B145:C145"/>
    <mergeCell ref="A2:C3"/>
    <mergeCell ref="D2:AI2"/>
    <mergeCell ref="AJ2:AJ145"/>
    <mergeCell ref="D3:AG3"/>
    <mergeCell ref="AH3:AH145"/>
    <mergeCell ref="D4:H4"/>
    <mergeCell ref="AE4:AG4"/>
    <mergeCell ref="I4:M4"/>
    <mergeCell ref="N4:T4"/>
    <mergeCell ref="A4:C4"/>
    <mergeCell ref="A5:C5"/>
    <mergeCell ref="U4:Y4"/>
    <mergeCell ref="Z4:AD4"/>
    <mergeCell ref="AL4:AX4"/>
    <mergeCell ref="AL6:BA6"/>
    <mergeCell ref="AL15:AM17"/>
    <mergeCell ref="AP15:AY15"/>
    <mergeCell ref="AP16:AY16"/>
    <mergeCell ref="AP17:AY17"/>
    <mergeCell ref="AL18:AS18"/>
    <mergeCell ref="AT18:AY18"/>
    <mergeCell ref="AL19:AR19"/>
    <mergeCell ref="AT19:AY20"/>
    <mergeCell ref="AL20:AR20"/>
    <mergeCell ref="AT21:AY21"/>
    <mergeCell ref="AM39:AQ39"/>
    <mergeCell ref="AM40:AQ40"/>
    <mergeCell ref="AM41:AQ41"/>
    <mergeCell ref="AM42:AQ42"/>
    <mergeCell ref="AM43:AV48"/>
    <mergeCell ref="AL21:AS21"/>
    <mergeCell ref="AL23:AL24"/>
    <mergeCell ref="AM23:AM24"/>
    <mergeCell ref="AM36:AV36"/>
    <mergeCell ref="AM37:AQ37"/>
    <mergeCell ref="AR37:AV37"/>
    <mergeCell ref="AM38:AQ38"/>
    <mergeCell ref="B142:C142"/>
    <mergeCell ref="D142:G14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