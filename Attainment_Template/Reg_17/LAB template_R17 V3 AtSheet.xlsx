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B Assessment " sheetId="1" r:id="rId4"/>
  </sheets>
  <externalReferences>
    <externalReference r:id="rId5"/>
  </externalReferences>
  <definedNames/>
  <calcPr/>
  <extLst>
    <ext uri="GoogleSheetsCustomDataVersion2">
      <go:sheetsCustomData xmlns:go="http://customooxmlschemas.google.com/" r:id="rId6" roundtripDataChecksum="8hz1mbln5/cbZky09atcoO0x72td9s8js3R5VlqV/4A="/>
    </ext>
  </extLst>
</workbook>
</file>

<file path=xl/sharedStrings.xml><?xml version="1.0" encoding="utf-8"?>
<sst xmlns="http://schemas.openxmlformats.org/spreadsheetml/2006/main" count="90" uniqueCount="60">
  <si>
    <t xml:space="preserve">ASSESSMENT OF ATTAINMENT OF COURSE OUTCOMES </t>
  </si>
  <si>
    <t>Direct Tools</t>
  </si>
  <si>
    <t>Internal Assessment</t>
  </si>
  <si>
    <t>External Assessment</t>
  </si>
  <si>
    <t>COURSE OUTCOMES</t>
  </si>
  <si>
    <t>CO1</t>
  </si>
  <si>
    <t>CO2</t>
  </si>
  <si>
    <t>CO3</t>
  </si>
  <si>
    <t>CO4</t>
  </si>
  <si>
    <t>CO5</t>
  </si>
  <si>
    <t>INTERNAL</t>
  </si>
  <si>
    <t xml:space="preserve">ALL CO'S </t>
  </si>
  <si>
    <t>SPLIT UP MARKS</t>
  </si>
  <si>
    <t>S.NO</t>
  </si>
  <si>
    <t>REG. NO</t>
  </si>
  <si>
    <t>NAME</t>
  </si>
  <si>
    <t>Assessment of Experiments</t>
  </si>
  <si>
    <t>MODEL</t>
  </si>
  <si>
    <t>TOTAL
(75% As + 25% M)</t>
  </si>
  <si>
    <t>WEEKLY ASSESSMENT (75)</t>
  </si>
  <si>
    <t>MODEL (25)</t>
  </si>
  <si>
    <t>UNIVERSITY GRADE</t>
  </si>
  <si>
    <t>KGiSL  INSTITUTE OF TECHNOLOGY, COIMBATORE - 641035</t>
  </si>
  <si>
    <t>Course Code :</t>
  </si>
  <si>
    <t>Course  Name :</t>
  </si>
  <si>
    <t>Faculty Name :</t>
  </si>
  <si>
    <t>Academic Year :</t>
  </si>
  <si>
    <t xml:space="preserve">2022 - 2023 (EVEN)   </t>
  </si>
  <si>
    <t>Class :</t>
  </si>
  <si>
    <t>Regulation :</t>
  </si>
  <si>
    <t>R2021- AUC</t>
  </si>
  <si>
    <t>Department :</t>
  </si>
  <si>
    <t>Computer Science &amp; Engineering</t>
  </si>
  <si>
    <t>B+</t>
  </si>
  <si>
    <t>ATTAINMENT LEVEL</t>
  </si>
  <si>
    <t>% of students scoring the expected marks</t>
  </si>
  <si>
    <t>Weightage</t>
  </si>
  <si>
    <t>OVERALL WEIGHTAGE IN CO'S</t>
  </si>
  <si>
    <t>Course End Survey</t>
  </si>
  <si>
    <t>CO NO</t>
  </si>
  <si>
    <t>ATT LEVEL</t>
  </si>
  <si>
    <t>C304.1</t>
  </si>
  <si>
    <t>C304.2</t>
  </si>
  <si>
    <t>C304.3</t>
  </si>
  <si>
    <t>C304.4</t>
  </si>
  <si>
    <t>C304.5</t>
  </si>
  <si>
    <t>Indirect Tools</t>
  </si>
  <si>
    <t xml:space="preserve"> CO'S </t>
  </si>
  <si>
    <t>Expected proficiency Level</t>
  </si>
  <si>
    <t xml:space="preserve">No of Students Exp Prof Level				</t>
  </si>
  <si>
    <t>CO attainment  in %</t>
  </si>
  <si>
    <t>CO attainment in levels</t>
  </si>
  <si>
    <t>Indirect Attainment data is derived from the IQAC-issued Course End Survey, verified by the IQAC, and approved by the Principal.
The collected student survey data is consolidated and verified by the IQAC cell.</t>
  </si>
  <si>
    <t>B</t>
  </si>
  <si>
    <t>Expected proficiency / marks in %</t>
  </si>
  <si>
    <t>A</t>
  </si>
  <si>
    <t>No of Students scored the expected marks</t>
  </si>
  <si>
    <t>Course Outcome attainment  in %</t>
  </si>
  <si>
    <t>Course Outcome attainment in levels</t>
  </si>
  <si>
    <t>\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</si>
</sst>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2">
    <font>
      <sz val="11.0"/>
      <color theme="1"/>
      <name val="Calibri"/>
      <scheme val="minor"/>
    </font>
    <font>
      <b/>
      <sz val="10.0"/>
      <color rgb="FF000000"/>
      <name val="Arial"/>
    </font>
    <font>
      <sz val="10.0"/>
      <color rgb="FF000000"/>
      <name val="Arial"/>
    </font>
    <font/>
    <font>
      <b/>
      <sz val="11.0"/>
      <color rgb="FF000000"/>
      <name val="Arial"/>
    </font>
    <font>
      <sz val="11.0"/>
      <color theme="1"/>
      <name val="Calibri"/>
    </font>
    <font>
      <b/>
      <sz val="14.0"/>
      <color rgb="FF000000"/>
      <name val="Calibri"/>
    </font>
    <font>
      <b/>
      <sz val="11.0"/>
      <color theme="1"/>
      <name val="Calibri"/>
    </font>
    <font>
      <sz val="11.0"/>
      <color rgb="FF000000"/>
      <name val="Arial"/>
    </font>
    <font>
      <sz val="10.0"/>
      <color rgb="FF000000"/>
      <name val="Cambria"/>
    </font>
    <font>
      <sz val="12.0"/>
      <color rgb="FF000000"/>
      <name val="Times New Roman"/>
    </font>
    <font>
      <b/>
      <sz val="11.0"/>
      <color theme="1"/>
      <name val="Arial"/>
    </font>
    <font>
      <sz val="11.0"/>
      <color theme="1"/>
      <name val="Arial"/>
    </font>
    <font>
      <b/>
      <sz val="10.0"/>
      <color rgb="FFC00000"/>
      <name val="Arial"/>
    </font>
    <font>
      <b/>
      <sz val="10.0"/>
      <color rgb="FF0070C0"/>
      <name val="Arial"/>
    </font>
    <font>
      <b/>
      <sz val="11.0"/>
      <color theme="1"/>
      <name val="Times New Roman"/>
    </font>
    <font>
      <b/>
      <sz val="12.0"/>
      <color theme="1"/>
      <name val="Arial"/>
    </font>
    <font>
      <b/>
      <sz val="12.0"/>
      <color rgb="FF000000"/>
      <name val="Times New Roman"/>
    </font>
    <font>
      <b/>
      <sz val="9.0"/>
      <color rgb="FF000000"/>
      <name val="Libre Franklin"/>
    </font>
    <font>
      <b/>
      <sz val="11.0"/>
      <color rgb="FF000000"/>
      <name val="Libre Franklin"/>
    </font>
    <font>
      <b/>
      <sz val="12.0"/>
      <color rgb="FF000000"/>
      <name val="Libre Franklin"/>
    </font>
    <font>
      <b/>
      <sz val="10.0"/>
      <color rgb="FF000000"/>
      <name val="Libre Franklin"/>
    </font>
    <font>
      <b/>
      <sz val="11.0"/>
      <color theme="1"/>
      <name val="Libre Franklin"/>
    </font>
    <font>
      <b/>
      <sz val="8.0"/>
      <color rgb="FF000000"/>
      <name val="Times New Roman"/>
    </font>
    <font>
      <b/>
      <sz val="11.0"/>
      <color rgb="FF000000"/>
      <name val="Times New Roman"/>
    </font>
    <font>
      <i/>
      <sz val="11.0"/>
      <color theme="1"/>
      <name val="Calibri"/>
    </font>
    <font>
      <b/>
      <sz val="12.0"/>
      <color theme="1"/>
      <name val="Times New Roman"/>
    </font>
    <font>
      <b/>
      <sz val="10.0"/>
      <color theme="1"/>
      <name val="Arial"/>
    </font>
    <font>
      <sz val="12.0"/>
      <color theme="1"/>
      <name val="Arial"/>
    </font>
    <font>
      <b/>
      <sz val="12.0"/>
      <color rgb="FF000000"/>
      <name val="Arial"/>
    </font>
    <font>
      <sz val="12.0"/>
      <color rgb="FF000000"/>
      <name val="Arial"/>
    </font>
    <font>
      <sz val="11.0"/>
      <color rgb="FFFF0000"/>
      <name val="Arial"/>
    </font>
  </fonts>
  <fills count="22">
    <fill>
      <patternFill patternType="none"/>
    </fill>
    <fill>
      <patternFill patternType="lightGray"/>
    </fill>
    <fill>
      <patternFill patternType="solid">
        <fgColor rgb="FFFBD4B4"/>
        <bgColor rgb="FFFBD4B4"/>
      </patternFill>
    </fill>
    <fill>
      <patternFill patternType="solid">
        <fgColor rgb="FFEAF1DD"/>
        <bgColor rgb="FFEAF1DD"/>
      </patternFill>
    </fill>
    <fill>
      <patternFill patternType="solid">
        <fgColor rgb="FFDAEEF3"/>
        <bgColor rgb="FFDAEEF3"/>
      </patternFill>
    </fill>
    <fill>
      <patternFill patternType="solid">
        <fgColor theme="0"/>
        <bgColor theme="0"/>
      </patternFill>
    </fill>
    <fill>
      <patternFill patternType="solid">
        <fgColor rgb="FFDBE5F1"/>
        <bgColor rgb="FFDBE5F1"/>
      </patternFill>
    </fill>
    <fill>
      <patternFill patternType="solid">
        <fgColor rgb="FF95B3D7"/>
        <bgColor rgb="FF95B3D7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FABF8F"/>
        <bgColor rgb="FFFABF8F"/>
      </patternFill>
    </fill>
    <fill>
      <patternFill patternType="solid">
        <fgColor rgb="FFC2D69B"/>
        <bgColor rgb="FFC2D69B"/>
      </patternFill>
    </fill>
    <fill>
      <patternFill patternType="solid">
        <fgColor rgb="FFD8D8D8"/>
        <bgColor rgb="FFD8D8D8"/>
      </patternFill>
    </fill>
    <fill>
      <patternFill patternType="solid">
        <fgColor rgb="FF92CDDC"/>
        <bgColor rgb="FF92CDDC"/>
      </patternFill>
    </fill>
    <fill>
      <patternFill patternType="solid">
        <fgColor rgb="FFE36C09"/>
        <bgColor rgb="FFE36C09"/>
      </patternFill>
    </fill>
    <fill>
      <patternFill patternType="solid">
        <fgColor rgb="FFFDE9D9"/>
        <bgColor rgb="FFFDE9D9"/>
      </patternFill>
    </fill>
    <fill>
      <patternFill patternType="solid">
        <fgColor rgb="FFFFFFFF"/>
        <bgColor rgb="FFFFFFFF"/>
      </patternFill>
    </fill>
    <fill>
      <patternFill patternType="solid">
        <fgColor rgb="FFCCFFCC"/>
        <bgColor rgb="FFCCFFCC"/>
      </patternFill>
    </fill>
    <fill>
      <patternFill patternType="solid">
        <fgColor rgb="FFE5DFEC"/>
        <bgColor rgb="FFE5DFEC"/>
      </patternFill>
    </fill>
    <fill>
      <patternFill patternType="solid">
        <fgColor rgb="FF92D050"/>
        <bgColor rgb="FF92D050"/>
      </patternFill>
    </fill>
    <fill>
      <patternFill patternType="solid">
        <fgColor rgb="FFCCC0D9"/>
        <bgColor rgb="FFCCC0D9"/>
      </patternFill>
    </fill>
    <fill>
      <patternFill patternType="solid">
        <fgColor rgb="FFE5B8B7"/>
        <bgColor rgb="FFE5B8B7"/>
      </patternFill>
    </fill>
  </fills>
  <borders count="5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/>
    </border>
    <border>
      <bottom/>
    </border>
    <border>
      <right style="thin">
        <color rgb="FF000000"/>
      </right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/>
      <top/>
      <bottom style="thin">
        <color rgb="FF000000"/>
      </bottom>
    </border>
    <border>
      <left/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/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double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thin">
        <color rgb="FF000000"/>
      </right>
      <top style="double">
        <color rgb="FF000000"/>
      </top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top style="thin">
        <color rgb="FF000000"/>
      </top>
      <bottom style="double">
        <color rgb="FF000000"/>
      </bottom>
    </border>
    <border>
      <right style="double">
        <color rgb="FF000000"/>
      </right>
      <top style="thin">
        <color rgb="FF000000"/>
      </top>
      <bottom style="double">
        <color rgb="FF000000"/>
      </bottom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thin">
        <color rgb="FF000000"/>
      </right>
      <bottom style="double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</border>
    <border>
      <left/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0" xfId="0" applyFont="1"/>
    <xf borderId="0" fillId="0" fontId="2" numFmtId="0" xfId="0" applyAlignment="1" applyFont="1">
      <alignment horizontal="center" vertical="center"/>
    </xf>
    <xf borderId="0" fillId="0" fontId="2" numFmtId="1" xfId="0" applyAlignment="1" applyFont="1" applyNumberFormat="1">
      <alignment horizontal="center" vertical="center"/>
    </xf>
    <xf borderId="1" fillId="2" fontId="1" numFmtId="0" xfId="0" applyAlignment="1" applyBorder="1" applyFill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3" fontId="4" numFmtId="0" xfId="0" applyAlignment="1" applyBorder="1" applyFill="1" applyFont="1">
      <alignment horizontal="center" vertical="center"/>
    </xf>
    <xf borderId="5" fillId="0" fontId="3" numFmtId="0" xfId="0" applyBorder="1" applyFont="1"/>
    <xf borderId="6" fillId="0" fontId="3" numFmtId="0" xfId="0" applyBorder="1" applyFont="1"/>
    <xf borderId="7" fillId="3" fontId="4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Font="1"/>
    <xf borderId="0" fillId="0" fontId="5" numFmtId="0" xfId="0" applyAlignment="1" applyFont="1">
      <alignment horizontal="center" vertical="center"/>
    </xf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4" fillId="4" fontId="4" numFmtId="0" xfId="0" applyAlignment="1" applyBorder="1" applyFill="1" applyFont="1">
      <alignment horizontal="center" vertical="center"/>
    </xf>
    <xf borderId="11" fillId="0" fontId="3" numFmtId="0" xfId="0" applyBorder="1" applyFont="1"/>
    <xf borderId="12" fillId="5" fontId="5" numFmtId="0" xfId="0" applyAlignment="1" applyBorder="1" applyFill="1" applyFont="1">
      <alignment horizontal="center"/>
    </xf>
    <xf borderId="13" fillId="4" fontId="4" numFmtId="0" xfId="0" applyAlignment="1" applyBorder="1" applyFont="1">
      <alignment horizontal="center" shrinkToFit="0" vertical="center" wrapText="1"/>
    </xf>
    <xf borderId="14" fillId="0" fontId="4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 vertical="center"/>
    </xf>
    <xf borderId="15" fillId="4" fontId="1" numFmtId="0" xfId="0" applyAlignment="1" applyBorder="1" applyFont="1">
      <alignment horizontal="center" shrinkToFit="0" vertical="center" wrapText="1"/>
    </xf>
    <xf borderId="16" fillId="6" fontId="4" numFmtId="0" xfId="0" applyAlignment="1" applyBorder="1" applyFill="1" applyFont="1">
      <alignment horizontal="center" shrinkToFit="0" vertical="center" wrapText="1"/>
    </xf>
    <xf borderId="17" fillId="0" fontId="3" numFmtId="0" xfId="0" applyBorder="1" applyFont="1"/>
    <xf borderId="18" fillId="0" fontId="3" numFmtId="0" xfId="0" applyBorder="1" applyFont="1"/>
    <xf borderId="19" fillId="6" fontId="4" numFmtId="0" xfId="0" applyAlignment="1" applyBorder="1" applyFont="1">
      <alignment horizontal="center" shrinkToFit="0" vertical="center" wrapText="1"/>
    </xf>
    <xf borderId="20" fillId="0" fontId="3" numFmtId="0" xfId="0" applyBorder="1" applyFont="1"/>
    <xf borderId="15" fillId="7" fontId="7" numFmtId="0" xfId="0" applyAlignment="1" applyBorder="1" applyFill="1" applyFont="1">
      <alignment horizontal="center"/>
    </xf>
    <xf borderId="21" fillId="0" fontId="3" numFmtId="0" xfId="0" applyBorder="1" applyFont="1"/>
    <xf borderId="13" fillId="6" fontId="4" numFmtId="0" xfId="0" applyAlignment="1" applyBorder="1" applyFont="1">
      <alignment horizontal="center" shrinkToFit="0" vertical="center" wrapText="1"/>
    </xf>
    <xf borderId="22" fillId="0" fontId="3" numFmtId="0" xfId="0" applyBorder="1" applyFont="1"/>
    <xf borderId="0" fillId="0" fontId="7" numFmtId="0" xfId="0" applyAlignment="1" applyFont="1">
      <alignment horizontal="center" shrinkToFit="0" vertical="center" wrapText="1"/>
    </xf>
    <xf borderId="19" fillId="8" fontId="1" numFmtId="0" xfId="0" applyAlignment="1" applyBorder="1" applyFill="1" applyFont="1">
      <alignment horizontal="center" vertical="center"/>
    </xf>
    <xf borderId="7" fillId="9" fontId="4" numFmtId="0" xfId="0" applyAlignment="1" applyBorder="1" applyFill="1" applyFont="1">
      <alignment horizontal="center" vertical="center"/>
    </xf>
    <xf borderId="7" fillId="10" fontId="4" numFmtId="0" xfId="0" applyAlignment="1" applyBorder="1" applyFill="1" applyFont="1">
      <alignment horizontal="center" vertical="center"/>
    </xf>
    <xf borderId="13" fillId="10" fontId="4" numFmtId="0" xfId="0" applyAlignment="1" applyBorder="1" applyFont="1">
      <alignment horizontal="center" vertical="center"/>
    </xf>
    <xf borderId="7" fillId="11" fontId="4" numFmtId="0" xfId="0" applyAlignment="1" applyBorder="1" applyFill="1" applyFont="1">
      <alignment horizontal="center" vertical="center"/>
    </xf>
    <xf borderId="13" fillId="9" fontId="4" numFmtId="0" xfId="0" applyAlignment="1" applyBorder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0" fillId="0" fontId="8" numFmtId="0" xfId="0" applyFont="1"/>
    <xf borderId="7" fillId="0" fontId="1" numFmtId="0" xfId="0" applyAlignment="1" applyBorder="1" applyFont="1">
      <alignment horizontal="center" vertical="center"/>
    </xf>
    <xf borderId="7" fillId="12" fontId="1" numFmtId="0" xfId="0" applyAlignment="1" applyBorder="1" applyFill="1" applyFont="1">
      <alignment horizontal="center" shrinkToFit="0" textRotation="90" vertical="center" wrapText="1"/>
    </xf>
    <xf borderId="7" fillId="8" fontId="1" numFmtId="0" xfId="0" applyAlignment="1" applyBorder="1" applyFont="1">
      <alignment horizontal="center" shrinkToFit="0" textRotation="90" vertical="center" wrapText="1"/>
    </xf>
    <xf borderId="23" fillId="13" fontId="1" numFmtId="0" xfId="0" applyAlignment="1" applyBorder="1" applyFill="1" applyFont="1">
      <alignment horizontal="center" shrinkToFit="0" textRotation="90" vertical="center" wrapText="1"/>
    </xf>
    <xf borderId="7" fillId="14" fontId="1" numFmtId="0" xfId="0" applyAlignment="1" applyBorder="1" applyFill="1" applyFont="1">
      <alignment horizontal="center" shrinkToFit="0" textRotation="90" vertical="center" wrapText="1"/>
    </xf>
    <xf borderId="13" fillId="12" fontId="1" numFmtId="0" xfId="0" applyAlignment="1" applyBorder="1" applyFont="1">
      <alignment horizontal="center" shrinkToFit="0" vertical="center" wrapText="1"/>
    </xf>
    <xf borderId="7" fillId="0" fontId="9" numFmtId="0" xfId="0" applyAlignment="1" applyBorder="1" applyFont="1">
      <alignment horizontal="center" vertical="center"/>
    </xf>
    <xf borderId="7" fillId="0" fontId="10" numFmtId="1" xfId="0" applyAlignment="1" applyBorder="1" applyFont="1" applyNumberFormat="1">
      <alignment horizontal="left" shrinkToFit="0" wrapText="1"/>
    </xf>
    <xf borderId="7" fillId="0" fontId="10" numFmtId="0" xfId="0" applyAlignment="1" applyBorder="1" applyFont="1">
      <alignment horizontal="left" shrinkToFit="0" wrapText="1"/>
    </xf>
    <xf borderId="7" fillId="9" fontId="11" numFmtId="0" xfId="0" applyAlignment="1" applyBorder="1" applyFont="1">
      <alignment horizontal="right"/>
    </xf>
    <xf borderId="7" fillId="15" fontId="12" numFmtId="0" xfId="0" applyAlignment="1" applyBorder="1" applyFill="1" applyFont="1">
      <alignment horizontal="center" vertical="center"/>
    </xf>
    <xf borderId="7" fillId="0" fontId="4" numFmtId="1" xfId="0" applyAlignment="1" applyBorder="1" applyFont="1" applyNumberFormat="1">
      <alignment horizontal="center" vertical="center"/>
    </xf>
    <xf borderId="7" fillId="15" fontId="4" numFmtId="1" xfId="0" applyAlignment="1" applyBorder="1" applyFont="1" applyNumberFormat="1">
      <alignment horizontal="center" vertical="center"/>
    </xf>
    <xf borderId="7" fillId="5" fontId="4" numFmtId="1" xfId="0" applyAlignment="1" applyBorder="1" applyFont="1" applyNumberFormat="1">
      <alignment horizontal="center" vertical="center"/>
    </xf>
    <xf borderId="7" fillId="9" fontId="11" numFmtId="0" xfId="0" applyAlignment="1" applyBorder="1" applyFont="1">
      <alignment horizontal="center"/>
    </xf>
    <xf borderId="0" fillId="0" fontId="8" numFmtId="1" xfId="0" applyAlignment="1" applyFont="1" applyNumberFormat="1">
      <alignment horizontal="center" vertical="center"/>
    </xf>
    <xf borderId="0" fillId="0" fontId="13" numFmtId="0" xfId="0" applyAlignment="1" applyFont="1">
      <alignment horizontal="right"/>
    </xf>
    <xf borderId="24" fillId="5" fontId="14" numFmtId="0" xfId="0" applyAlignment="1" applyBorder="1" applyFont="1">
      <alignment horizontal="left"/>
    </xf>
    <xf borderId="0" fillId="0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vertical="center"/>
    </xf>
    <xf borderId="23" fillId="9" fontId="15" numFmtId="0" xfId="0" applyAlignment="1" applyBorder="1" applyFont="1">
      <alignment horizontal="center"/>
    </xf>
    <xf borderId="24" fillId="16" fontId="16" numFmtId="0" xfId="0" applyAlignment="1" applyBorder="1" applyFill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7" numFmtId="0" xfId="0" applyAlignment="1" applyFont="1">
      <alignment horizontal="center" shrinkToFit="0" vertical="center" wrapText="1"/>
    </xf>
    <xf borderId="0" fillId="0" fontId="1" numFmtId="1" xfId="0" applyAlignment="1" applyFont="1" applyNumberFormat="1">
      <alignment horizontal="center" vertical="center"/>
    </xf>
    <xf borderId="1" fillId="0" fontId="18" numFmtId="0" xfId="0" applyAlignment="1" applyBorder="1" applyFont="1">
      <alignment horizontal="center" shrinkToFit="0" vertical="center" wrapText="1"/>
    </xf>
    <xf borderId="15" fillId="0" fontId="19" numFmtId="0" xfId="0" applyAlignment="1" applyBorder="1" applyFont="1">
      <alignment horizontal="center" vertical="center"/>
    </xf>
    <xf borderId="13" fillId="17" fontId="20" numFmtId="1" xfId="0" applyAlignment="1" applyBorder="1" applyFill="1" applyFont="1" applyNumberFormat="1">
      <alignment readingOrder="0" vertical="center"/>
    </xf>
    <xf borderId="4" fillId="17" fontId="20" numFmtId="0" xfId="0" applyAlignment="1" applyBorder="1" applyFont="1">
      <alignment horizontal="left" vertical="center"/>
    </xf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13" fillId="17" fontId="20" numFmtId="1" xfId="0" applyBorder="1" applyFont="1" applyNumberFormat="1"/>
    <xf borderId="4" fillId="17" fontId="20" numFmtId="0" xfId="0" applyAlignment="1" applyBorder="1" applyFont="1">
      <alignment horizontal="left"/>
    </xf>
    <xf borderId="15" fillId="18" fontId="21" numFmtId="0" xfId="0" applyAlignment="1" applyBorder="1" applyFill="1" applyFont="1">
      <alignment horizontal="center" shrinkToFit="0" vertical="center" wrapText="1"/>
    </xf>
    <xf borderId="15" fillId="4" fontId="21" numFmtId="0" xfId="0" applyAlignment="1" applyBorder="1" applyFont="1">
      <alignment horizontal="center" vertical="center"/>
    </xf>
    <xf borderId="15" fillId="5" fontId="21" numFmtId="0" xfId="0" applyAlignment="1" applyBorder="1" applyFont="1">
      <alignment horizontal="center" shrinkToFit="0" wrapText="1"/>
    </xf>
    <xf borderId="13" fillId="9" fontId="19" numFmtId="9" xfId="0" applyAlignment="1" applyBorder="1" applyFont="1" applyNumberFormat="1">
      <alignment horizontal="center" vertical="center"/>
    </xf>
    <xf borderId="1" fillId="9" fontId="19" numFmtId="9" xfId="0" applyAlignment="1" applyBorder="1" applyFont="1" applyNumberFormat="1">
      <alignment horizontal="center" vertical="center"/>
    </xf>
    <xf borderId="29" fillId="0" fontId="3" numFmtId="0" xfId="0" applyBorder="1" applyFont="1"/>
    <xf borderId="15" fillId="5" fontId="22" numFmtId="0" xfId="0" applyAlignment="1" applyBorder="1" applyFont="1">
      <alignment horizontal="center"/>
    </xf>
    <xf borderId="15" fillId="9" fontId="19" numFmtId="9" xfId="0" applyAlignment="1" applyBorder="1" applyFont="1" applyNumberFormat="1">
      <alignment horizontal="center" vertical="center"/>
    </xf>
    <xf borderId="0" fillId="0" fontId="2" numFmtId="2" xfId="0" applyAlignment="1" applyFont="1" applyNumberFormat="1">
      <alignment horizontal="center" vertical="center"/>
    </xf>
    <xf borderId="14" fillId="0" fontId="23" numFmtId="0" xfId="0" applyAlignment="1" applyBorder="1" applyFont="1">
      <alignment horizontal="center" shrinkToFit="0" vertical="center" wrapText="1"/>
    </xf>
    <xf borderId="0" fillId="0" fontId="5" numFmtId="2" xfId="0" applyAlignment="1" applyFont="1" applyNumberFormat="1">
      <alignment horizontal="center"/>
    </xf>
    <xf borderId="30" fillId="0" fontId="3" numFmtId="0" xfId="0" applyBorder="1" applyFont="1"/>
    <xf borderId="30" fillId="0" fontId="8" numFmtId="0" xfId="0" applyAlignment="1" applyBorder="1" applyFont="1">
      <alignment horizontal="center" vertical="center"/>
    </xf>
    <xf borderId="23" fillId="19" fontId="2" numFmtId="2" xfId="0" applyAlignment="1" applyBorder="1" applyFill="1" applyFont="1" applyNumberFormat="1">
      <alignment horizontal="center" vertical="center"/>
    </xf>
    <xf borderId="7" fillId="19" fontId="2" numFmtId="2" xfId="0" applyAlignment="1" applyBorder="1" applyFont="1" applyNumberFormat="1">
      <alignment horizontal="center" vertical="center"/>
    </xf>
    <xf borderId="7" fillId="19" fontId="5" numFmtId="2" xfId="0" applyAlignment="1" applyBorder="1" applyFont="1" applyNumberFormat="1">
      <alignment horizontal="center"/>
    </xf>
    <xf borderId="15" fillId="2" fontId="7" numFmtId="0" xfId="0" applyAlignment="1" applyBorder="1" applyFont="1">
      <alignment horizontal="center"/>
    </xf>
    <xf borderId="15" fillId="3" fontId="4" numFmtId="0" xfId="0" applyAlignment="1" applyBorder="1" applyFont="1">
      <alignment horizontal="center" shrinkToFit="0" vertical="center" wrapText="1"/>
    </xf>
    <xf borderId="15" fillId="4" fontId="4" numFmtId="0" xfId="0" applyAlignment="1" applyBorder="1" applyFont="1">
      <alignment horizontal="center" shrinkToFit="0" vertical="center" wrapText="1"/>
    </xf>
    <xf borderId="15" fillId="6" fontId="4" numFmtId="0" xfId="0" applyAlignment="1" applyBorder="1" applyFont="1">
      <alignment horizontal="center" shrinkToFit="0" vertical="center" wrapText="1"/>
    </xf>
    <xf borderId="7" fillId="12" fontId="1" numFmtId="0" xfId="0" applyAlignment="1" applyBorder="1" applyFont="1">
      <alignment horizontal="center" shrinkToFit="0" vertical="center" wrapText="1"/>
    </xf>
    <xf borderId="15" fillId="12" fontId="24" numFmtId="0" xfId="0" applyAlignment="1" applyBorder="1" applyFont="1">
      <alignment horizontal="center" shrinkToFit="0" wrapText="1"/>
    </xf>
    <xf borderId="7" fillId="0" fontId="5" numFmtId="0" xfId="0" applyAlignment="1" applyBorder="1" applyFont="1">
      <alignment horizontal="center" vertical="center"/>
    </xf>
    <xf borderId="15" fillId="12" fontId="24" numFmtId="0" xfId="0" applyAlignment="1" applyBorder="1" applyFont="1">
      <alignment horizontal="center" readingOrder="0" shrinkToFit="0" wrapText="1"/>
    </xf>
    <xf borderId="15" fillId="12" fontId="1" numFmtId="0" xfId="0" applyAlignment="1" applyBorder="1" applyFont="1">
      <alignment horizontal="center" shrinkToFit="0" vertical="center" wrapText="1"/>
    </xf>
    <xf borderId="11" fillId="0" fontId="5" numFmtId="1" xfId="0" applyAlignment="1" applyBorder="1" applyFont="1" applyNumberFormat="1">
      <alignment horizontal="center"/>
    </xf>
    <xf borderId="7" fillId="0" fontId="5" numFmtId="1" xfId="0" applyAlignment="1" applyBorder="1" applyFont="1" applyNumberFormat="1">
      <alignment horizontal="center"/>
    </xf>
    <xf borderId="31" fillId="12" fontId="1" numFmtId="0" xfId="0" applyAlignment="1" applyBorder="1" applyFont="1">
      <alignment horizontal="center" shrinkToFit="0" vertical="center" wrapText="1"/>
    </xf>
    <xf borderId="32" fillId="0" fontId="3" numFmtId="0" xfId="0" applyBorder="1" applyFont="1"/>
    <xf borderId="33" fillId="0" fontId="3" numFmtId="0" xfId="0" applyBorder="1" applyFont="1"/>
    <xf borderId="34" fillId="19" fontId="8" numFmtId="1" xfId="0" applyAlignment="1" applyBorder="1" applyFont="1" applyNumberFormat="1">
      <alignment horizontal="center" vertical="center"/>
    </xf>
    <xf borderId="35" fillId="19" fontId="8" numFmtId="1" xfId="0" applyAlignment="1" applyBorder="1" applyFont="1" applyNumberFormat="1">
      <alignment horizontal="center" vertical="center"/>
    </xf>
    <xf borderId="1" fillId="0" fontId="25" numFmtId="0" xfId="0" applyAlignment="1" applyBorder="1" applyFont="1">
      <alignment horizontal="center" shrinkToFit="0" vertical="center" wrapText="1"/>
    </xf>
    <xf borderId="14" fillId="0" fontId="10" numFmtId="1" xfId="0" applyAlignment="1" applyBorder="1" applyFont="1" applyNumberFormat="1">
      <alignment horizontal="left" shrinkToFit="0" wrapText="1"/>
    </xf>
    <xf borderId="14" fillId="0" fontId="10" numFmtId="0" xfId="0" applyAlignment="1" applyBorder="1" applyFont="1">
      <alignment horizontal="left" shrinkToFit="0" wrapText="1"/>
    </xf>
    <xf borderId="35" fillId="9" fontId="11" numFmtId="0" xfId="0" applyAlignment="1" applyBorder="1" applyFont="1">
      <alignment horizontal="right"/>
    </xf>
    <xf borderId="35" fillId="9" fontId="4" numFmtId="0" xfId="0" applyAlignment="1" applyBorder="1" applyFont="1">
      <alignment horizontal="center" vertical="center"/>
    </xf>
    <xf borderId="15" fillId="0" fontId="9" numFmtId="0" xfId="0" applyAlignment="1" applyBorder="1" applyFont="1">
      <alignment horizontal="center" vertical="center"/>
    </xf>
    <xf borderId="36" fillId="12" fontId="24" numFmtId="0" xfId="0" applyAlignment="1" applyBorder="1" applyFont="1">
      <alignment horizontal="center" shrinkToFit="0" wrapText="1"/>
    </xf>
    <xf borderId="37" fillId="0" fontId="3" numFmtId="0" xfId="0" applyBorder="1" applyFont="1"/>
    <xf borderId="38" fillId="20" fontId="7" numFmtId="0" xfId="0" applyAlignment="1" applyBorder="1" applyFill="1" applyFont="1">
      <alignment horizontal="center" vertical="center"/>
    </xf>
    <xf borderId="39" fillId="0" fontId="3" numFmtId="0" xfId="0" applyBorder="1" applyFont="1"/>
    <xf borderId="40" fillId="0" fontId="3" numFmtId="0" xfId="0" applyBorder="1" applyFont="1"/>
    <xf borderId="41" fillId="8" fontId="4" numFmtId="1" xfId="0" applyAlignment="1" applyBorder="1" applyFont="1" applyNumberFormat="1">
      <alignment horizontal="center" readingOrder="0" vertical="center"/>
    </xf>
    <xf borderId="38" fillId="5" fontId="7" numFmtId="0" xfId="0" applyAlignment="1" applyBorder="1" applyFont="1">
      <alignment horizontal="center" vertical="center"/>
    </xf>
    <xf borderId="13" fillId="8" fontId="26" numFmtId="0" xfId="0" applyAlignment="1" applyBorder="1" applyFont="1">
      <alignment horizontal="center" readingOrder="0" shrinkToFit="0" vertical="center" wrapText="1"/>
    </xf>
    <xf borderId="15" fillId="0" fontId="2" numFmtId="0" xfId="0" applyAlignment="1" applyBorder="1" applyFont="1">
      <alignment horizontal="center" vertical="center"/>
    </xf>
    <xf borderId="42" fillId="12" fontId="27" numFmtId="0" xfId="0" applyAlignment="1" applyBorder="1" applyFont="1">
      <alignment horizontal="center" shrinkToFit="0" vertical="center" wrapText="1"/>
    </xf>
    <xf borderId="43" fillId="0" fontId="3" numFmtId="0" xfId="0" applyBorder="1" applyFont="1"/>
    <xf borderId="44" fillId="0" fontId="3" numFmtId="0" xfId="0" applyBorder="1" applyFont="1"/>
    <xf borderId="45" fillId="4" fontId="8" numFmtId="1" xfId="0" applyAlignment="1" applyBorder="1" applyFont="1" applyNumberFormat="1">
      <alignment horizontal="center" vertical="center"/>
    </xf>
    <xf borderId="13" fillId="4" fontId="8" numFmtId="1" xfId="0" applyAlignment="1" applyBorder="1" applyFont="1" applyNumberFormat="1">
      <alignment horizontal="center" vertical="center"/>
    </xf>
    <xf borderId="24" fillId="16" fontId="28" numFmtId="0" xfId="0" applyAlignment="1" applyBorder="1" applyFont="1">
      <alignment horizontal="center" vertical="center"/>
    </xf>
    <xf borderId="42" fillId="12" fontId="1" numFmtId="0" xfId="0" applyAlignment="1" applyBorder="1" applyFont="1">
      <alignment horizontal="center" shrinkToFit="0" vertical="center" wrapText="1"/>
    </xf>
    <xf borderId="45" fillId="21" fontId="8" numFmtId="1" xfId="0" applyAlignment="1" applyBorder="1" applyFill="1" applyFont="1" applyNumberFormat="1">
      <alignment horizontal="center" vertical="center"/>
    </xf>
    <xf borderId="13" fillId="21" fontId="8" numFmtId="1" xfId="0" applyAlignment="1" applyBorder="1" applyFont="1" applyNumberFormat="1">
      <alignment horizontal="center" vertical="center"/>
    </xf>
    <xf borderId="0" fillId="0" fontId="29" numFmtId="0" xfId="0" applyAlignment="1" applyFont="1">
      <alignment vertical="center"/>
    </xf>
    <xf borderId="0" fillId="0" fontId="29" numFmtId="0" xfId="0" applyFont="1"/>
    <xf borderId="46" fillId="12" fontId="1" numFmtId="0" xfId="0" applyAlignment="1" applyBorder="1" applyFont="1">
      <alignment horizontal="center" shrinkToFit="0" vertical="center" wrapText="1"/>
    </xf>
    <xf borderId="47" fillId="0" fontId="3" numFmtId="0" xfId="0" applyBorder="1" applyFont="1"/>
    <xf borderId="48" fillId="0" fontId="3" numFmtId="0" xfId="0" applyBorder="1" applyFont="1"/>
    <xf borderId="49" fillId="0" fontId="3" numFmtId="0" xfId="0" applyBorder="1" applyFont="1"/>
    <xf borderId="50" fillId="0" fontId="3" numFmtId="0" xfId="0" applyBorder="1" applyFont="1"/>
    <xf borderId="51" fillId="19" fontId="8" numFmtId="1" xfId="0" applyAlignment="1" applyBorder="1" applyFont="1" applyNumberFormat="1">
      <alignment horizontal="center" vertical="center"/>
    </xf>
    <xf borderId="52" fillId="0" fontId="3" numFmtId="0" xfId="0" applyBorder="1" applyFont="1"/>
    <xf borderId="0" fillId="0" fontId="8" numFmtId="0" xfId="0" applyAlignment="1" applyFont="1">
      <alignment horizontal="center" vertical="center"/>
    </xf>
    <xf borderId="0" fillId="0" fontId="8" numFmtId="0" xfId="0" applyAlignment="1" applyFont="1">
      <alignment horizontal="center"/>
    </xf>
    <xf borderId="0" fillId="0" fontId="4" numFmtId="0" xfId="0" applyAlignment="1" applyFont="1">
      <alignment vertical="center"/>
    </xf>
    <xf borderId="0" fillId="0" fontId="1" numFmtId="0" xfId="0" applyAlignment="1" applyFont="1">
      <alignment vertical="center"/>
    </xf>
    <xf borderId="0" fillId="0" fontId="29" numFmtId="0" xfId="0" applyAlignment="1" applyFont="1">
      <alignment vertical="top"/>
    </xf>
    <xf borderId="0" fillId="0" fontId="30" numFmtId="0" xfId="0" applyFont="1"/>
    <xf borderId="0" fillId="0" fontId="4" numFmtId="0" xfId="0" applyAlignment="1" applyFont="1">
      <alignment horizontal="left" vertical="center"/>
    </xf>
    <xf borderId="0" fillId="0" fontId="2" numFmtId="0" xfId="0" applyAlignment="1" applyFont="1">
      <alignment horizontal="center" shrinkToFit="0" wrapText="1"/>
    </xf>
    <xf borderId="0" fillId="0" fontId="5" numFmtId="1" xfId="0" applyAlignment="1" applyFont="1" applyNumberFormat="1">
      <alignment vertical="center"/>
    </xf>
    <xf borderId="0" fillId="0" fontId="29" numFmtId="0" xfId="0" applyAlignment="1" applyFont="1">
      <alignment horizontal="center" vertical="center"/>
    </xf>
    <xf borderId="0" fillId="0" fontId="29" numFmtId="0" xfId="0" applyAlignment="1" applyFont="1">
      <alignment horizontal="left"/>
    </xf>
    <xf borderId="0" fillId="0" fontId="31" numFmtId="0" xfId="0" applyFont="1"/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/>
    </xf>
    <xf borderId="0" fillId="0" fontId="5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externalLink" Target="externalLinks/externalLink1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FF"/>
                </a:solidFill>
                <a:latin typeface="+mn-lt"/>
              </a:defRPr>
            </a:pPr>
            <a:r>
              <a:rPr b="1" i="0" sz="1200">
                <a:solidFill>
                  <a:srgbClr val="0000FF"/>
                </a:solidFill>
                <a:latin typeface="+mn-lt"/>
              </a:rPr>
              <a:t>C304 - COURSE OUTCOMES ATTAINMENT LEVELS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Attainment Level</c:v>
          </c:tx>
          <c:spPr>
            <a:solidFill>
              <a:srgbClr val="9BBB59"/>
            </a:solidFill>
            <a:ln cmpd="sng">
              <a:solidFill>
                <a:srgbClr val="000000"/>
              </a:solidFill>
            </a:ln>
          </c:spPr>
          <c:cat>
            <c:strRef>
              <c:f>'LAB Assessment '!$AE$25:$AE$29</c:f>
            </c:strRef>
          </c:cat>
          <c:val>
            <c:numRef>
              <c:f>'LAB Assessment '!$AF$25:$AF$29</c:f>
              <c:numCache/>
            </c:numRef>
          </c:val>
        </c:ser>
        <c:ser>
          <c:idx val="1"/>
          <c:order val="1"/>
          <c:cat>
            <c:strRef>
              <c:f>'LAB Assessment '!$AE$25:$AE$29</c:f>
            </c:strRef>
          </c:cat>
          <c:val>
            <c:numRef>
              <c:f>'LAB Assessment '!$AG$22:$AG$23</c:f>
              <c:numCache/>
            </c:numRef>
          </c:val>
        </c:ser>
        <c:ser>
          <c:idx val="2"/>
          <c:order val="2"/>
          <c:cat>
            <c:strRef>
              <c:f>'LAB Assessment '!$AE$25:$AE$29</c:f>
            </c:strRef>
          </c:cat>
          <c:val>
            <c:numRef>
              <c:f>'LAB Assessment '!$AH$22:$AH$23</c:f>
              <c:numCache/>
            </c:numRef>
          </c:val>
        </c:ser>
        <c:overlap val="100"/>
        <c:axId val="1816056448"/>
        <c:axId val="1825921320"/>
      </c:barChart>
      <c:catAx>
        <c:axId val="18160564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825921320"/>
      </c:catAx>
      <c:valAx>
        <c:axId val="1825921320"/>
        <c:scaling>
          <c:orientation val="minMax"/>
          <c:max val="3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816056448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34</xdr:col>
      <xdr:colOff>161925</xdr:colOff>
      <xdr:row>21</xdr:row>
      <xdr:rowOff>190500</xdr:rowOff>
    </xdr:from>
    <xdr:ext cx="2914650" cy="1800225"/>
    <xdr:graphicFrame>
      <xdr:nvGraphicFramePr>
        <xdr:cNvPr id="90247098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30</xdr:col>
      <xdr:colOff>85725</xdr:colOff>
      <xdr:row>5</xdr:row>
      <xdr:rowOff>342900</xdr:rowOff>
    </xdr:from>
    <xdr:ext cx="742950" cy="514350"/>
    <xdr:pic>
      <xdr:nvPicPr>
        <xdr:cNvPr descr="NEW logo (2).png"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Dept%20THEORY%20Analytical%20template_R17%20V2%20AtSheet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Theory Assessment "/>
    </sheetNames>
    <sheetDataSet>
      <sheetData sheetId="0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5.29"/>
    <col customWidth="1" min="2" max="2" width="18.0"/>
    <col customWidth="1" min="3" max="3" width="30.0"/>
    <col customWidth="1" hidden="1" min="4" max="4" width="4.71"/>
    <col customWidth="1" min="5" max="5" width="4.71"/>
    <col customWidth="1" min="6" max="6" width="5.71"/>
    <col customWidth="1" min="7" max="7" width="4.71"/>
    <col customWidth="1" hidden="1" min="8" max="8" width="4.71"/>
    <col customWidth="1" min="9" max="11" width="4.71"/>
    <col customWidth="1" hidden="1" min="12" max="12" width="4.71"/>
    <col customWidth="1" min="13" max="15" width="4.71"/>
    <col customWidth="1" hidden="1" min="16" max="16" width="4.71"/>
    <col customWidth="1" min="17" max="19" width="4.71"/>
    <col customWidth="1" hidden="1" min="20" max="20" width="4.71"/>
    <col customWidth="1" min="21" max="27" width="4.71"/>
    <col customWidth="1" min="28" max="28" width="15.71"/>
    <col customWidth="1" min="29" max="30" width="4.71"/>
    <col customWidth="1" min="31" max="31" width="7.71"/>
    <col customWidth="1" min="32" max="32" width="7.57"/>
    <col customWidth="1" min="33" max="33" width="4.71"/>
    <col customWidth="1" min="34" max="34" width="5.14"/>
    <col customWidth="1" min="35" max="36" width="5.43"/>
    <col customWidth="1" min="37" max="37" width="5.71"/>
    <col customWidth="1" min="38" max="38" width="7.43"/>
    <col customWidth="1" min="39" max="39" width="6.71"/>
    <col customWidth="1" min="40" max="40" width="4.71"/>
    <col customWidth="1" min="41" max="42" width="6.14"/>
    <col customWidth="1" min="43" max="43" width="6.43"/>
    <col customWidth="1" min="44" max="44" width="5.29"/>
    <col customWidth="1" min="45" max="46" width="3.71"/>
    <col customWidth="1" min="47" max="47" width="9.14"/>
  </cols>
  <sheetData>
    <row r="1"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3"/>
      <c r="AT1" s="3"/>
      <c r="AU1" s="4"/>
    </row>
    <row r="2" ht="19.5" customHeight="1">
      <c r="A2" s="5" t="s">
        <v>0</v>
      </c>
      <c r="B2" s="6"/>
      <c r="C2" s="7"/>
      <c r="D2" s="8" t="s">
        <v>1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10"/>
      <c r="AC2" s="11"/>
      <c r="AD2" s="12"/>
      <c r="AE2" s="12"/>
      <c r="AG2" s="13"/>
      <c r="AS2" s="14"/>
      <c r="AT2" s="14"/>
      <c r="AU2" s="14"/>
    </row>
    <row r="3" ht="30.0" customHeight="1">
      <c r="A3" s="15"/>
      <c r="B3" s="16"/>
      <c r="C3" s="17"/>
      <c r="D3" s="18" t="s">
        <v>2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19"/>
      <c r="AA3" s="20"/>
      <c r="AB3" s="21" t="s">
        <v>3</v>
      </c>
      <c r="AC3" s="22"/>
      <c r="AD3" s="12"/>
      <c r="AE3" s="23"/>
      <c r="AU3" s="14"/>
    </row>
    <row r="4" ht="15.0" customHeight="1">
      <c r="A4" s="24" t="s">
        <v>4</v>
      </c>
      <c r="B4" s="9"/>
      <c r="C4" s="19"/>
      <c r="D4" s="25" t="s">
        <v>5</v>
      </c>
      <c r="E4" s="26"/>
      <c r="F4" s="26"/>
      <c r="G4" s="27"/>
      <c r="H4" s="28" t="s">
        <v>6</v>
      </c>
      <c r="I4" s="26"/>
      <c r="J4" s="26"/>
      <c r="K4" s="27"/>
      <c r="L4" s="28" t="s">
        <v>7</v>
      </c>
      <c r="M4" s="26"/>
      <c r="N4" s="26"/>
      <c r="O4" s="27"/>
      <c r="P4" s="28" t="s">
        <v>8</v>
      </c>
      <c r="Q4" s="26"/>
      <c r="R4" s="26"/>
      <c r="S4" s="27"/>
      <c r="T4" s="28" t="s">
        <v>9</v>
      </c>
      <c r="U4" s="26"/>
      <c r="V4" s="26"/>
      <c r="W4" s="29"/>
      <c r="X4" s="30" t="s">
        <v>10</v>
      </c>
      <c r="Y4" s="9"/>
      <c r="Z4" s="19"/>
      <c r="AA4" s="31"/>
      <c r="AB4" s="32" t="s">
        <v>11</v>
      </c>
      <c r="AC4" s="33"/>
      <c r="AD4" s="12"/>
      <c r="AE4" s="34"/>
    </row>
    <row r="5" ht="17.25" customHeight="1">
      <c r="A5" s="35" t="s">
        <v>12</v>
      </c>
      <c r="B5" s="26"/>
      <c r="C5" s="27"/>
      <c r="D5" s="36"/>
      <c r="E5" s="36">
        <v>15.0</v>
      </c>
      <c r="F5" s="36">
        <v>5.0</v>
      </c>
      <c r="G5" s="37">
        <v>20.0</v>
      </c>
      <c r="H5" s="36"/>
      <c r="I5" s="36">
        <v>15.0</v>
      </c>
      <c r="J5" s="36">
        <v>5.0</v>
      </c>
      <c r="K5" s="37">
        <f>SUM(H5:J5)</f>
        <v>20</v>
      </c>
      <c r="L5" s="36"/>
      <c r="M5" s="36">
        <v>15.0</v>
      </c>
      <c r="N5" s="36">
        <v>5.0</v>
      </c>
      <c r="O5" s="37">
        <f>SUM(L5:N5)</f>
        <v>20</v>
      </c>
      <c r="P5" s="36"/>
      <c r="Q5" s="36">
        <v>15.0</v>
      </c>
      <c r="R5" s="36">
        <v>5.0</v>
      </c>
      <c r="S5" s="37">
        <f>SUM(P5:R5)</f>
        <v>20</v>
      </c>
      <c r="T5" s="36"/>
      <c r="U5" s="36">
        <v>15.0</v>
      </c>
      <c r="V5" s="36">
        <v>5.0</v>
      </c>
      <c r="W5" s="38">
        <f>SUM(T5:V5)</f>
        <v>20</v>
      </c>
      <c r="X5" s="39">
        <v>75.0</v>
      </c>
      <c r="Y5" s="39">
        <v>25.0</v>
      </c>
      <c r="Z5" s="39">
        <v>100.0</v>
      </c>
      <c r="AA5" s="31"/>
      <c r="AB5" s="40">
        <v>100.0</v>
      </c>
      <c r="AC5" s="33"/>
      <c r="AD5" s="12"/>
      <c r="AJ5" s="41"/>
      <c r="AK5" s="41"/>
      <c r="AL5" s="41"/>
      <c r="AM5" s="42"/>
    </row>
    <row r="6" ht="91.5" customHeight="1">
      <c r="A6" s="43" t="s">
        <v>13</v>
      </c>
      <c r="B6" s="43" t="s">
        <v>14</v>
      </c>
      <c r="C6" s="43" t="s">
        <v>15</v>
      </c>
      <c r="D6" s="44"/>
      <c r="E6" s="44" t="s">
        <v>16</v>
      </c>
      <c r="F6" s="44" t="s">
        <v>17</v>
      </c>
      <c r="G6" s="45" t="s">
        <v>18</v>
      </c>
      <c r="H6" s="44"/>
      <c r="I6" s="44" t="s">
        <v>16</v>
      </c>
      <c r="J6" s="44" t="s">
        <v>17</v>
      </c>
      <c r="K6" s="45" t="s">
        <v>18</v>
      </c>
      <c r="L6" s="44"/>
      <c r="M6" s="44" t="s">
        <v>16</v>
      </c>
      <c r="N6" s="44" t="s">
        <v>17</v>
      </c>
      <c r="O6" s="45" t="s">
        <v>18</v>
      </c>
      <c r="P6" s="44"/>
      <c r="Q6" s="44" t="s">
        <v>16</v>
      </c>
      <c r="R6" s="44" t="s">
        <v>17</v>
      </c>
      <c r="S6" s="45" t="s">
        <v>18</v>
      </c>
      <c r="T6" s="44"/>
      <c r="U6" s="44" t="s">
        <v>16</v>
      </c>
      <c r="V6" s="44" t="s">
        <v>17</v>
      </c>
      <c r="W6" s="45" t="s">
        <v>18</v>
      </c>
      <c r="X6" s="46" t="s">
        <v>19</v>
      </c>
      <c r="Y6" s="46" t="s">
        <v>20</v>
      </c>
      <c r="Z6" s="47" t="s">
        <v>18</v>
      </c>
      <c r="AA6" s="31"/>
      <c r="AB6" s="48" t="s">
        <v>21</v>
      </c>
      <c r="AC6" s="33"/>
      <c r="AD6" s="41"/>
      <c r="AE6" s="23" t="s">
        <v>22</v>
      </c>
    </row>
    <row r="7" ht="16.5" customHeight="1">
      <c r="A7" s="49">
        <v>1.0</v>
      </c>
      <c r="B7" s="50"/>
      <c r="C7" s="51"/>
      <c r="D7" s="52"/>
      <c r="E7" s="36">
        <v>13.0</v>
      </c>
      <c r="F7" s="53">
        <f t="shared" ref="F7:F141" si="1">IFERROR(ROUND(($Y7/$Y$5)*F$5,0),0)</f>
        <v>4</v>
      </c>
      <c r="G7" s="54">
        <f t="shared" ref="G7:G141" si="2">IFERROR(ROUND((SUM(D7:F7)/SUM(D$5:F$5))*G$5,0),0)</f>
        <v>17</v>
      </c>
      <c r="H7" s="52"/>
      <c r="I7" s="36">
        <v>12.0</v>
      </c>
      <c r="J7" s="53">
        <f t="shared" ref="J7:J141" si="3">IFERROR(ROUND(($Y7/$Y$5)*J$5,0),0)</f>
        <v>4</v>
      </c>
      <c r="K7" s="54">
        <f t="shared" ref="K7:K141" si="4">IFERROR(ROUND((SUM(H7:J7)/SUM(H$5:J$5))*K$5,0),0)</f>
        <v>16</v>
      </c>
      <c r="L7" s="52"/>
      <c r="M7" s="52">
        <v>14.0</v>
      </c>
      <c r="N7" s="53">
        <f t="shared" ref="N7:N141" si="5">IFERROR(ROUND(($Y7/$Y$5)*N$5,0),0)</f>
        <v>4</v>
      </c>
      <c r="O7" s="54">
        <f t="shared" ref="O7:O141" si="6">IFERROR(ROUND((SUM(L7:N7)/SUM(L$5:N$5))*O$5,0),0)</f>
        <v>18</v>
      </c>
      <c r="P7" s="36"/>
      <c r="Q7" s="52">
        <v>15.0</v>
      </c>
      <c r="R7" s="53">
        <f t="shared" ref="R7:R141" si="7">IFERROR(ROUND(($Y7/$Y$5)*R$5,0),0)</f>
        <v>4</v>
      </c>
      <c r="S7" s="54">
        <f t="shared" ref="S7:S141" si="8">IFERROR(ROUND((SUM(P7:R7)/SUM(P$5:R$5))*S$5,0),0)</f>
        <v>19</v>
      </c>
      <c r="T7" s="36"/>
      <c r="U7" s="52">
        <v>15.0</v>
      </c>
      <c r="V7" s="53">
        <f t="shared" ref="V7:V141" si="9">IFERROR(ROUND(($Y7/$Y$5)*V$5,0),0)</f>
        <v>4</v>
      </c>
      <c r="W7" s="54">
        <f t="shared" ref="W7:W141" si="10">IFERROR(ROUND((SUM(T7:V7)/SUM(T$5:V$5))*W$5,0),0)</f>
        <v>19</v>
      </c>
      <c r="X7" s="55">
        <f>SUM(E7,I7,M7,Q7,U7)</f>
        <v>69</v>
      </c>
      <c r="Y7" s="36">
        <v>20.0</v>
      </c>
      <c r="Z7" s="56">
        <f t="shared" ref="Z7:Z141" si="11">X7+Y7</f>
        <v>89</v>
      </c>
      <c r="AA7" s="31"/>
      <c r="AB7" s="57"/>
      <c r="AC7" s="33"/>
      <c r="AD7" s="58"/>
      <c r="AE7" s="13"/>
      <c r="AF7" s="59" t="s">
        <v>23</v>
      </c>
      <c r="AG7" s="13"/>
      <c r="AH7" s="60"/>
      <c r="AI7" s="41"/>
      <c r="AJ7" s="13"/>
      <c r="AK7" s="13"/>
      <c r="AL7" s="13"/>
      <c r="AM7" s="13"/>
      <c r="AN7" s="13"/>
      <c r="AO7" s="13"/>
      <c r="AP7" s="13"/>
      <c r="AQ7" s="13"/>
      <c r="AR7" s="61"/>
      <c r="AS7" s="62"/>
      <c r="AT7" s="42"/>
      <c r="AU7" s="42"/>
      <c r="AV7" s="42"/>
      <c r="AW7" s="42"/>
      <c r="AX7" s="42"/>
      <c r="AY7" s="42"/>
      <c r="AZ7" s="42"/>
      <c r="BA7" s="42"/>
      <c r="BB7" s="42"/>
      <c r="BC7" s="42"/>
    </row>
    <row r="8" ht="16.5" customHeight="1">
      <c r="A8" s="49">
        <v>2.0</v>
      </c>
      <c r="B8" s="50"/>
      <c r="C8" s="51"/>
      <c r="D8" s="52"/>
      <c r="E8" s="36"/>
      <c r="F8" s="53">
        <f t="shared" si="1"/>
        <v>5</v>
      </c>
      <c r="G8" s="54">
        <f t="shared" si="2"/>
        <v>5</v>
      </c>
      <c r="H8" s="52"/>
      <c r="I8" s="36"/>
      <c r="J8" s="53">
        <f t="shared" si="3"/>
        <v>5</v>
      </c>
      <c r="K8" s="54">
        <f t="shared" si="4"/>
        <v>5</v>
      </c>
      <c r="L8" s="52"/>
      <c r="M8" s="52"/>
      <c r="N8" s="53">
        <f t="shared" si="5"/>
        <v>5</v>
      </c>
      <c r="O8" s="54">
        <f t="shared" si="6"/>
        <v>5</v>
      </c>
      <c r="P8" s="36"/>
      <c r="Q8" s="52"/>
      <c r="R8" s="53">
        <f t="shared" si="7"/>
        <v>5</v>
      </c>
      <c r="S8" s="54">
        <f t="shared" si="8"/>
        <v>5</v>
      </c>
      <c r="T8" s="36"/>
      <c r="U8" s="52"/>
      <c r="V8" s="53">
        <f t="shared" si="9"/>
        <v>5</v>
      </c>
      <c r="W8" s="54">
        <f t="shared" si="10"/>
        <v>5</v>
      </c>
      <c r="X8" s="55">
        <v>60.0</v>
      </c>
      <c r="Y8" s="36">
        <v>24.0</v>
      </c>
      <c r="Z8" s="56">
        <f t="shared" si="11"/>
        <v>84</v>
      </c>
      <c r="AA8" s="31"/>
      <c r="AB8" s="63"/>
      <c r="AC8" s="33"/>
      <c r="AD8" s="58"/>
      <c r="AE8" s="13"/>
      <c r="AF8" s="59" t="s">
        <v>24</v>
      </c>
      <c r="AG8" s="13"/>
      <c r="AH8" s="60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</row>
    <row r="9" ht="16.5" customHeight="1">
      <c r="A9" s="49">
        <v>3.0</v>
      </c>
      <c r="B9" s="50"/>
      <c r="C9" s="51"/>
      <c r="D9" s="52"/>
      <c r="E9" s="36"/>
      <c r="F9" s="53">
        <f t="shared" si="1"/>
        <v>0</v>
      </c>
      <c r="G9" s="54">
        <f t="shared" si="2"/>
        <v>0</v>
      </c>
      <c r="H9" s="52"/>
      <c r="I9" s="36"/>
      <c r="J9" s="53">
        <f t="shared" si="3"/>
        <v>0</v>
      </c>
      <c r="K9" s="54">
        <f t="shared" si="4"/>
        <v>0</v>
      </c>
      <c r="L9" s="52"/>
      <c r="M9" s="52"/>
      <c r="N9" s="53">
        <f t="shared" si="5"/>
        <v>0</v>
      </c>
      <c r="O9" s="54">
        <f t="shared" si="6"/>
        <v>0</v>
      </c>
      <c r="P9" s="36"/>
      <c r="Q9" s="52"/>
      <c r="R9" s="53">
        <f t="shared" si="7"/>
        <v>0</v>
      </c>
      <c r="S9" s="54">
        <f t="shared" si="8"/>
        <v>0</v>
      </c>
      <c r="T9" s="36"/>
      <c r="U9" s="52"/>
      <c r="V9" s="53">
        <f t="shared" si="9"/>
        <v>0</v>
      </c>
      <c r="W9" s="54">
        <f t="shared" si="10"/>
        <v>0</v>
      </c>
      <c r="X9" s="55">
        <f t="shared" ref="X9:X141" si="12">SUM(E9,I9,M9,Q9,U9)</f>
        <v>0</v>
      </c>
      <c r="Y9" s="36"/>
      <c r="Z9" s="56">
        <f t="shared" si="11"/>
        <v>0</v>
      </c>
      <c r="AA9" s="31"/>
      <c r="AB9" s="63"/>
      <c r="AC9" s="33"/>
      <c r="AD9" s="58"/>
      <c r="AE9" s="13"/>
      <c r="AF9" s="59" t="s">
        <v>25</v>
      </c>
      <c r="AG9" s="13"/>
      <c r="AH9" s="60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</row>
    <row r="10" ht="16.5" customHeight="1">
      <c r="A10" s="49">
        <v>4.0</v>
      </c>
      <c r="B10" s="50"/>
      <c r="C10" s="51"/>
      <c r="D10" s="52"/>
      <c r="E10" s="36"/>
      <c r="F10" s="53">
        <f t="shared" si="1"/>
        <v>0</v>
      </c>
      <c r="G10" s="54">
        <f t="shared" si="2"/>
        <v>0</v>
      </c>
      <c r="H10" s="52"/>
      <c r="I10" s="36"/>
      <c r="J10" s="53">
        <f t="shared" si="3"/>
        <v>0</v>
      </c>
      <c r="K10" s="54">
        <f t="shared" si="4"/>
        <v>0</v>
      </c>
      <c r="L10" s="52"/>
      <c r="M10" s="52"/>
      <c r="N10" s="53">
        <f t="shared" si="5"/>
        <v>0</v>
      </c>
      <c r="O10" s="54">
        <f t="shared" si="6"/>
        <v>0</v>
      </c>
      <c r="P10" s="36"/>
      <c r="Q10" s="52"/>
      <c r="R10" s="53">
        <f t="shared" si="7"/>
        <v>0</v>
      </c>
      <c r="S10" s="54">
        <f t="shared" si="8"/>
        <v>0</v>
      </c>
      <c r="T10" s="36"/>
      <c r="U10" s="52"/>
      <c r="V10" s="53">
        <f t="shared" si="9"/>
        <v>0</v>
      </c>
      <c r="W10" s="54">
        <f t="shared" si="10"/>
        <v>0</v>
      </c>
      <c r="X10" s="55">
        <f t="shared" si="12"/>
        <v>0</v>
      </c>
      <c r="Y10" s="36"/>
      <c r="Z10" s="56">
        <f t="shared" si="11"/>
        <v>0</v>
      </c>
      <c r="AA10" s="31"/>
      <c r="AB10" s="63"/>
      <c r="AC10" s="33"/>
      <c r="AD10" s="58"/>
      <c r="AE10" s="13"/>
      <c r="AF10" s="59" t="s">
        <v>26</v>
      </c>
      <c r="AG10" s="13"/>
      <c r="AH10" s="60" t="s">
        <v>27</v>
      </c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</row>
    <row r="11" ht="16.5" customHeight="1">
      <c r="A11" s="49">
        <v>5.0</v>
      </c>
      <c r="B11" s="50"/>
      <c r="C11" s="51"/>
      <c r="D11" s="52"/>
      <c r="E11" s="36"/>
      <c r="F11" s="53">
        <f t="shared" si="1"/>
        <v>0</v>
      </c>
      <c r="G11" s="54">
        <f t="shared" si="2"/>
        <v>0</v>
      </c>
      <c r="H11" s="52"/>
      <c r="I11" s="36"/>
      <c r="J11" s="53">
        <f t="shared" si="3"/>
        <v>0</v>
      </c>
      <c r="K11" s="54">
        <f t="shared" si="4"/>
        <v>0</v>
      </c>
      <c r="L11" s="52"/>
      <c r="M11" s="52"/>
      <c r="N11" s="53">
        <f t="shared" si="5"/>
        <v>0</v>
      </c>
      <c r="O11" s="54">
        <f t="shared" si="6"/>
        <v>0</v>
      </c>
      <c r="P11" s="36"/>
      <c r="Q11" s="52"/>
      <c r="R11" s="53">
        <f t="shared" si="7"/>
        <v>0</v>
      </c>
      <c r="S11" s="54">
        <f t="shared" si="8"/>
        <v>0</v>
      </c>
      <c r="T11" s="36"/>
      <c r="U11" s="52"/>
      <c r="V11" s="53">
        <f t="shared" si="9"/>
        <v>0</v>
      </c>
      <c r="W11" s="54">
        <f t="shared" si="10"/>
        <v>0</v>
      </c>
      <c r="X11" s="55">
        <f t="shared" si="12"/>
        <v>0</v>
      </c>
      <c r="Y11" s="36"/>
      <c r="Z11" s="56">
        <f t="shared" si="11"/>
        <v>0</v>
      </c>
      <c r="AA11" s="31"/>
      <c r="AB11" s="63"/>
      <c r="AC11" s="33"/>
      <c r="AD11" s="58"/>
      <c r="AE11" s="13"/>
      <c r="AF11" s="59" t="s">
        <v>28</v>
      </c>
      <c r="AG11" s="13"/>
      <c r="AH11" s="60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</row>
    <row r="12" ht="16.5" customHeight="1">
      <c r="A12" s="49">
        <v>6.0</v>
      </c>
      <c r="B12" s="50"/>
      <c r="C12" s="51"/>
      <c r="D12" s="52"/>
      <c r="E12" s="36"/>
      <c r="F12" s="53">
        <f t="shared" si="1"/>
        <v>0</v>
      </c>
      <c r="G12" s="54">
        <f t="shared" si="2"/>
        <v>0</v>
      </c>
      <c r="H12" s="52"/>
      <c r="I12" s="36"/>
      <c r="J12" s="53">
        <f t="shared" si="3"/>
        <v>0</v>
      </c>
      <c r="K12" s="54">
        <f t="shared" si="4"/>
        <v>0</v>
      </c>
      <c r="L12" s="52"/>
      <c r="M12" s="52"/>
      <c r="N12" s="53">
        <f t="shared" si="5"/>
        <v>0</v>
      </c>
      <c r="O12" s="54">
        <f t="shared" si="6"/>
        <v>0</v>
      </c>
      <c r="P12" s="36"/>
      <c r="Q12" s="52"/>
      <c r="R12" s="53">
        <f t="shared" si="7"/>
        <v>0</v>
      </c>
      <c r="S12" s="54">
        <f t="shared" si="8"/>
        <v>0</v>
      </c>
      <c r="T12" s="36"/>
      <c r="U12" s="52"/>
      <c r="V12" s="53">
        <f t="shared" si="9"/>
        <v>0</v>
      </c>
      <c r="W12" s="54">
        <f t="shared" si="10"/>
        <v>0</v>
      </c>
      <c r="X12" s="55">
        <f t="shared" si="12"/>
        <v>0</v>
      </c>
      <c r="Y12" s="36"/>
      <c r="Z12" s="56">
        <f t="shared" si="11"/>
        <v>0</v>
      </c>
      <c r="AA12" s="31"/>
      <c r="AB12" s="63"/>
      <c r="AC12" s="33"/>
      <c r="AD12" s="58"/>
      <c r="AE12" s="13"/>
      <c r="AF12" s="59" t="s">
        <v>29</v>
      </c>
      <c r="AG12" s="13"/>
      <c r="AH12" s="60" t="s">
        <v>30</v>
      </c>
      <c r="AI12" s="13"/>
      <c r="AJ12" s="13"/>
      <c r="AK12" s="13"/>
      <c r="AL12" s="13"/>
      <c r="AM12" s="13"/>
      <c r="AN12" s="13"/>
      <c r="AO12" s="13"/>
      <c r="AP12" s="13"/>
      <c r="AQ12" s="13"/>
      <c r="AR12" s="64"/>
      <c r="AS12" s="3"/>
      <c r="AT12" s="3"/>
      <c r="AU12" s="14"/>
    </row>
    <row r="13" ht="16.5" customHeight="1">
      <c r="A13" s="49">
        <v>7.0</v>
      </c>
      <c r="B13" s="50"/>
      <c r="C13" s="51"/>
      <c r="D13" s="52"/>
      <c r="E13" s="36"/>
      <c r="F13" s="53">
        <f t="shared" si="1"/>
        <v>0</v>
      </c>
      <c r="G13" s="54">
        <f t="shared" si="2"/>
        <v>0</v>
      </c>
      <c r="H13" s="52"/>
      <c r="I13" s="36"/>
      <c r="J13" s="53">
        <f t="shared" si="3"/>
        <v>0</v>
      </c>
      <c r="K13" s="54">
        <f t="shared" si="4"/>
        <v>0</v>
      </c>
      <c r="L13" s="52"/>
      <c r="M13" s="52"/>
      <c r="N13" s="53">
        <f t="shared" si="5"/>
        <v>0</v>
      </c>
      <c r="O13" s="54">
        <f t="shared" si="6"/>
        <v>0</v>
      </c>
      <c r="P13" s="36"/>
      <c r="Q13" s="52"/>
      <c r="R13" s="53">
        <f t="shared" si="7"/>
        <v>0</v>
      </c>
      <c r="S13" s="54">
        <f t="shared" si="8"/>
        <v>0</v>
      </c>
      <c r="T13" s="36"/>
      <c r="U13" s="52"/>
      <c r="V13" s="53">
        <f t="shared" si="9"/>
        <v>0</v>
      </c>
      <c r="W13" s="54">
        <f t="shared" si="10"/>
        <v>0</v>
      </c>
      <c r="X13" s="55">
        <f t="shared" si="12"/>
        <v>0</v>
      </c>
      <c r="Y13" s="36"/>
      <c r="Z13" s="56">
        <f t="shared" si="11"/>
        <v>0</v>
      </c>
      <c r="AA13" s="31"/>
      <c r="AB13" s="63"/>
      <c r="AC13" s="33"/>
      <c r="AD13" s="58"/>
      <c r="AE13" s="13"/>
      <c r="AF13" s="59" t="s">
        <v>31</v>
      </c>
      <c r="AG13" s="13"/>
      <c r="AH13" s="60" t="s">
        <v>32</v>
      </c>
      <c r="AI13" s="13"/>
      <c r="AJ13" s="13"/>
      <c r="AK13" s="13"/>
      <c r="AL13" s="13"/>
      <c r="AM13" s="13"/>
      <c r="AN13" s="13"/>
      <c r="AO13" s="13"/>
      <c r="AP13" s="13"/>
      <c r="AQ13" s="13"/>
      <c r="AR13" s="64"/>
      <c r="AS13" s="3"/>
      <c r="AT13" s="3"/>
      <c r="AU13" s="14"/>
    </row>
    <row r="14" ht="16.5" customHeight="1">
      <c r="A14" s="49">
        <v>8.0</v>
      </c>
      <c r="B14" s="50"/>
      <c r="C14" s="51"/>
      <c r="D14" s="52"/>
      <c r="E14" s="36"/>
      <c r="F14" s="53">
        <f t="shared" si="1"/>
        <v>0</v>
      </c>
      <c r="G14" s="54">
        <f t="shared" si="2"/>
        <v>0</v>
      </c>
      <c r="H14" s="52"/>
      <c r="I14" s="36"/>
      <c r="J14" s="53">
        <f t="shared" si="3"/>
        <v>0</v>
      </c>
      <c r="K14" s="54">
        <f t="shared" si="4"/>
        <v>0</v>
      </c>
      <c r="L14" s="52"/>
      <c r="M14" s="52"/>
      <c r="N14" s="53">
        <f t="shared" si="5"/>
        <v>0</v>
      </c>
      <c r="O14" s="54">
        <f t="shared" si="6"/>
        <v>0</v>
      </c>
      <c r="P14" s="36"/>
      <c r="Q14" s="52"/>
      <c r="R14" s="53">
        <f t="shared" si="7"/>
        <v>0</v>
      </c>
      <c r="S14" s="54">
        <f t="shared" si="8"/>
        <v>0</v>
      </c>
      <c r="T14" s="36"/>
      <c r="U14" s="52"/>
      <c r="V14" s="53">
        <f t="shared" si="9"/>
        <v>0</v>
      </c>
      <c r="W14" s="54">
        <f t="shared" si="10"/>
        <v>0</v>
      </c>
      <c r="X14" s="55">
        <f t="shared" si="12"/>
        <v>0</v>
      </c>
      <c r="Y14" s="36"/>
      <c r="Z14" s="56">
        <f t="shared" si="11"/>
        <v>0</v>
      </c>
      <c r="AA14" s="31"/>
      <c r="AB14" s="63" t="s">
        <v>33</v>
      </c>
      <c r="AC14" s="33"/>
      <c r="AD14" s="58"/>
      <c r="AE14" s="58"/>
      <c r="AF14" s="58"/>
      <c r="AG14" s="58"/>
      <c r="AH14" s="58"/>
      <c r="AI14" s="13"/>
      <c r="AJ14" s="13"/>
      <c r="AK14" s="65"/>
      <c r="AL14" s="65"/>
      <c r="AM14" s="66"/>
      <c r="AN14" s="67"/>
      <c r="AO14" s="67"/>
      <c r="AP14" s="67"/>
      <c r="AQ14" s="67"/>
      <c r="AR14" s="64"/>
      <c r="AS14" s="3"/>
      <c r="AT14" s="3"/>
      <c r="AU14" s="14"/>
    </row>
    <row r="15" ht="16.5" customHeight="1">
      <c r="A15" s="49">
        <v>9.0</v>
      </c>
      <c r="B15" s="50"/>
      <c r="C15" s="51"/>
      <c r="D15" s="52"/>
      <c r="E15" s="36"/>
      <c r="F15" s="53">
        <f t="shared" si="1"/>
        <v>0</v>
      </c>
      <c r="G15" s="54">
        <f t="shared" si="2"/>
        <v>0</v>
      </c>
      <c r="H15" s="52"/>
      <c r="I15" s="36"/>
      <c r="J15" s="53">
        <f t="shared" si="3"/>
        <v>0</v>
      </c>
      <c r="K15" s="54">
        <f t="shared" si="4"/>
        <v>0</v>
      </c>
      <c r="L15" s="52"/>
      <c r="M15" s="52"/>
      <c r="N15" s="53">
        <f t="shared" si="5"/>
        <v>0</v>
      </c>
      <c r="O15" s="54">
        <f t="shared" si="6"/>
        <v>0</v>
      </c>
      <c r="P15" s="36"/>
      <c r="Q15" s="52"/>
      <c r="R15" s="53">
        <f t="shared" si="7"/>
        <v>0</v>
      </c>
      <c r="S15" s="54">
        <f t="shared" si="8"/>
        <v>0</v>
      </c>
      <c r="T15" s="36"/>
      <c r="U15" s="52"/>
      <c r="V15" s="53">
        <f t="shared" si="9"/>
        <v>0</v>
      </c>
      <c r="W15" s="54">
        <f t="shared" si="10"/>
        <v>0</v>
      </c>
      <c r="X15" s="55">
        <f t="shared" si="12"/>
        <v>0</v>
      </c>
      <c r="Y15" s="36"/>
      <c r="Z15" s="56">
        <f t="shared" si="11"/>
        <v>0</v>
      </c>
      <c r="AA15" s="31"/>
      <c r="AB15" s="63"/>
      <c r="AC15" s="33"/>
      <c r="AD15" s="58"/>
      <c r="AE15" s="68" t="s">
        <v>34</v>
      </c>
      <c r="AF15" s="7"/>
      <c r="AG15" s="69">
        <v>1.0</v>
      </c>
      <c r="AH15" s="70">
        <v>50.0</v>
      </c>
      <c r="AI15" s="71" t="s">
        <v>35</v>
      </c>
      <c r="AJ15" s="9"/>
      <c r="AK15" s="9"/>
      <c r="AL15" s="9"/>
      <c r="AM15" s="9"/>
      <c r="AN15" s="9"/>
      <c r="AO15" s="9"/>
      <c r="AP15" s="9"/>
      <c r="AQ15" s="9"/>
      <c r="AR15" s="19"/>
      <c r="AS15" s="3"/>
      <c r="AT15" s="3"/>
      <c r="AU15" s="14"/>
    </row>
    <row r="16" ht="16.5" customHeight="1">
      <c r="A16" s="49">
        <v>10.0</v>
      </c>
      <c r="B16" s="50"/>
      <c r="C16" s="51"/>
      <c r="D16" s="52"/>
      <c r="E16" s="36"/>
      <c r="F16" s="53">
        <f t="shared" si="1"/>
        <v>0</v>
      </c>
      <c r="G16" s="54">
        <f t="shared" si="2"/>
        <v>0</v>
      </c>
      <c r="H16" s="52"/>
      <c r="I16" s="36"/>
      <c r="J16" s="53">
        <f t="shared" si="3"/>
        <v>0</v>
      </c>
      <c r="K16" s="54">
        <f t="shared" si="4"/>
        <v>0</v>
      </c>
      <c r="L16" s="52"/>
      <c r="M16" s="52"/>
      <c r="N16" s="53">
        <f t="shared" si="5"/>
        <v>0</v>
      </c>
      <c r="O16" s="54">
        <f t="shared" si="6"/>
        <v>0</v>
      </c>
      <c r="P16" s="36"/>
      <c r="Q16" s="52"/>
      <c r="R16" s="53">
        <f t="shared" si="7"/>
        <v>0</v>
      </c>
      <c r="S16" s="54">
        <f t="shared" si="8"/>
        <v>0</v>
      </c>
      <c r="T16" s="36"/>
      <c r="U16" s="52"/>
      <c r="V16" s="53">
        <f t="shared" si="9"/>
        <v>0</v>
      </c>
      <c r="W16" s="54">
        <f t="shared" si="10"/>
        <v>0</v>
      </c>
      <c r="X16" s="55">
        <f t="shared" si="12"/>
        <v>0</v>
      </c>
      <c r="Y16" s="36"/>
      <c r="Z16" s="56">
        <f t="shared" si="11"/>
        <v>0</v>
      </c>
      <c r="AA16" s="31"/>
      <c r="AB16" s="63"/>
      <c r="AC16" s="33"/>
      <c r="AD16" s="58"/>
      <c r="AE16" s="72"/>
      <c r="AF16" s="73"/>
      <c r="AG16" s="69">
        <v>2.0</v>
      </c>
      <c r="AH16" s="70">
        <v>60.0</v>
      </c>
      <c r="AI16" s="71" t="s">
        <v>35</v>
      </c>
      <c r="AJ16" s="9"/>
      <c r="AK16" s="9"/>
      <c r="AL16" s="9"/>
      <c r="AM16" s="9"/>
      <c r="AN16" s="9"/>
      <c r="AO16" s="9"/>
      <c r="AP16" s="9"/>
      <c r="AQ16" s="9"/>
      <c r="AR16" s="19"/>
      <c r="AS16" s="3"/>
      <c r="AT16" s="3"/>
      <c r="AU16" s="14"/>
    </row>
    <row r="17" ht="16.5" customHeight="1">
      <c r="A17" s="49">
        <v>11.0</v>
      </c>
      <c r="B17" s="50"/>
      <c r="C17" s="51"/>
      <c r="D17" s="52"/>
      <c r="E17" s="36"/>
      <c r="F17" s="53">
        <f t="shared" si="1"/>
        <v>0</v>
      </c>
      <c r="G17" s="54">
        <f t="shared" si="2"/>
        <v>0</v>
      </c>
      <c r="H17" s="52"/>
      <c r="I17" s="36"/>
      <c r="J17" s="53">
        <f t="shared" si="3"/>
        <v>0</v>
      </c>
      <c r="K17" s="54">
        <f t="shared" si="4"/>
        <v>0</v>
      </c>
      <c r="L17" s="52"/>
      <c r="M17" s="52"/>
      <c r="N17" s="53">
        <f t="shared" si="5"/>
        <v>0</v>
      </c>
      <c r="O17" s="54">
        <f t="shared" si="6"/>
        <v>0</v>
      </c>
      <c r="P17" s="36"/>
      <c r="Q17" s="52"/>
      <c r="R17" s="53">
        <f t="shared" si="7"/>
        <v>0</v>
      </c>
      <c r="S17" s="54">
        <f t="shared" si="8"/>
        <v>0</v>
      </c>
      <c r="T17" s="36"/>
      <c r="U17" s="52"/>
      <c r="V17" s="53">
        <f t="shared" si="9"/>
        <v>0</v>
      </c>
      <c r="W17" s="54">
        <f t="shared" si="10"/>
        <v>0</v>
      </c>
      <c r="X17" s="55">
        <f t="shared" si="12"/>
        <v>0</v>
      </c>
      <c r="Y17" s="36"/>
      <c r="Z17" s="56">
        <f t="shared" si="11"/>
        <v>0</v>
      </c>
      <c r="AA17" s="31"/>
      <c r="AB17" s="63"/>
      <c r="AC17" s="33"/>
      <c r="AD17" s="58"/>
      <c r="AE17" s="74"/>
      <c r="AF17" s="75"/>
      <c r="AG17" s="69">
        <v>3.0</v>
      </c>
      <c r="AH17" s="76">
        <v>70.0</v>
      </c>
      <c r="AI17" s="77" t="s">
        <v>35</v>
      </c>
      <c r="AJ17" s="9"/>
      <c r="AK17" s="9"/>
      <c r="AL17" s="9"/>
      <c r="AM17" s="9"/>
      <c r="AN17" s="9"/>
      <c r="AO17" s="9"/>
      <c r="AP17" s="9"/>
      <c r="AQ17" s="9"/>
      <c r="AR17" s="19"/>
      <c r="AS17" s="3"/>
      <c r="AT17" s="3"/>
      <c r="AU17" s="14"/>
    </row>
    <row r="18" ht="16.5" customHeight="1">
      <c r="A18" s="49">
        <v>12.0</v>
      </c>
      <c r="B18" s="50"/>
      <c r="C18" s="51"/>
      <c r="D18" s="52"/>
      <c r="E18" s="36"/>
      <c r="F18" s="53">
        <f t="shared" si="1"/>
        <v>0</v>
      </c>
      <c r="G18" s="54">
        <f t="shared" si="2"/>
        <v>0</v>
      </c>
      <c r="H18" s="52"/>
      <c r="I18" s="36"/>
      <c r="J18" s="53">
        <f t="shared" si="3"/>
        <v>0</v>
      </c>
      <c r="K18" s="54">
        <f t="shared" si="4"/>
        <v>0</v>
      </c>
      <c r="L18" s="52"/>
      <c r="M18" s="52"/>
      <c r="N18" s="53">
        <f t="shared" si="5"/>
        <v>0</v>
      </c>
      <c r="O18" s="54">
        <f t="shared" si="6"/>
        <v>0</v>
      </c>
      <c r="P18" s="36"/>
      <c r="Q18" s="52"/>
      <c r="R18" s="53">
        <f t="shared" si="7"/>
        <v>0</v>
      </c>
      <c r="S18" s="54">
        <f t="shared" si="8"/>
        <v>0</v>
      </c>
      <c r="T18" s="36"/>
      <c r="U18" s="52"/>
      <c r="V18" s="53">
        <f t="shared" si="9"/>
        <v>0</v>
      </c>
      <c r="W18" s="54">
        <f t="shared" si="10"/>
        <v>0</v>
      </c>
      <c r="X18" s="55">
        <f t="shared" si="12"/>
        <v>0</v>
      </c>
      <c r="Y18" s="36"/>
      <c r="Z18" s="56">
        <f t="shared" si="11"/>
        <v>0</v>
      </c>
      <c r="AA18" s="31"/>
      <c r="AB18" s="63"/>
      <c r="AC18" s="33"/>
      <c r="AD18" s="58"/>
      <c r="AE18" s="78" t="s">
        <v>36</v>
      </c>
      <c r="AF18" s="9"/>
      <c r="AG18" s="9"/>
      <c r="AH18" s="9"/>
      <c r="AI18" s="9"/>
      <c r="AJ18" s="9"/>
      <c r="AK18" s="9"/>
      <c r="AL18" s="10"/>
      <c r="AM18" s="79" t="s">
        <v>37</v>
      </c>
      <c r="AN18" s="9"/>
      <c r="AO18" s="9"/>
      <c r="AP18" s="9"/>
      <c r="AQ18" s="9"/>
      <c r="AR18" s="19"/>
      <c r="AS18" s="3"/>
      <c r="AT18" s="3"/>
      <c r="AU18" s="14"/>
    </row>
    <row r="19" ht="16.5" customHeight="1">
      <c r="A19" s="49">
        <v>13.0</v>
      </c>
      <c r="B19" s="50"/>
      <c r="C19" s="51"/>
      <c r="D19" s="52"/>
      <c r="E19" s="36"/>
      <c r="F19" s="53">
        <f t="shared" si="1"/>
        <v>0</v>
      </c>
      <c r="G19" s="54">
        <f t="shared" si="2"/>
        <v>0</v>
      </c>
      <c r="H19" s="52"/>
      <c r="I19" s="36"/>
      <c r="J19" s="53">
        <f t="shared" si="3"/>
        <v>0</v>
      </c>
      <c r="K19" s="54">
        <f t="shared" si="4"/>
        <v>0</v>
      </c>
      <c r="L19" s="52"/>
      <c r="M19" s="52"/>
      <c r="N19" s="53">
        <f t="shared" si="5"/>
        <v>0</v>
      </c>
      <c r="O19" s="54">
        <f t="shared" si="6"/>
        <v>0</v>
      </c>
      <c r="P19" s="36"/>
      <c r="Q19" s="52"/>
      <c r="R19" s="53">
        <f t="shared" si="7"/>
        <v>0</v>
      </c>
      <c r="S19" s="54">
        <f t="shared" si="8"/>
        <v>0</v>
      </c>
      <c r="T19" s="36"/>
      <c r="U19" s="52"/>
      <c r="V19" s="53">
        <f t="shared" si="9"/>
        <v>0</v>
      </c>
      <c r="W19" s="54">
        <f t="shared" si="10"/>
        <v>0</v>
      </c>
      <c r="X19" s="55">
        <f t="shared" si="12"/>
        <v>0</v>
      </c>
      <c r="Y19" s="36"/>
      <c r="Z19" s="56">
        <f t="shared" si="11"/>
        <v>0</v>
      </c>
      <c r="AA19" s="31"/>
      <c r="AB19" s="63"/>
      <c r="AC19" s="33"/>
      <c r="AD19" s="58"/>
      <c r="AE19" s="80" t="s">
        <v>2</v>
      </c>
      <c r="AF19" s="9"/>
      <c r="AG19" s="9"/>
      <c r="AH19" s="9"/>
      <c r="AI19" s="9"/>
      <c r="AJ19" s="9"/>
      <c r="AK19" s="19"/>
      <c r="AL19" s="81">
        <v>0.2</v>
      </c>
      <c r="AM19" s="82">
        <v>0.9</v>
      </c>
      <c r="AN19" s="6"/>
      <c r="AO19" s="6"/>
      <c r="AP19" s="6"/>
      <c r="AQ19" s="6"/>
      <c r="AR19" s="7"/>
      <c r="AS19" s="3"/>
      <c r="AT19" s="3"/>
      <c r="AU19" s="14"/>
    </row>
    <row r="20" ht="16.5" customHeight="1">
      <c r="A20" s="49">
        <v>14.0</v>
      </c>
      <c r="B20" s="50"/>
      <c r="C20" s="51"/>
      <c r="D20" s="52"/>
      <c r="E20" s="36"/>
      <c r="F20" s="53">
        <f t="shared" si="1"/>
        <v>0</v>
      </c>
      <c r="G20" s="54">
        <f t="shared" si="2"/>
        <v>0</v>
      </c>
      <c r="H20" s="52"/>
      <c r="I20" s="36"/>
      <c r="J20" s="53">
        <f t="shared" si="3"/>
        <v>0</v>
      </c>
      <c r="K20" s="54">
        <f t="shared" si="4"/>
        <v>0</v>
      </c>
      <c r="L20" s="52"/>
      <c r="M20" s="52"/>
      <c r="N20" s="53">
        <f t="shared" si="5"/>
        <v>0</v>
      </c>
      <c r="O20" s="54">
        <f t="shared" si="6"/>
        <v>0</v>
      </c>
      <c r="P20" s="36"/>
      <c r="Q20" s="52"/>
      <c r="R20" s="53">
        <f t="shared" si="7"/>
        <v>0</v>
      </c>
      <c r="S20" s="54">
        <f t="shared" si="8"/>
        <v>0</v>
      </c>
      <c r="T20" s="36"/>
      <c r="U20" s="52"/>
      <c r="V20" s="53">
        <f t="shared" si="9"/>
        <v>0</v>
      </c>
      <c r="W20" s="54">
        <f t="shared" si="10"/>
        <v>0</v>
      </c>
      <c r="X20" s="55">
        <f t="shared" si="12"/>
        <v>0</v>
      </c>
      <c r="Y20" s="36"/>
      <c r="Z20" s="56">
        <f t="shared" si="11"/>
        <v>0</v>
      </c>
      <c r="AA20" s="31"/>
      <c r="AB20" s="63"/>
      <c r="AC20" s="33"/>
      <c r="AD20" s="58"/>
      <c r="AE20" s="80" t="s">
        <v>3</v>
      </c>
      <c r="AF20" s="9"/>
      <c r="AG20" s="9"/>
      <c r="AH20" s="9"/>
      <c r="AI20" s="9"/>
      <c r="AJ20" s="9"/>
      <c r="AK20" s="19"/>
      <c r="AL20" s="81">
        <v>0.8</v>
      </c>
      <c r="AM20" s="74"/>
      <c r="AN20" s="83"/>
      <c r="AO20" s="83"/>
      <c r="AP20" s="83"/>
      <c r="AQ20" s="83"/>
      <c r="AR20" s="75"/>
      <c r="AS20" s="3"/>
      <c r="AT20" s="3"/>
      <c r="AU20" s="14"/>
    </row>
    <row r="21" ht="16.5" customHeight="1">
      <c r="A21" s="49">
        <v>15.0</v>
      </c>
      <c r="B21" s="50"/>
      <c r="C21" s="51"/>
      <c r="D21" s="52"/>
      <c r="E21" s="36"/>
      <c r="F21" s="53">
        <f t="shared" si="1"/>
        <v>0</v>
      </c>
      <c r="G21" s="54">
        <f t="shared" si="2"/>
        <v>0</v>
      </c>
      <c r="H21" s="52"/>
      <c r="I21" s="36"/>
      <c r="J21" s="53">
        <f t="shared" si="3"/>
        <v>0</v>
      </c>
      <c r="K21" s="54">
        <f t="shared" si="4"/>
        <v>0</v>
      </c>
      <c r="L21" s="52"/>
      <c r="M21" s="52"/>
      <c r="N21" s="53">
        <f t="shared" si="5"/>
        <v>0</v>
      </c>
      <c r="O21" s="54">
        <f t="shared" si="6"/>
        <v>0</v>
      </c>
      <c r="P21" s="36"/>
      <c r="Q21" s="52"/>
      <c r="R21" s="53">
        <f t="shared" si="7"/>
        <v>0</v>
      </c>
      <c r="S21" s="54">
        <f t="shared" si="8"/>
        <v>0</v>
      </c>
      <c r="T21" s="36"/>
      <c r="U21" s="52"/>
      <c r="V21" s="53">
        <f t="shared" si="9"/>
        <v>0</v>
      </c>
      <c r="W21" s="54">
        <f t="shared" si="10"/>
        <v>0</v>
      </c>
      <c r="X21" s="55">
        <f t="shared" si="12"/>
        <v>0</v>
      </c>
      <c r="Y21" s="36"/>
      <c r="Z21" s="56">
        <f t="shared" si="11"/>
        <v>0</v>
      </c>
      <c r="AA21" s="31"/>
      <c r="AB21" s="63"/>
      <c r="AC21" s="33"/>
      <c r="AD21" s="58"/>
      <c r="AE21" s="84" t="s">
        <v>38</v>
      </c>
      <c r="AF21" s="9"/>
      <c r="AG21" s="9"/>
      <c r="AH21" s="9"/>
      <c r="AI21" s="9"/>
      <c r="AJ21" s="9"/>
      <c r="AK21" s="9"/>
      <c r="AL21" s="10"/>
      <c r="AM21" s="85">
        <v>0.1</v>
      </c>
      <c r="AN21" s="9"/>
      <c r="AO21" s="9"/>
      <c r="AP21" s="9"/>
      <c r="AQ21" s="9"/>
      <c r="AR21" s="19"/>
      <c r="AS21" s="3"/>
      <c r="AT21" s="3"/>
      <c r="AU21" s="14"/>
    </row>
    <row r="22" ht="16.5" customHeight="1">
      <c r="A22" s="49">
        <v>16.0</v>
      </c>
      <c r="B22" s="50"/>
      <c r="C22" s="51"/>
      <c r="D22" s="52"/>
      <c r="E22" s="36"/>
      <c r="F22" s="53">
        <f t="shared" si="1"/>
        <v>0</v>
      </c>
      <c r="G22" s="54">
        <f t="shared" si="2"/>
        <v>0</v>
      </c>
      <c r="H22" s="52"/>
      <c r="I22" s="36"/>
      <c r="J22" s="53">
        <f t="shared" si="3"/>
        <v>0</v>
      </c>
      <c r="K22" s="54">
        <f t="shared" si="4"/>
        <v>0</v>
      </c>
      <c r="L22" s="52"/>
      <c r="M22" s="52"/>
      <c r="N22" s="53">
        <f t="shared" si="5"/>
        <v>0</v>
      </c>
      <c r="O22" s="54">
        <f t="shared" si="6"/>
        <v>0</v>
      </c>
      <c r="P22" s="36"/>
      <c r="Q22" s="52"/>
      <c r="R22" s="53">
        <f t="shared" si="7"/>
        <v>0</v>
      </c>
      <c r="S22" s="54">
        <f t="shared" si="8"/>
        <v>0</v>
      </c>
      <c r="T22" s="36"/>
      <c r="U22" s="52"/>
      <c r="V22" s="53">
        <f t="shared" si="9"/>
        <v>0</v>
      </c>
      <c r="W22" s="54">
        <f t="shared" si="10"/>
        <v>0</v>
      </c>
      <c r="X22" s="55">
        <f t="shared" si="12"/>
        <v>0</v>
      </c>
      <c r="Y22" s="36"/>
      <c r="Z22" s="56">
        <f t="shared" si="11"/>
        <v>0</v>
      </c>
      <c r="AA22" s="31"/>
      <c r="AB22" s="63"/>
      <c r="AC22" s="33"/>
      <c r="AD22" s="58"/>
      <c r="AE22" s="13"/>
      <c r="AF22" s="13"/>
      <c r="AG22" s="86"/>
      <c r="AH22" s="86"/>
      <c r="AI22" s="13"/>
      <c r="AJ22" s="86"/>
      <c r="AK22" s="86"/>
      <c r="AL22" s="86"/>
      <c r="AM22" s="61"/>
      <c r="AN22" s="42"/>
      <c r="AO22" s="42"/>
      <c r="AP22" s="42"/>
      <c r="AQ22" s="13"/>
      <c r="AR22" s="64"/>
      <c r="AS22" s="3"/>
      <c r="AT22" s="3"/>
      <c r="AU22" s="14"/>
    </row>
    <row r="23" ht="16.5" customHeight="1">
      <c r="A23" s="49">
        <v>17.0</v>
      </c>
      <c r="B23" s="50"/>
      <c r="C23" s="51"/>
      <c r="D23" s="52"/>
      <c r="E23" s="36"/>
      <c r="F23" s="53">
        <f t="shared" si="1"/>
        <v>0</v>
      </c>
      <c r="G23" s="54">
        <f t="shared" si="2"/>
        <v>0</v>
      </c>
      <c r="H23" s="52"/>
      <c r="I23" s="36"/>
      <c r="J23" s="53">
        <f t="shared" si="3"/>
        <v>0</v>
      </c>
      <c r="K23" s="54">
        <f t="shared" si="4"/>
        <v>0</v>
      </c>
      <c r="L23" s="52"/>
      <c r="M23" s="52"/>
      <c r="N23" s="53">
        <f t="shared" si="5"/>
        <v>0</v>
      </c>
      <c r="O23" s="54">
        <f t="shared" si="6"/>
        <v>0</v>
      </c>
      <c r="P23" s="36"/>
      <c r="Q23" s="52"/>
      <c r="R23" s="53">
        <f t="shared" si="7"/>
        <v>0</v>
      </c>
      <c r="S23" s="54">
        <f t="shared" si="8"/>
        <v>0</v>
      </c>
      <c r="T23" s="36"/>
      <c r="U23" s="52"/>
      <c r="V23" s="53">
        <f t="shared" si="9"/>
        <v>0</v>
      </c>
      <c r="W23" s="54">
        <f t="shared" si="10"/>
        <v>0</v>
      </c>
      <c r="X23" s="55">
        <f t="shared" si="12"/>
        <v>0</v>
      </c>
      <c r="Y23" s="36"/>
      <c r="Z23" s="56">
        <f t="shared" si="11"/>
        <v>0</v>
      </c>
      <c r="AA23" s="31"/>
      <c r="AB23" s="63"/>
      <c r="AC23" s="33"/>
      <c r="AD23" s="58"/>
      <c r="AE23" s="87" t="s">
        <v>39</v>
      </c>
      <c r="AF23" s="87" t="s">
        <v>40</v>
      </c>
      <c r="AG23" s="88"/>
      <c r="AH23" s="88"/>
      <c r="AI23" s="13"/>
      <c r="AJ23" s="88"/>
      <c r="AK23" s="88"/>
      <c r="AL23" s="88"/>
      <c r="AM23" s="61"/>
      <c r="AN23" s="42"/>
      <c r="AO23" s="42"/>
      <c r="AP23" s="42"/>
      <c r="AQ23" s="13"/>
      <c r="AR23" s="64"/>
      <c r="AS23" s="3"/>
      <c r="AT23" s="3"/>
      <c r="AU23" s="14"/>
    </row>
    <row r="24" ht="16.5" customHeight="1">
      <c r="A24" s="49">
        <v>18.0</v>
      </c>
      <c r="B24" s="50"/>
      <c r="C24" s="51"/>
      <c r="D24" s="52"/>
      <c r="E24" s="36"/>
      <c r="F24" s="53">
        <f t="shared" si="1"/>
        <v>0</v>
      </c>
      <c r="G24" s="54">
        <f t="shared" si="2"/>
        <v>0</v>
      </c>
      <c r="H24" s="52"/>
      <c r="I24" s="36"/>
      <c r="J24" s="53">
        <f t="shared" si="3"/>
        <v>0</v>
      </c>
      <c r="K24" s="54">
        <f t="shared" si="4"/>
        <v>0</v>
      </c>
      <c r="L24" s="52"/>
      <c r="M24" s="52"/>
      <c r="N24" s="53">
        <f t="shared" si="5"/>
        <v>0</v>
      </c>
      <c r="O24" s="54">
        <f t="shared" si="6"/>
        <v>0</v>
      </c>
      <c r="P24" s="36"/>
      <c r="Q24" s="52"/>
      <c r="R24" s="53">
        <f t="shared" si="7"/>
        <v>0</v>
      </c>
      <c r="S24" s="54">
        <f t="shared" si="8"/>
        <v>0</v>
      </c>
      <c r="T24" s="36"/>
      <c r="U24" s="52"/>
      <c r="V24" s="53">
        <f t="shared" si="9"/>
        <v>0</v>
      </c>
      <c r="W24" s="54">
        <f t="shared" si="10"/>
        <v>0</v>
      </c>
      <c r="X24" s="55">
        <f t="shared" si="12"/>
        <v>0</v>
      </c>
      <c r="Y24" s="36"/>
      <c r="Z24" s="56">
        <f t="shared" si="11"/>
        <v>0</v>
      </c>
      <c r="AA24" s="31"/>
      <c r="AB24" s="63"/>
      <c r="AC24" s="33"/>
      <c r="AD24" s="58"/>
      <c r="AE24" s="89"/>
      <c r="AF24" s="89"/>
      <c r="AG24" s="42"/>
      <c r="AH24" s="42"/>
      <c r="AI24" s="42"/>
      <c r="AJ24" s="86"/>
      <c r="AK24" s="86"/>
      <c r="AL24" s="86"/>
      <c r="AM24" s="42"/>
      <c r="AN24" s="42"/>
      <c r="AO24" s="42"/>
      <c r="AP24" s="42"/>
      <c r="AQ24" s="13"/>
      <c r="AR24" s="64"/>
      <c r="AS24" s="3"/>
      <c r="AT24" s="3"/>
      <c r="AU24" s="14"/>
    </row>
    <row r="25" ht="16.5" customHeight="1">
      <c r="A25" s="49">
        <v>19.0</v>
      </c>
      <c r="B25" s="50"/>
      <c r="C25" s="51"/>
      <c r="D25" s="52"/>
      <c r="E25" s="36"/>
      <c r="F25" s="53">
        <f t="shared" si="1"/>
        <v>0</v>
      </c>
      <c r="G25" s="54">
        <f t="shared" si="2"/>
        <v>0</v>
      </c>
      <c r="H25" s="52"/>
      <c r="I25" s="36"/>
      <c r="J25" s="53">
        <f t="shared" si="3"/>
        <v>0</v>
      </c>
      <c r="K25" s="54">
        <f t="shared" si="4"/>
        <v>0</v>
      </c>
      <c r="L25" s="52"/>
      <c r="M25" s="52"/>
      <c r="N25" s="53">
        <f t="shared" si="5"/>
        <v>0</v>
      </c>
      <c r="O25" s="54">
        <f t="shared" si="6"/>
        <v>0</v>
      </c>
      <c r="P25" s="36"/>
      <c r="Q25" s="52"/>
      <c r="R25" s="53">
        <f t="shared" si="7"/>
        <v>0</v>
      </c>
      <c r="S25" s="54">
        <f t="shared" si="8"/>
        <v>0</v>
      </c>
      <c r="T25" s="36"/>
      <c r="U25" s="52"/>
      <c r="V25" s="53">
        <f t="shared" si="9"/>
        <v>0</v>
      </c>
      <c r="W25" s="54">
        <f t="shared" si="10"/>
        <v>0</v>
      </c>
      <c r="X25" s="55">
        <f t="shared" si="12"/>
        <v>0</v>
      </c>
      <c r="Y25" s="36"/>
      <c r="Z25" s="56">
        <f t="shared" si="11"/>
        <v>0</v>
      </c>
      <c r="AA25" s="31"/>
      <c r="AB25" s="63"/>
      <c r="AC25" s="33"/>
      <c r="AD25" s="58"/>
      <c r="AE25" s="90" t="s">
        <v>41</v>
      </c>
      <c r="AF25" s="91">
        <f>(((G145*AL19)+(AB145*AL20)) * AM19) + (AK42*AM21)</f>
        <v>0.3</v>
      </c>
      <c r="AG25" s="58"/>
      <c r="AH25" s="58"/>
      <c r="AI25" s="13"/>
      <c r="AJ25" s="13"/>
      <c r="AK25" s="65"/>
      <c r="AL25" s="65"/>
      <c r="AM25" s="66"/>
      <c r="AN25" s="67"/>
      <c r="AO25" s="67"/>
      <c r="AP25" s="67"/>
      <c r="AQ25" s="67"/>
      <c r="AR25" s="64"/>
      <c r="AS25" s="3"/>
      <c r="AT25" s="3"/>
      <c r="AU25" s="14"/>
    </row>
    <row r="26" ht="16.5" customHeight="1">
      <c r="A26" s="49">
        <v>20.0</v>
      </c>
      <c r="B26" s="50"/>
      <c r="C26" s="51"/>
      <c r="D26" s="52"/>
      <c r="E26" s="36"/>
      <c r="F26" s="53">
        <f t="shared" si="1"/>
        <v>0</v>
      </c>
      <c r="G26" s="54">
        <f t="shared" si="2"/>
        <v>0</v>
      </c>
      <c r="H26" s="52"/>
      <c r="I26" s="36"/>
      <c r="J26" s="53">
        <f t="shared" si="3"/>
        <v>0</v>
      </c>
      <c r="K26" s="54">
        <f t="shared" si="4"/>
        <v>0</v>
      </c>
      <c r="L26" s="52"/>
      <c r="M26" s="52"/>
      <c r="N26" s="53">
        <f t="shared" si="5"/>
        <v>0</v>
      </c>
      <c r="O26" s="54">
        <f t="shared" si="6"/>
        <v>0</v>
      </c>
      <c r="P26" s="36"/>
      <c r="Q26" s="52"/>
      <c r="R26" s="53">
        <f t="shared" si="7"/>
        <v>0</v>
      </c>
      <c r="S26" s="54">
        <f t="shared" si="8"/>
        <v>0</v>
      </c>
      <c r="T26" s="36"/>
      <c r="U26" s="52"/>
      <c r="V26" s="53">
        <f t="shared" si="9"/>
        <v>0</v>
      </c>
      <c r="W26" s="54">
        <f t="shared" si="10"/>
        <v>0</v>
      </c>
      <c r="X26" s="55">
        <f t="shared" si="12"/>
        <v>0</v>
      </c>
      <c r="Y26" s="36"/>
      <c r="Z26" s="56">
        <f t="shared" si="11"/>
        <v>0</v>
      </c>
      <c r="AA26" s="31"/>
      <c r="AB26" s="63"/>
      <c r="AC26" s="33"/>
      <c r="AD26" s="58"/>
      <c r="AE26" s="90" t="s">
        <v>42</v>
      </c>
      <c r="AF26" s="92">
        <f>(((K145*AL19)+(AB145*AL20)) * AM19) + (AL42*AM21)</f>
        <v>0.3</v>
      </c>
      <c r="AG26" s="58"/>
      <c r="AH26" s="58"/>
      <c r="AI26" s="13"/>
      <c r="AJ26" s="13"/>
      <c r="AK26" s="65"/>
      <c r="AL26" s="65"/>
      <c r="AM26" s="66"/>
      <c r="AN26" s="67"/>
      <c r="AO26" s="67"/>
      <c r="AP26" s="67"/>
      <c r="AQ26" s="67"/>
      <c r="AR26" s="64"/>
      <c r="AS26" s="3"/>
      <c r="AT26" s="3"/>
      <c r="AU26" s="14"/>
    </row>
    <row r="27" ht="16.5" customHeight="1">
      <c r="A27" s="49">
        <v>21.0</v>
      </c>
      <c r="B27" s="50"/>
      <c r="C27" s="51"/>
      <c r="D27" s="52"/>
      <c r="E27" s="36"/>
      <c r="F27" s="53">
        <f t="shared" si="1"/>
        <v>0</v>
      </c>
      <c r="G27" s="54">
        <f t="shared" si="2"/>
        <v>0</v>
      </c>
      <c r="H27" s="52"/>
      <c r="I27" s="36"/>
      <c r="J27" s="53">
        <f t="shared" si="3"/>
        <v>0</v>
      </c>
      <c r="K27" s="54">
        <f t="shared" si="4"/>
        <v>0</v>
      </c>
      <c r="L27" s="52"/>
      <c r="M27" s="52"/>
      <c r="N27" s="53">
        <f t="shared" si="5"/>
        <v>0</v>
      </c>
      <c r="O27" s="54">
        <f t="shared" si="6"/>
        <v>0</v>
      </c>
      <c r="P27" s="36"/>
      <c r="Q27" s="52"/>
      <c r="R27" s="53">
        <f t="shared" si="7"/>
        <v>0</v>
      </c>
      <c r="S27" s="54">
        <f t="shared" si="8"/>
        <v>0</v>
      </c>
      <c r="T27" s="36"/>
      <c r="U27" s="52"/>
      <c r="V27" s="53">
        <f t="shared" si="9"/>
        <v>0</v>
      </c>
      <c r="W27" s="54">
        <f t="shared" si="10"/>
        <v>0</v>
      </c>
      <c r="X27" s="55">
        <f t="shared" si="12"/>
        <v>0</v>
      </c>
      <c r="Y27" s="36"/>
      <c r="Z27" s="56">
        <f t="shared" si="11"/>
        <v>0</v>
      </c>
      <c r="AA27" s="31"/>
      <c r="AB27" s="63"/>
      <c r="AC27" s="33"/>
      <c r="AD27" s="58"/>
      <c r="AE27" s="90" t="s">
        <v>43</v>
      </c>
      <c r="AF27" s="92">
        <f>(((O145*AL19)+(AB145*AL20)) * AM19) + (AM42*AM21)</f>
        <v>0.3</v>
      </c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64"/>
      <c r="AS27" s="3"/>
      <c r="AT27" s="3"/>
      <c r="AU27" s="14"/>
    </row>
    <row r="28" ht="16.5" customHeight="1">
      <c r="A28" s="49">
        <v>22.0</v>
      </c>
      <c r="B28" s="50"/>
      <c r="C28" s="51"/>
      <c r="D28" s="52"/>
      <c r="E28" s="36"/>
      <c r="F28" s="53">
        <f t="shared" si="1"/>
        <v>0</v>
      </c>
      <c r="G28" s="54">
        <f t="shared" si="2"/>
        <v>0</v>
      </c>
      <c r="H28" s="52"/>
      <c r="I28" s="36"/>
      <c r="J28" s="53">
        <f t="shared" si="3"/>
        <v>0</v>
      </c>
      <c r="K28" s="54">
        <f t="shared" si="4"/>
        <v>0</v>
      </c>
      <c r="L28" s="52"/>
      <c r="M28" s="52"/>
      <c r="N28" s="53">
        <f t="shared" si="5"/>
        <v>0</v>
      </c>
      <c r="O28" s="54">
        <f t="shared" si="6"/>
        <v>0</v>
      </c>
      <c r="P28" s="36"/>
      <c r="Q28" s="52"/>
      <c r="R28" s="53">
        <f t="shared" si="7"/>
        <v>0</v>
      </c>
      <c r="S28" s="54">
        <f t="shared" si="8"/>
        <v>0</v>
      </c>
      <c r="T28" s="36"/>
      <c r="U28" s="52"/>
      <c r="V28" s="53">
        <f t="shared" si="9"/>
        <v>0</v>
      </c>
      <c r="W28" s="54">
        <f t="shared" si="10"/>
        <v>0</v>
      </c>
      <c r="X28" s="55">
        <f t="shared" si="12"/>
        <v>0</v>
      </c>
      <c r="Y28" s="36"/>
      <c r="Z28" s="56">
        <f t="shared" si="11"/>
        <v>0</v>
      </c>
      <c r="AA28" s="31"/>
      <c r="AB28" s="63"/>
      <c r="AC28" s="33"/>
      <c r="AD28" s="58"/>
      <c r="AE28" s="90" t="s">
        <v>44</v>
      </c>
      <c r="AF28" s="92">
        <f>(((S145*AL19)+(AB145*AL20)) * AM19) + (AN42*AM21)</f>
        <v>0.3</v>
      </c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64"/>
      <c r="AS28" s="3"/>
      <c r="AT28" s="3"/>
      <c r="AU28" s="14"/>
    </row>
    <row r="29" ht="16.5" customHeight="1">
      <c r="A29" s="49">
        <v>23.0</v>
      </c>
      <c r="B29" s="50"/>
      <c r="C29" s="51"/>
      <c r="D29" s="52"/>
      <c r="E29" s="36"/>
      <c r="F29" s="53">
        <f t="shared" si="1"/>
        <v>0</v>
      </c>
      <c r="G29" s="54">
        <f t="shared" si="2"/>
        <v>0</v>
      </c>
      <c r="H29" s="52"/>
      <c r="I29" s="36"/>
      <c r="J29" s="53">
        <f t="shared" si="3"/>
        <v>0</v>
      </c>
      <c r="K29" s="54">
        <f t="shared" si="4"/>
        <v>0</v>
      </c>
      <c r="L29" s="52"/>
      <c r="M29" s="52"/>
      <c r="N29" s="53">
        <f t="shared" si="5"/>
        <v>0</v>
      </c>
      <c r="O29" s="54">
        <f t="shared" si="6"/>
        <v>0</v>
      </c>
      <c r="P29" s="36"/>
      <c r="Q29" s="52"/>
      <c r="R29" s="53">
        <f t="shared" si="7"/>
        <v>0</v>
      </c>
      <c r="S29" s="54">
        <f t="shared" si="8"/>
        <v>0</v>
      </c>
      <c r="T29" s="36"/>
      <c r="U29" s="52"/>
      <c r="V29" s="53">
        <f t="shared" si="9"/>
        <v>0</v>
      </c>
      <c r="W29" s="54">
        <f t="shared" si="10"/>
        <v>0</v>
      </c>
      <c r="X29" s="55">
        <f t="shared" si="12"/>
        <v>0</v>
      </c>
      <c r="Y29" s="36"/>
      <c r="Z29" s="56">
        <f t="shared" si="11"/>
        <v>0</v>
      </c>
      <c r="AA29" s="31"/>
      <c r="AB29" s="63"/>
      <c r="AC29" s="33"/>
      <c r="AD29" s="58"/>
      <c r="AE29" s="90" t="s">
        <v>45</v>
      </c>
      <c r="AF29" s="93">
        <f>(((W145*AL19)+(AB145*AL20)) * AM19) + (AO42*AM21)</f>
        <v>0.3</v>
      </c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64"/>
      <c r="AS29" s="3"/>
      <c r="AT29" s="3"/>
      <c r="AU29" s="14"/>
    </row>
    <row r="30" ht="16.5" customHeight="1">
      <c r="A30" s="49">
        <v>24.0</v>
      </c>
      <c r="B30" s="50"/>
      <c r="C30" s="51"/>
      <c r="D30" s="52"/>
      <c r="E30" s="36"/>
      <c r="F30" s="53">
        <f t="shared" si="1"/>
        <v>0</v>
      </c>
      <c r="G30" s="54">
        <f t="shared" si="2"/>
        <v>0</v>
      </c>
      <c r="H30" s="52"/>
      <c r="I30" s="36"/>
      <c r="J30" s="53">
        <f t="shared" si="3"/>
        <v>0</v>
      </c>
      <c r="K30" s="54">
        <f t="shared" si="4"/>
        <v>0</v>
      </c>
      <c r="L30" s="52"/>
      <c r="M30" s="52"/>
      <c r="N30" s="53">
        <f t="shared" si="5"/>
        <v>0</v>
      </c>
      <c r="O30" s="54">
        <f t="shared" si="6"/>
        <v>0</v>
      </c>
      <c r="P30" s="36"/>
      <c r="Q30" s="52"/>
      <c r="R30" s="53">
        <f t="shared" si="7"/>
        <v>0</v>
      </c>
      <c r="S30" s="54">
        <f t="shared" si="8"/>
        <v>0</v>
      </c>
      <c r="T30" s="36"/>
      <c r="U30" s="52"/>
      <c r="V30" s="53">
        <f t="shared" si="9"/>
        <v>0</v>
      </c>
      <c r="W30" s="54">
        <f t="shared" si="10"/>
        <v>0</v>
      </c>
      <c r="X30" s="55">
        <f t="shared" si="12"/>
        <v>0</v>
      </c>
      <c r="Y30" s="36"/>
      <c r="Z30" s="56">
        <f t="shared" si="11"/>
        <v>0</v>
      </c>
      <c r="AA30" s="31"/>
      <c r="AB30" s="63"/>
      <c r="AC30" s="33"/>
      <c r="AD30" s="58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64"/>
      <c r="AS30" s="3"/>
      <c r="AT30" s="3"/>
      <c r="AU30" s="14"/>
    </row>
    <row r="31" ht="16.5" customHeight="1">
      <c r="A31" s="49">
        <v>25.0</v>
      </c>
      <c r="B31" s="50"/>
      <c r="C31" s="51"/>
      <c r="D31" s="52"/>
      <c r="E31" s="36"/>
      <c r="F31" s="53">
        <f t="shared" si="1"/>
        <v>0</v>
      </c>
      <c r="G31" s="54">
        <f t="shared" si="2"/>
        <v>0</v>
      </c>
      <c r="H31" s="52"/>
      <c r="I31" s="36"/>
      <c r="J31" s="53">
        <f t="shared" si="3"/>
        <v>0</v>
      </c>
      <c r="K31" s="54">
        <f t="shared" si="4"/>
        <v>0</v>
      </c>
      <c r="L31" s="52"/>
      <c r="M31" s="52"/>
      <c r="N31" s="53">
        <f t="shared" si="5"/>
        <v>0</v>
      </c>
      <c r="O31" s="54">
        <f t="shared" si="6"/>
        <v>0</v>
      </c>
      <c r="P31" s="36"/>
      <c r="Q31" s="52"/>
      <c r="R31" s="53">
        <f t="shared" si="7"/>
        <v>0</v>
      </c>
      <c r="S31" s="54">
        <f t="shared" si="8"/>
        <v>0</v>
      </c>
      <c r="T31" s="36"/>
      <c r="U31" s="52"/>
      <c r="V31" s="53">
        <f t="shared" si="9"/>
        <v>0</v>
      </c>
      <c r="W31" s="54">
        <f t="shared" si="10"/>
        <v>0</v>
      </c>
      <c r="X31" s="55">
        <f t="shared" si="12"/>
        <v>0</v>
      </c>
      <c r="Y31" s="36"/>
      <c r="Z31" s="56">
        <f t="shared" si="11"/>
        <v>0</v>
      </c>
      <c r="AA31" s="31"/>
      <c r="AB31" s="63"/>
      <c r="AC31" s="33"/>
      <c r="AD31" s="58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64"/>
      <c r="AS31" s="3"/>
      <c r="AT31" s="3"/>
      <c r="AU31" s="14"/>
    </row>
    <row r="32" ht="16.5" customHeight="1">
      <c r="A32" s="49">
        <v>26.0</v>
      </c>
      <c r="B32" s="50"/>
      <c r="C32" s="51"/>
      <c r="D32" s="52"/>
      <c r="E32" s="36"/>
      <c r="F32" s="53">
        <f t="shared" si="1"/>
        <v>0</v>
      </c>
      <c r="G32" s="54">
        <f t="shared" si="2"/>
        <v>0</v>
      </c>
      <c r="H32" s="52"/>
      <c r="I32" s="36"/>
      <c r="J32" s="53">
        <f t="shared" si="3"/>
        <v>0</v>
      </c>
      <c r="K32" s="54">
        <f t="shared" si="4"/>
        <v>0</v>
      </c>
      <c r="L32" s="52"/>
      <c r="M32" s="52"/>
      <c r="N32" s="53">
        <f t="shared" si="5"/>
        <v>0</v>
      </c>
      <c r="O32" s="54">
        <f t="shared" si="6"/>
        <v>0</v>
      </c>
      <c r="P32" s="36"/>
      <c r="Q32" s="52"/>
      <c r="R32" s="53">
        <f t="shared" si="7"/>
        <v>0</v>
      </c>
      <c r="S32" s="54">
        <f t="shared" si="8"/>
        <v>0</v>
      </c>
      <c r="T32" s="36"/>
      <c r="U32" s="52"/>
      <c r="V32" s="53">
        <f t="shared" si="9"/>
        <v>0</v>
      </c>
      <c r="W32" s="54">
        <f t="shared" si="10"/>
        <v>0</v>
      </c>
      <c r="X32" s="55">
        <f t="shared" si="12"/>
        <v>0</v>
      </c>
      <c r="Y32" s="36"/>
      <c r="Z32" s="56">
        <f t="shared" si="11"/>
        <v>0</v>
      </c>
      <c r="AA32" s="31"/>
      <c r="AB32" s="63"/>
      <c r="AC32" s="33"/>
      <c r="AD32" s="58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64"/>
      <c r="AS32" s="3"/>
      <c r="AT32" s="3"/>
      <c r="AU32" s="14"/>
    </row>
    <row r="33" ht="16.5" customHeight="1">
      <c r="A33" s="49">
        <v>27.0</v>
      </c>
      <c r="B33" s="50"/>
      <c r="C33" s="51"/>
      <c r="D33" s="52"/>
      <c r="E33" s="36"/>
      <c r="F33" s="53">
        <f t="shared" si="1"/>
        <v>0</v>
      </c>
      <c r="G33" s="54">
        <f t="shared" si="2"/>
        <v>0</v>
      </c>
      <c r="H33" s="52"/>
      <c r="I33" s="36"/>
      <c r="J33" s="53">
        <f t="shared" si="3"/>
        <v>0</v>
      </c>
      <c r="K33" s="54">
        <f t="shared" si="4"/>
        <v>0</v>
      </c>
      <c r="L33" s="52"/>
      <c r="M33" s="52"/>
      <c r="N33" s="53">
        <f t="shared" si="5"/>
        <v>0</v>
      </c>
      <c r="O33" s="54">
        <f t="shared" si="6"/>
        <v>0</v>
      </c>
      <c r="P33" s="36"/>
      <c r="Q33" s="52"/>
      <c r="R33" s="53">
        <f t="shared" si="7"/>
        <v>0</v>
      </c>
      <c r="S33" s="54">
        <f t="shared" si="8"/>
        <v>0</v>
      </c>
      <c r="T33" s="36"/>
      <c r="U33" s="52"/>
      <c r="V33" s="53">
        <f t="shared" si="9"/>
        <v>0</v>
      </c>
      <c r="W33" s="54">
        <f t="shared" si="10"/>
        <v>0</v>
      </c>
      <c r="X33" s="55">
        <f t="shared" si="12"/>
        <v>0</v>
      </c>
      <c r="Y33" s="36"/>
      <c r="Z33" s="56">
        <f t="shared" si="11"/>
        <v>0</v>
      </c>
      <c r="AA33" s="31"/>
      <c r="AB33" s="63"/>
      <c r="AC33" s="33"/>
      <c r="AD33" s="58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64"/>
      <c r="AS33" s="3"/>
      <c r="AT33" s="3"/>
      <c r="AU33" s="14"/>
    </row>
    <row r="34" ht="16.5" customHeight="1">
      <c r="A34" s="49">
        <v>28.0</v>
      </c>
      <c r="B34" s="50"/>
      <c r="C34" s="51"/>
      <c r="D34" s="52"/>
      <c r="E34" s="36"/>
      <c r="F34" s="53">
        <f t="shared" si="1"/>
        <v>0</v>
      </c>
      <c r="G34" s="54">
        <f t="shared" si="2"/>
        <v>0</v>
      </c>
      <c r="H34" s="52"/>
      <c r="I34" s="36"/>
      <c r="J34" s="53">
        <f t="shared" si="3"/>
        <v>0</v>
      </c>
      <c r="K34" s="54">
        <f t="shared" si="4"/>
        <v>0</v>
      </c>
      <c r="L34" s="52"/>
      <c r="M34" s="52"/>
      <c r="N34" s="53">
        <f t="shared" si="5"/>
        <v>0</v>
      </c>
      <c r="O34" s="54">
        <f t="shared" si="6"/>
        <v>0</v>
      </c>
      <c r="P34" s="36"/>
      <c r="Q34" s="52"/>
      <c r="R34" s="53">
        <f t="shared" si="7"/>
        <v>0</v>
      </c>
      <c r="S34" s="54">
        <f t="shared" si="8"/>
        <v>0</v>
      </c>
      <c r="T34" s="36"/>
      <c r="U34" s="52"/>
      <c r="V34" s="53">
        <f t="shared" si="9"/>
        <v>0</v>
      </c>
      <c r="W34" s="54">
        <f t="shared" si="10"/>
        <v>0</v>
      </c>
      <c r="X34" s="55">
        <f t="shared" si="12"/>
        <v>0</v>
      </c>
      <c r="Y34" s="36"/>
      <c r="Z34" s="56">
        <f t="shared" si="11"/>
        <v>0</v>
      </c>
      <c r="AA34" s="31"/>
      <c r="AB34" s="63"/>
      <c r="AC34" s="33"/>
      <c r="AD34" s="58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64"/>
      <c r="AS34" s="3"/>
      <c r="AT34" s="3"/>
      <c r="AU34" s="14"/>
    </row>
    <row r="35" ht="16.5" customHeight="1">
      <c r="A35" s="49">
        <v>29.0</v>
      </c>
      <c r="B35" s="50"/>
      <c r="C35" s="51"/>
      <c r="D35" s="52"/>
      <c r="E35" s="36"/>
      <c r="F35" s="53">
        <f t="shared" si="1"/>
        <v>0</v>
      </c>
      <c r="G35" s="54">
        <f t="shared" si="2"/>
        <v>0</v>
      </c>
      <c r="H35" s="52"/>
      <c r="I35" s="36"/>
      <c r="J35" s="53">
        <f t="shared" si="3"/>
        <v>0</v>
      </c>
      <c r="K35" s="54">
        <f t="shared" si="4"/>
        <v>0</v>
      </c>
      <c r="L35" s="52"/>
      <c r="M35" s="52"/>
      <c r="N35" s="53">
        <f t="shared" si="5"/>
        <v>0</v>
      </c>
      <c r="O35" s="54">
        <f t="shared" si="6"/>
        <v>0</v>
      </c>
      <c r="P35" s="36"/>
      <c r="Q35" s="52"/>
      <c r="R35" s="53">
        <f t="shared" si="7"/>
        <v>0</v>
      </c>
      <c r="S35" s="54">
        <f t="shared" si="8"/>
        <v>0</v>
      </c>
      <c r="T35" s="36"/>
      <c r="U35" s="52"/>
      <c r="V35" s="53">
        <f t="shared" si="9"/>
        <v>0</v>
      </c>
      <c r="W35" s="54">
        <f t="shared" si="10"/>
        <v>0</v>
      </c>
      <c r="X35" s="55">
        <f t="shared" si="12"/>
        <v>0</v>
      </c>
      <c r="Y35" s="36"/>
      <c r="Z35" s="56">
        <f t="shared" si="11"/>
        <v>0</v>
      </c>
      <c r="AA35" s="31"/>
      <c r="AB35" s="63"/>
      <c r="AC35" s="33"/>
      <c r="AD35" s="58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64"/>
      <c r="AS35" s="3"/>
      <c r="AT35" s="3"/>
      <c r="AU35" s="14"/>
    </row>
    <row r="36" ht="16.5" customHeight="1">
      <c r="A36" s="49">
        <v>30.0</v>
      </c>
      <c r="B36" s="50"/>
      <c r="C36" s="51"/>
      <c r="D36" s="52"/>
      <c r="E36" s="36"/>
      <c r="F36" s="53">
        <f t="shared" si="1"/>
        <v>0</v>
      </c>
      <c r="G36" s="54">
        <f t="shared" si="2"/>
        <v>0</v>
      </c>
      <c r="H36" s="52"/>
      <c r="I36" s="36"/>
      <c r="J36" s="53">
        <f t="shared" si="3"/>
        <v>0</v>
      </c>
      <c r="K36" s="54">
        <f t="shared" si="4"/>
        <v>0</v>
      </c>
      <c r="L36" s="52"/>
      <c r="M36" s="52"/>
      <c r="N36" s="53">
        <f t="shared" si="5"/>
        <v>0</v>
      </c>
      <c r="O36" s="54">
        <f t="shared" si="6"/>
        <v>0</v>
      </c>
      <c r="P36" s="36"/>
      <c r="Q36" s="52"/>
      <c r="R36" s="53">
        <f t="shared" si="7"/>
        <v>0</v>
      </c>
      <c r="S36" s="54">
        <f t="shared" si="8"/>
        <v>0</v>
      </c>
      <c r="T36" s="36"/>
      <c r="U36" s="52"/>
      <c r="V36" s="53">
        <f t="shared" si="9"/>
        <v>0</v>
      </c>
      <c r="W36" s="54">
        <f t="shared" si="10"/>
        <v>0</v>
      </c>
      <c r="X36" s="55">
        <f t="shared" si="12"/>
        <v>0</v>
      </c>
      <c r="Y36" s="36"/>
      <c r="Z36" s="56">
        <f t="shared" si="11"/>
        <v>0</v>
      </c>
      <c r="AA36" s="31"/>
      <c r="AB36" s="63"/>
      <c r="AC36" s="33"/>
      <c r="AD36" s="58"/>
      <c r="AE36" s="13"/>
      <c r="AF36" s="94" t="s">
        <v>0</v>
      </c>
      <c r="AG36" s="9"/>
      <c r="AH36" s="9"/>
      <c r="AI36" s="9"/>
      <c r="AJ36" s="9"/>
      <c r="AK36" s="9"/>
      <c r="AL36" s="9"/>
      <c r="AM36" s="9"/>
      <c r="AN36" s="9"/>
      <c r="AO36" s="19"/>
      <c r="AP36" s="13"/>
      <c r="AQ36" s="13"/>
      <c r="AR36" s="64"/>
      <c r="AS36" s="3"/>
      <c r="AT36" s="3"/>
      <c r="AU36" s="14"/>
    </row>
    <row r="37" ht="16.5" customHeight="1">
      <c r="A37" s="49">
        <v>31.0</v>
      </c>
      <c r="B37" s="50"/>
      <c r="C37" s="51"/>
      <c r="D37" s="52"/>
      <c r="E37" s="36"/>
      <c r="F37" s="53">
        <f t="shared" si="1"/>
        <v>0</v>
      </c>
      <c r="G37" s="54">
        <f t="shared" si="2"/>
        <v>0</v>
      </c>
      <c r="H37" s="52"/>
      <c r="I37" s="36"/>
      <c r="J37" s="53">
        <f t="shared" si="3"/>
        <v>0</v>
      </c>
      <c r="K37" s="54">
        <f t="shared" si="4"/>
        <v>0</v>
      </c>
      <c r="L37" s="52"/>
      <c r="M37" s="52"/>
      <c r="N37" s="53">
        <f t="shared" si="5"/>
        <v>0</v>
      </c>
      <c r="O37" s="54">
        <f t="shared" si="6"/>
        <v>0</v>
      </c>
      <c r="P37" s="36"/>
      <c r="Q37" s="52"/>
      <c r="R37" s="53">
        <f t="shared" si="7"/>
        <v>0</v>
      </c>
      <c r="S37" s="54">
        <f t="shared" si="8"/>
        <v>0</v>
      </c>
      <c r="T37" s="36"/>
      <c r="U37" s="52"/>
      <c r="V37" s="53">
        <f t="shared" si="9"/>
        <v>0</v>
      </c>
      <c r="W37" s="54">
        <f t="shared" si="10"/>
        <v>0</v>
      </c>
      <c r="X37" s="55">
        <f t="shared" si="12"/>
        <v>0</v>
      </c>
      <c r="Y37" s="36"/>
      <c r="Z37" s="56">
        <f t="shared" si="11"/>
        <v>0</v>
      </c>
      <c r="AA37" s="31"/>
      <c r="AB37" s="63"/>
      <c r="AC37" s="33"/>
      <c r="AD37" s="58"/>
      <c r="AE37" s="13"/>
      <c r="AF37" s="95" t="s">
        <v>46</v>
      </c>
      <c r="AG37" s="9"/>
      <c r="AH37" s="9"/>
      <c r="AI37" s="9"/>
      <c r="AJ37" s="19"/>
      <c r="AK37" s="96" t="s">
        <v>38</v>
      </c>
      <c r="AL37" s="9"/>
      <c r="AM37" s="9"/>
      <c r="AN37" s="9"/>
      <c r="AO37" s="19"/>
      <c r="AP37" s="13"/>
      <c r="AQ37" s="13"/>
      <c r="AR37" s="64"/>
      <c r="AS37" s="3"/>
      <c r="AT37" s="3"/>
      <c r="AU37" s="14"/>
    </row>
    <row r="38" ht="16.5" customHeight="1">
      <c r="A38" s="49">
        <v>32.0</v>
      </c>
      <c r="B38" s="50"/>
      <c r="C38" s="51"/>
      <c r="D38" s="52"/>
      <c r="E38" s="36"/>
      <c r="F38" s="53">
        <f t="shared" si="1"/>
        <v>0</v>
      </c>
      <c r="G38" s="54">
        <f t="shared" si="2"/>
        <v>0</v>
      </c>
      <c r="H38" s="52"/>
      <c r="I38" s="36"/>
      <c r="J38" s="53">
        <f t="shared" si="3"/>
        <v>0</v>
      </c>
      <c r="K38" s="54">
        <f t="shared" si="4"/>
        <v>0</v>
      </c>
      <c r="L38" s="52"/>
      <c r="M38" s="52"/>
      <c r="N38" s="53">
        <f t="shared" si="5"/>
        <v>0</v>
      </c>
      <c r="O38" s="54">
        <f t="shared" si="6"/>
        <v>0</v>
      </c>
      <c r="P38" s="36"/>
      <c r="Q38" s="52"/>
      <c r="R38" s="53">
        <f t="shared" si="7"/>
        <v>0</v>
      </c>
      <c r="S38" s="54">
        <f t="shared" si="8"/>
        <v>0</v>
      </c>
      <c r="T38" s="36"/>
      <c r="U38" s="52"/>
      <c r="V38" s="53">
        <f t="shared" si="9"/>
        <v>0</v>
      </c>
      <c r="W38" s="54">
        <f t="shared" si="10"/>
        <v>0</v>
      </c>
      <c r="X38" s="55">
        <f t="shared" si="12"/>
        <v>0</v>
      </c>
      <c r="Y38" s="36"/>
      <c r="Z38" s="56">
        <f t="shared" si="11"/>
        <v>0</v>
      </c>
      <c r="AA38" s="31"/>
      <c r="AB38" s="63"/>
      <c r="AC38" s="33"/>
      <c r="AD38" s="58"/>
      <c r="AE38" s="13"/>
      <c r="AF38" s="97" t="s">
        <v>47</v>
      </c>
      <c r="AG38" s="9"/>
      <c r="AH38" s="9"/>
      <c r="AI38" s="9"/>
      <c r="AJ38" s="19"/>
      <c r="AK38" s="98" t="s">
        <v>5</v>
      </c>
      <c r="AL38" s="98" t="s">
        <v>6</v>
      </c>
      <c r="AM38" s="98" t="s">
        <v>7</v>
      </c>
      <c r="AN38" s="98" t="s">
        <v>8</v>
      </c>
      <c r="AO38" s="98" t="s">
        <v>9</v>
      </c>
      <c r="AP38" s="13"/>
      <c r="AQ38" s="13"/>
      <c r="AR38" s="64"/>
      <c r="AS38" s="3"/>
      <c r="AT38" s="3"/>
      <c r="AU38" s="14"/>
    </row>
    <row r="39" ht="16.5" customHeight="1">
      <c r="A39" s="49">
        <v>33.0</v>
      </c>
      <c r="B39" s="50"/>
      <c r="C39" s="51"/>
      <c r="D39" s="52"/>
      <c r="E39" s="36"/>
      <c r="F39" s="53">
        <f t="shared" si="1"/>
        <v>0</v>
      </c>
      <c r="G39" s="54">
        <f t="shared" si="2"/>
        <v>0</v>
      </c>
      <c r="H39" s="52"/>
      <c r="I39" s="36"/>
      <c r="J39" s="53">
        <f t="shared" si="3"/>
        <v>0</v>
      </c>
      <c r="K39" s="54">
        <f t="shared" si="4"/>
        <v>0</v>
      </c>
      <c r="L39" s="52"/>
      <c r="M39" s="52"/>
      <c r="N39" s="53">
        <f t="shared" si="5"/>
        <v>0</v>
      </c>
      <c r="O39" s="54">
        <f t="shared" si="6"/>
        <v>0</v>
      </c>
      <c r="P39" s="36"/>
      <c r="Q39" s="52"/>
      <c r="R39" s="53">
        <f t="shared" si="7"/>
        <v>0</v>
      </c>
      <c r="S39" s="54">
        <f t="shared" si="8"/>
        <v>0</v>
      </c>
      <c r="T39" s="36"/>
      <c r="U39" s="52"/>
      <c r="V39" s="53">
        <f t="shared" si="9"/>
        <v>0</v>
      </c>
      <c r="W39" s="54">
        <f t="shared" si="10"/>
        <v>0</v>
      </c>
      <c r="X39" s="55">
        <f t="shared" si="12"/>
        <v>0</v>
      </c>
      <c r="Y39" s="36"/>
      <c r="Z39" s="56">
        <f t="shared" si="11"/>
        <v>0</v>
      </c>
      <c r="AA39" s="31"/>
      <c r="AB39" s="63"/>
      <c r="AC39" s="33"/>
      <c r="AD39" s="58"/>
      <c r="AE39" s="13"/>
      <c r="AF39" s="99" t="s">
        <v>48</v>
      </c>
      <c r="AG39" s="9"/>
      <c r="AH39" s="9"/>
      <c r="AI39" s="9"/>
      <c r="AJ39" s="19"/>
      <c r="AK39" s="100">
        <v>3.0</v>
      </c>
      <c r="AL39" s="100">
        <v>3.0</v>
      </c>
      <c r="AM39" s="100">
        <v>3.0</v>
      </c>
      <c r="AN39" s="100">
        <v>3.0</v>
      </c>
      <c r="AO39" s="100">
        <v>3.0</v>
      </c>
      <c r="AP39" s="13"/>
      <c r="AQ39" s="13"/>
      <c r="AR39" s="64"/>
      <c r="AS39" s="3"/>
      <c r="AT39" s="3"/>
      <c r="AU39" s="14"/>
    </row>
    <row r="40" ht="16.5" customHeight="1">
      <c r="A40" s="49">
        <v>34.0</v>
      </c>
      <c r="B40" s="50"/>
      <c r="C40" s="51"/>
      <c r="D40" s="52"/>
      <c r="E40" s="36"/>
      <c r="F40" s="53">
        <f t="shared" si="1"/>
        <v>0</v>
      </c>
      <c r="G40" s="54">
        <f t="shared" si="2"/>
        <v>0</v>
      </c>
      <c r="H40" s="52"/>
      <c r="I40" s="36"/>
      <c r="J40" s="53">
        <f t="shared" si="3"/>
        <v>0</v>
      </c>
      <c r="K40" s="54">
        <f t="shared" si="4"/>
        <v>0</v>
      </c>
      <c r="L40" s="52"/>
      <c r="M40" s="52"/>
      <c r="N40" s="53">
        <f t="shared" si="5"/>
        <v>0</v>
      </c>
      <c r="O40" s="54">
        <f t="shared" si="6"/>
        <v>0</v>
      </c>
      <c r="P40" s="36"/>
      <c r="Q40" s="52"/>
      <c r="R40" s="53">
        <f t="shared" si="7"/>
        <v>0</v>
      </c>
      <c r="S40" s="54">
        <f t="shared" si="8"/>
        <v>0</v>
      </c>
      <c r="T40" s="36"/>
      <c r="U40" s="52"/>
      <c r="V40" s="53">
        <f t="shared" si="9"/>
        <v>0</v>
      </c>
      <c r="W40" s="54">
        <f t="shared" si="10"/>
        <v>0</v>
      </c>
      <c r="X40" s="55">
        <f t="shared" si="12"/>
        <v>0</v>
      </c>
      <c r="Y40" s="36"/>
      <c r="Z40" s="56">
        <f t="shared" si="11"/>
        <v>0</v>
      </c>
      <c r="AA40" s="31"/>
      <c r="AB40" s="63"/>
      <c r="AC40" s="33"/>
      <c r="AD40" s="58"/>
      <c r="AE40" s="13"/>
      <c r="AF40" s="101" t="s">
        <v>49</v>
      </c>
      <c r="AG40" s="9"/>
      <c r="AH40" s="9"/>
      <c r="AI40" s="9"/>
      <c r="AJ40" s="19"/>
      <c r="AK40" s="100">
        <v>63.0</v>
      </c>
      <c r="AL40" s="100">
        <v>63.0</v>
      </c>
      <c r="AM40" s="100">
        <v>62.0</v>
      </c>
      <c r="AN40" s="100">
        <v>53.0</v>
      </c>
      <c r="AO40" s="100">
        <v>54.0</v>
      </c>
      <c r="AP40" s="13"/>
      <c r="AQ40" s="13"/>
      <c r="AR40" s="64"/>
      <c r="AS40" s="3"/>
      <c r="AT40" s="3"/>
      <c r="AU40" s="14"/>
    </row>
    <row r="41" ht="16.5" customHeight="1">
      <c r="A41" s="49">
        <v>35.0</v>
      </c>
      <c r="B41" s="50"/>
      <c r="C41" s="51"/>
      <c r="D41" s="52"/>
      <c r="E41" s="36"/>
      <c r="F41" s="53">
        <f t="shared" si="1"/>
        <v>0</v>
      </c>
      <c r="G41" s="54">
        <f t="shared" si="2"/>
        <v>0</v>
      </c>
      <c r="H41" s="52"/>
      <c r="I41" s="36"/>
      <c r="J41" s="53">
        <f t="shared" si="3"/>
        <v>0</v>
      </c>
      <c r="K41" s="54">
        <f t="shared" si="4"/>
        <v>0</v>
      </c>
      <c r="L41" s="52"/>
      <c r="M41" s="52"/>
      <c r="N41" s="53">
        <f t="shared" si="5"/>
        <v>0</v>
      </c>
      <c r="O41" s="54">
        <f t="shared" si="6"/>
        <v>0</v>
      </c>
      <c r="P41" s="36"/>
      <c r="Q41" s="52"/>
      <c r="R41" s="53">
        <f t="shared" si="7"/>
        <v>0</v>
      </c>
      <c r="S41" s="54">
        <f t="shared" si="8"/>
        <v>0</v>
      </c>
      <c r="T41" s="36"/>
      <c r="U41" s="52"/>
      <c r="V41" s="53">
        <f t="shared" si="9"/>
        <v>0</v>
      </c>
      <c r="W41" s="54">
        <f t="shared" si="10"/>
        <v>0</v>
      </c>
      <c r="X41" s="55">
        <f t="shared" si="12"/>
        <v>0</v>
      </c>
      <c r="Y41" s="36"/>
      <c r="Z41" s="56">
        <f t="shared" si="11"/>
        <v>0</v>
      </c>
      <c r="AA41" s="31"/>
      <c r="AB41" s="63"/>
      <c r="AC41" s="33"/>
      <c r="AD41" s="58"/>
      <c r="AE41" s="13"/>
      <c r="AF41" s="102" t="s">
        <v>50</v>
      </c>
      <c r="AG41" s="9"/>
      <c r="AH41" s="9"/>
      <c r="AI41" s="9"/>
      <c r="AJ41" s="19"/>
      <c r="AK41" s="103">
        <v>100.0</v>
      </c>
      <c r="AL41" s="104">
        <v>100.0</v>
      </c>
      <c r="AM41" s="104">
        <v>98.4126984126984</v>
      </c>
      <c r="AN41" s="104">
        <v>84.12698412698413</v>
      </c>
      <c r="AO41" s="104">
        <v>85.71428571428571</v>
      </c>
      <c r="AP41" s="13"/>
      <c r="AQ41" s="13"/>
      <c r="AR41" s="64"/>
      <c r="AS41" s="3"/>
      <c r="AT41" s="3"/>
      <c r="AU41" s="14"/>
    </row>
    <row r="42" ht="16.5" customHeight="1">
      <c r="A42" s="49">
        <v>36.0</v>
      </c>
      <c r="B42" s="50"/>
      <c r="C42" s="51"/>
      <c r="D42" s="52"/>
      <c r="E42" s="36"/>
      <c r="F42" s="53">
        <f t="shared" si="1"/>
        <v>0</v>
      </c>
      <c r="G42" s="54">
        <f t="shared" si="2"/>
        <v>0</v>
      </c>
      <c r="H42" s="52"/>
      <c r="I42" s="36"/>
      <c r="J42" s="53">
        <f t="shared" si="3"/>
        <v>0</v>
      </c>
      <c r="K42" s="54">
        <f t="shared" si="4"/>
        <v>0</v>
      </c>
      <c r="L42" s="52"/>
      <c r="M42" s="52"/>
      <c r="N42" s="53">
        <f t="shared" si="5"/>
        <v>0</v>
      </c>
      <c r="O42" s="54">
        <f t="shared" si="6"/>
        <v>0</v>
      </c>
      <c r="P42" s="36"/>
      <c r="Q42" s="52"/>
      <c r="R42" s="53">
        <f t="shared" si="7"/>
        <v>0</v>
      </c>
      <c r="S42" s="54">
        <f t="shared" si="8"/>
        <v>0</v>
      </c>
      <c r="T42" s="36"/>
      <c r="U42" s="52"/>
      <c r="V42" s="53">
        <f t="shared" si="9"/>
        <v>0</v>
      </c>
      <c r="W42" s="54">
        <f t="shared" si="10"/>
        <v>0</v>
      </c>
      <c r="X42" s="55">
        <f t="shared" si="12"/>
        <v>0</v>
      </c>
      <c r="Y42" s="36"/>
      <c r="Z42" s="56">
        <f t="shared" si="11"/>
        <v>0</v>
      </c>
      <c r="AA42" s="31"/>
      <c r="AB42" s="63"/>
      <c r="AC42" s="33"/>
      <c r="AD42" s="58"/>
      <c r="AE42" s="13"/>
      <c r="AF42" s="105" t="s">
        <v>51</v>
      </c>
      <c r="AG42" s="106"/>
      <c r="AH42" s="106"/>
      <c r="AI42" s="106"/>
      <c r="AJ42" s="107"/>
      <c r="AK42" s="108">
        <f t="shared" ref="AK42:AO42" si="13">IF(AK41&gt;$AE$17,3,(IF(AK41&gt;=$AE$16,2,(IF(AK41&gt;$AE$15,1,0)))))</f>
        <v>3</v>
      </c>
      <c r="AL42" s="109">
        <f t="shared" si="13"/>
        <v>3</v>
      </c>
      <c r="AM42" s="109">
        <f t="shared" si="13"/>
        <v>3</v>
      </c>
      <c r="AN42" s="109">
        <f t="shared" si="13"/>
        <v>3</v>
      </c>
      <c r="AO42" s="109">
        <f t="shared" si="13"/>
        <v>3</v>
      </c>
      <c r="AP42" s="13"/>
      <c r="AQ42" s="13"/>
      <c r="AR42" s="64"/>
      <c r="AS42" s="3"/>
      <c r="AT42" s="3"/>
      <c r="AU42" s="14"/>
    </row>
    <row r="43" ht="16.5" customHeight="1">
      <c r="A43" s="49">
        <v>37.0</v>
      </c>
      <c r="B43" s="50"/>
      <c r="C43" s="51"/>
      <c r="D43" s="52"/>
      <c r="E43" s="36"/>
      <c r="F43" s="53">
        <f t="shared" si="1"/>
        <v>0</v>
      </c>
      <c r="G43" s="54">
        <f t="shared" si="2"/>
        <v>0</v>
      </c>
      <c r="H43" s="52"/>
      <c r="I43" s="36"/>
      <c r="J43" s="53">
        <f t="shared" si="3"/>
        <v>0</v>
      </c>
      <c r="K43" s="54">
        <f t="shared" si="4"/>
        <v>0</v>
      </c>
      <c r="L43" s="52"/>
      <c r="M43" s="52"/>
      <c r="N43" s="53">
        <f t="shared" si="5"/>
        <v>0</v>
      </c>
      <c r="O43" s="54">
        <f t="shared" si="6"/>
        <v>0</v>
      </c>
      <c r="P43" s="36"/>
      <c r="Q43" s="52"/>
      <c r="R43" s="53">
        <f t="shared" si="7"/>
        <v>0</v>
      </c>
      <c r="S43" s="54">
        <f t="shared" si="8"/>
        <v>0</v>
      </c>
      <c r="T43" s="36"/>
      <c r="U43" s="52"/>
      <c r="V43" s="53">
        <f t="shared" si="9"/>
        <v>0</v>
      </c>
      <c r="W43" s="54">
        <f t="shared" si="10"/>
        <v>0</v>
      </c>
      <c r="X43" s="55">
        <f t="shared" si="12"/>
        <v>0</v>
      </c>
      <c r="Y43" s="36"/>
      <c r="Z43" s="56">
        <f t="shared" si="11"/>
        <v>0</v>
      </c>
      <c r="AA43" s="31"/>
      <c r="AB43" s="63"/>
      <c r="AC43" s="33"/>
      <c r="AD43" s="58"/>
      <c r="AE43" s="13"/>
      <c r="AF43" s="110" t="s">
        <v>52</v>
      </c>
      <c r="AG43" s="6"/>
      <c r="AH43" s="6"/>
      <c r="AI43" s="6"/>
      <c r="AJ43" s="6"/>
      <c r="AK43" s="6"/>
      <c r="AL43" s="6"/>
      <c r="AM43" s="6"/>
      <c r="AN43" s="6"/>
      <c r="AO43" s="7"/>
      <c r="AP43" s="13"/>
      <c r="AQ43" s="13"/>
      <c r="AR43" s="64"/>
      <c r="AS43" s="3"/>
      <c r="AT43" s="3"/>
      <c r="AU43" s="14"/>
    </row>
    <row r="44" ht="16.5" customHeight="1">
      <c r="A44" s="49">
        <v>38.0</v>
      </c>
      <c r="B44" s="50"/>
      <c r="C44" s="51"/>
      <c r="D44" s="52"/>
      <c r="E44" s="36"/>
      <c r="F44" s="53">
        <f t="shared" si="1"/>
        <v>0</v>
      </c>
      <c r="G44" s="54">
        <f t="shared" si="2"/>
        <v>0</v>
      </c>
      <c r="H44" s="52"/>
      <c r="I44" s="36"/>
      <c r="J44" s="53">
        <f t="shared" si="3"/>
        <v>0</v>
      </c>
      <c r="K44" s="54">
        <f t="shared" si="4"/>
        <v>0</v>
      </c>
      <c r="L44" s="52"/>
      <c r="M44" s="52"/>
      <c r="N44" s="53">
        <f t="shared" si="5"/>
        <v>0</v>
      </c>
      <c r="O44" s="54">
        <f t="shared" si="6"/>
        <v>0</v>
      </c>
      <c r="P44" s="36"/>
      <c r="Q44" s="52"/>
      <c r="R44" s="53">
        <f t="shared" si="7"/>
        <v>0</v>
      </c>
      <c r="S44" s="54">
        <f t="shared" si="8"/>
        <v>0</v>
      </c>
      <c r="T44" s="36"/>
      <c r="U44" s="52"/>
      <c r="V44" s="53">
        <f t="shared" si="9"/>
        <v>0</v>
      </c>
      <c r="W44" s="54">
        <f t="shared" si="10"/>
        <v>0</v>
      </c>
      <c r="X44" s="55">
        <f t="shared" si="12"/>
        <v>0</v>
      </c>
      <c r="Y44" s="36"/>
      <c r="Z44" s="56">
        <f t="shared" si="11"/>
        <v>0</v>
      </c>
      <c r="AA44" s="31"/>
      <c r="AB44" s="63"/>
      <c r="AC44" s="33"/>
      <c r="AD44" s="58"/>
      <c r="AE44" s="13"/>
      <c r="AF44" s="72"/>
      <c r="AO44" s="73"/>
      <c r="AP44" s="13"/>
      <c r="AQ44" s="13"/>
      <c r="AR44" s="64"/>
      <c r="AS44" s="3"/>
      <c r="AT44" s="3"/>
      <c r="AU44" s="14"/>
    </row>
    <row r="45" ht="16.5" customHeight="1">
      <c r="A45" s="49">
        <v>39.0</v>
      </c>
      <c r="B45" s="50"/>
      <c r="C45" s="51"/>
      <c r="D45" s="52"/>
      <c r="E45" s="36"/>
      <c r="F45" s="53">
        <f t="shared" si="1"/>
        <v>0</v>
      </c>
      <c r="G45" s="54">
        <f t="shared" si="2"/>
        <v>0</v>
      </c>
      <c r="H45" s="52"/>
      <c r="I45" s="36"/>
      <c r="J45" s="53">
        <f t="shared" si="3"/>
        <v>0</v>
      </c>
      <c r="K45" s="54">
        <f t="shared" si="4"/>
        <v>0</v>
      </c>
      <c r="L45" s="52"/>
      <c r="M45" s="52"/>
      <c r="N45" s="53">
        <f t="shared" si="5"/>
        <v>0</v>
      </c>
      <c r="O45" s="54">
        <f t="shared" si="6"/>
        <v>0</v>
      </c>
      <c r="P45" s="36"/>
      <c r="Q45" s="52"/>
      <c r="R45" s="53">
        <f t="shared" si="7"/>
        <v>0</v>
      </c>
      <c r="S45" s="54">
        <f t="shared" si="8"/>
        <v>0</v>
      </c>
      <c r="T45" s="36"/>
      <c r="U45" s="52"/>
      <c r="V45" s="53">
        <f t="shared" si="9"/>
        <v>0</v>
      </c>
      <c r="W45" s="54">
        <f t="shared" si="10"/>
        <v>0</v>
      </c>
      <c r="X45" s="55">
        <f t="shared" si="12"/>
        <v>0</v>
      </c>
      <c r="Y45" s="36"/>
      <c r="Z45" s="56">
        <f t="shared" si="11"/>
        <v>0</v>
      </c>
      <c r="AA45" s="31"/>
      <c r="AB45" s="63"/>
      <c r="AC45" s="33"/>
      <c r="AD45" s="58"/>
      <c r="AE45" s="13"/>
      <c r="AF45" s="72"/>
      <c r="AO45" s="73"/>
      <c r="AP45" s="13"/>
      <c r="AQ45" s="13"/>
      <c r="AR45" s="64"/>
      <c r="AS45" s="3"/>
      <c r="AT45" s="3"/>
      <c r="AU45" s="14"/>
    </row>
    <row r="46" ht="16.5" customHeight="1">
      <c r="A46" s="49">
        <v>40.0</v>
      </c>
      <c r="B46" s="50"/>
      <c r="C46" s="51"/>
      <c r="D46" s="52"/>
      <c r="E46" s="36"/>
      <c r="F46" s="53">
        <f t="shared" si="1"/>
        <v>0</v>
      </c>
      <c r="G46" s="54">
        <f t="shared" si="2"/>
        <v>0</v>
      </c>
      <c r="H46" s="52"/>
      <c r="I46" s="36"/>
      <c r="J46" s="53">
        <f t="shared" si="3"/>
        <v>0</v>
      </c>
      <c r="K46" s="54">
        <f t="shared" si="4"/>
        <v>0</v>
      </c>
      <c r="L46" s="52"/>
      <c r="M46" s="52"/>
      <c r="N46" s="53">
        <f t="shared" si="5"/>
        <v>0</v>
      </c>
      <c r="O46" s="54">
        <f t="shared" si="6"/>
        <v>0</v>
      </c>
      <c r="P46" s="36"/>
      <c r="Q46" s="52"/>
      <c r="R46" s="53">
        <f t="shared" si="7"/>
        <v>0</v>
      </c>
      <c r="S46" s="54">
        <f t="shared" si="8"/>
        <v>0</v>
      </c>
      <c r="T46" s="36"/>
      <c r="U46" s="52"/>
      <c r="V46" s="53">
        <f t="shared" si="9"/>
        <v>0</v>
      </c>
      <c r="W46" s="54">
        <f t="shared" si="10"/>
        <v>0</v>
      </c>
      <c r="X46" s="55">
        <f t="shared" si="12"/>
        <v>0</v>
      </c>
      <c r="Y46" s="36"/>
      <c r="Z46" s="56">
        <f t="shared" si="11"/>
        <v>0</v>
      </c>
      <c r="AA46" s="31"/>
      <c r="AB46" s="63"/>
      <c r="AC46" s="33"/>
      <c r="AD46" s="58"/>
      <c r="AE46" s="13"/>
      <c r="AF46" s="72"/>
      <c r="AO46" s="73"/>
      <c r="AP46" s="13"/>
      <c r="AQ46" s="13"/>
      <c r="AR46" s="64"/>
      <c r="AS46" s="3"/>
      <c r="AT46" s="3"/>
      <c r="AU46" s="14"/>
    </row>
    <row r="47" ht="16.5" customHeight="1">
      <c r="A47" s="49">
        <v>41.0</v>
      </c>
      <c r="B47" s="50"/>
      <c r="C47" s="51"/>
      <c r="D47" s="52"/>
      <c r="E47" s="36"/>
      <c r="F47" s="53">
        <f t="shared" si="1"/>
        <v>0</v>
      </c>
      <c r="G47" s="54">
        <f t="shared" si="2"/>
        <v>0</v>
      </c>
      <c r="H47" s="52"/>
      <c r="I47" s="36"/>
      <c r="J47" s="53">
        <f t="shared" si="3"/>
        <v>0</v>
      </c>
      <c r="K47" s="54">
        <f t="shared" si="4"/>
        <v>0</v>
      </c>
      <c r="L47" s="52"/>
      <c r="M47" s="52"/>
      <c r="N47" s="53">
        <f t="shared" si="5"/>
        <v>0</v>
      </c>
      <c r="O47" s="54">
        <f t="shared" si="6"/>
        <v>0</v>
      </c>
      <c r="P47" s="36"/>
      <c r="Q47" s="52"/>
      <c r="R47" s="53">
        <f t="shared" si="7"/>
        <v>0</v>
      </c>
      <c r="S47" s="54">
        <f t="shared" si="8"/>
        <v>0</v>
      </c>
      <c r="T47" s="36"/>
      <c r="U47" s="52"/>
      <c r="V47" s="53">
        <f t="shared" si="9"/>
        <v>0</v>
      </c>
      <c r="W47" s="54">
        <f t="shared" si="10"/>
        <v>0</v>
      </c>
      <c r="X47" s="55">
        <f t="shared" si="12"/>
        <v>0</v>
      </c>
      <c r="Y47" s="36"/>
      <c r="Z47" s="56">
        <f t="shared" si="11"/>
        <v>0</v>
      </c>
      <c r="AA47" s="31"/>
      <c r="AB47" s="63"/>
      <c r="AC47" s="33"/>
      <c r="AD47" s="58"/>
      <c r="AE47" s="13"/>
      <c r="AF47" s="72"/>
      <c r="AO47" s="73"/>
      <c r="AP47" s="13"/>
      <c r="AQ47" s="13"/>
      <c r="AR47" s="64"/>
      <c r="AS47" s="3"/>
      <c r="AT47" s="3"/>
      <c r="AU47" s="14"/>
    </row>
    <row r="48" ht="16.5" customHeight="1">
      <c r="A48" s="49">
        <v>42.0</v>
      </c>
      <c r="B48" s="50"/>
      <c r="C48" s="51"/>
      <c r="D48" s="52"/>
      <c r="E48" s="36"/>
      <c r="F48" s="53">
        <f t="shared" si="1"/>
        <v>0</v>
      </c>
      <c r="G48" s="54">
        <f t="shared" si="2"/>
        <v>0</v>
      </c>
      <c r="H48" s="52"/>
      <c r="I48" s="36"/>
      <c r="J48" s="53">
        <f t="shared" si="3"/>
        <v>0</v>
      </c>
      <c r="K48" s="54">
        <f t="shared" si="4"/>
        <v>0</v>
      </c>
      <c r="L48" s="52"/>
      <c r="M48" s="52"/>
      <c r="N48" s="53">
        <f t="shared" si="5"/>
        <v>0</v>
      </c>
      <c r="O48" s="54">
        <f t="shared" si="6"/>
        <v>0</v>
      </c>
      <c r="P48" s="36"/>
      <c r="Q48" s="52"/>
      <c r="R48" s="53">
        <f t="shared" si="7"/>
        <v>0</v>
      </c>
      <c r="S48" s="54">
        <f t="shared" si="8"/>
        <v>0</v>
      </c>
      <c r="T48" s="36"/>
      <c r="U48" s="52"/>
      <c r="V48" s="53">
        <f t="shared" si="9"/>
        <v>0</v>
      </c>
      <c r="W48" s="54">
        <f t="shared" si="10"/>
        <v>0</v>
      </c>
      <c r="X48" s="55">
        <f t="shared" si="12"/>
        <v>0</v>
      </c>
      <c r="Y48" s="36"/>
      <c r="Z48" s="56">
        <f t="shared" si="11"/>
        <v>0</v>
      </c>
      <c r="AA48" s="31"/>
      <c r="AB48" s="63"/>
      <c r="AC48" s="33"/>
      <c r="AD48" s="58"/>
      <c r="AE48" s="13"/>
      <c r="AF48" s="74"/>
      <c r="AG48" s="83"/>
      <c r="AH48" s="83"/>
      <c r="AI48" s="83"/>
      <c r="AJ48" s="83"/>
      <c r="AK48" s="83"/>
      <c r="AL48" s="83"/>
      <c r="AM48" s="83"/>
      <c r="AN48" s="83"/>
      <c r="AO48" s="75"/>
      <c r="AP48" s="13"/>
      <c r="AQ48" s="13"/>
      <c r="AR48" s="64"/>
      <c r="AS48" s="3"/>
      <c r="AT48" s="3"/>
      <c r="AU48" s="14"/>
    </row>
    <row r="49" ht="16.5" customHeight="1">
      <c r="A49" s="49">
        <v>43.0</v>
      </c>
      <c r="B49" s="50"/>
      <c r="C49" s="51"/>
      <c r="D49" s="52"/>
      <c r="E49" s="36"/>
      <c r="F49" s="53">
        <f t="shared" si="1"/>
        <v>0</v>
      </c>
      <c r="G49" s="54">
        <f t="shared" si="2"/>
        <v>0</v>
      </c>
      <c r="H49" s="52"/>
      <c r="I49" s="36"/>
      <c r="J49" s="53">
        <f t="shared" si="3"/>
        <v>0</v>
      </c>
      <c r="K49" s="54">
        <f t="shared" si="4"/>
        <v>0</v>
      </c>
      <c r="L49" s="52"/>
      <c r="M49" s="52"/>
      <c r="N49" s="53">
        <f t="shared" si="5"/>
        <v>0</v>
      </c>
      <c r="O49" s="54">
        <f t="shared" si="6"/>
        <v>0</v>
      </c>
      <c r="P49" s="36"/>
      <c r="Q49" s="52"/>
      <c r="R49" s="53">
        <f t="shared" si="7"/>
        <v>0</v>
      </c>
      <c r="S49" s="54">
        <f t="shared" si="8"/>
        <v>0</v>
      </c>
      <c r="T49" s="36"/>
      <c r="U49" s="52"/>
      <c r="V49" s="53">
        <f t="shared" si="9"/>
        <v>0</v>
      </c>
      <c r="W49" s="54">
        <f t="shared" si="10"/>
        <v>0</v>
      </c>
      <c r="X49" s="55">
        <f t="shared" si="12"/>
        <v>0</v>
      </c>
      <c r="Y49" s="36"/>
      <c r="Z49" s="56">
        <f t="shared" si="11"/>
        <v>0</v>
      </c>
      <c r="AA49" s="31"/>
      <c r="AB49" s="63"/>
      <c r="AC49" s="33"/>
      <c r="AD49" s="58"/>
      <c r="AR49" s="64"/>
      <c r="AS49" s="3"/>
      <c r="AT49" s="3"/>
      <c r="AU49" s="14"/>
    </row>
    <row r="50" ht="16.5" customHeight="1">
      <c r="A50" s="49">
        <v>44.0</v>
      </c>
      <c r="B50" s="50"/>
      <c r="C50" s="51"/>
      <c r="D50" s="52"/>
      <c r="E50" s="36"/>
      <c r="F50" s="53">
        <f t="shared" si="1"/>
        <v>0</v>
      </c>
      <c r="G50" s="54">
        <f t="shared" si="2"/>
        <v>0</v>
      </c>
      <c r="H50" s="52"/>
      <c r="I50" s="36"/>
      <c r="J50" s="53">
        <f t="shared" si="3"/>
        <v>0</v>
      </c>
      <c r="K50" s="54">
        <f t="shared" si="4"/>
        <v>0</v>
      </c>
      <c r="L50" s="52"/>
      <c r="M50" s="52"/>
      <c r="N50" s="53">
        <f t="shared" si="5"/>
        <v>0</v>
      </c>
      <c r="O50" s="54">
        <f t="shared" si="6"/>
        <v>0</v>
      </c>
      <c r="P50" s="36"/>
      <c r="Q50" s="52"/>
      <c r="R50" s="53">
        <f t="shared" si="7"/>
        <v>0</v>
      </c>
      <c r="S50" s="54">
        <f t="shared" si="8"/>
        <v>0</v>
      </c>
      <c r="T50" s="36"/>
      <c r="U50" s="52"/>
      <c r="V50" s="53">
        <f t="shared" si="9"/>
        <v>0</v>
      </c>
      <c r="W50" s="54">
        <f t="shared" si="10"/>
        <v>0</v>
      </c>
      <c r="X50" s="55">
        <f t="shared" si="12"/>
        <v>0</v>
      </c>
      <c r="Y50" s="36"/>
      <c r="Z50" s="56">
        <f t="shared" si="11"/>
        <v>0</v>
      </c>
      <c r="AA50" s="31"/>
      <c r="AB50" s="63"/>
      <c r="AC50" s="33"/>
      <c r="AD50" s="58"/>
      <c r="AR50" s="64"/>
      <c r="AS50" s="3"/>
      <c r="AT50" s="3"/>
      <c r="AU50" s="14"/>
    </row>
    <row r="51" ht="16.5" customHeight="1">
      <c r="A51" s="49">
        <v>45.0</v>
      </c>
      <c r="B51" s="50"/>
      <c r="C51" s="51"/>
      <c r="D51" s="52"/>
      <c r="E51" s="36"/>
      <c r="F51" s="53">
        <f t="shared" si="1"/>
        <v>0</v>
      </c>
      <c r="G51" s="54">
        <f t="shared" si="2"/>
        <v>0</v>
      </c>
      <c r="H51" s="52"/>
      <c r="I51" s="36"/>
      <c r="J51" s="53">
        <f t="shared" si="3"/>
        <v>0</v>
      </c>
      <c r="K51" s="54">
        <f t="shared" si="4"/>
        <v>0</v>
      </c>
      <c r="L51" s="52"/>
      <c r="M51" s="52"/>
      <c r="N51" s="53">
        <f t="shared" si="5"/>
        <v>0</v>
      </c>
      <c r="O51" s="54">
        <f t="shared" si="6"/>
        <v>0</v>
      </c>
      <c r="P51" s="36"/>
      <c r="Q51" s="52"/>
      <c r="R51" s="53">
        <f t="shared" si="7"/>
        <v>0</v>
      </c>
      <c r="S51" s="54">
        <f t="shared" si="8"/>
        <v>0</v>
      </c>
      <c r="T51" s="36"/>
      <c r="U51" s="52"/>
      <c r="V51" s="53">
        <f t="shared" si="9"/>
        <v>0</v>
      </c>
      <c r="W51" s="54">
        <f t="shared" si="10"/>
        <v>0</v>
      </c>
      <c r="X51" s="55">
        <f t="shared" si="12"/>
        <v>0</v>
      </c>
      <c r="Y51" s="36"/>
      <c r="Z51" s="56">
        <f t="shared" si="11"/>
        <v>0</v>
      </c>
      <c r="AA51" s="31"/>
      <c r="AB51" s="63"/>
      <c r="AC51" s="33"/>
      <c r="AD51" s="58"/>
      <c r="AR51" s="64"/>
      <c r="AS51" s="3"/>
      <c r="AT51" s="3"/>
      <c r="AU51" s="14"/>
    </row>
    <row r="52" ht="16.5" customHeight="1">
      <c r="A52" s="49">
        <v>46.0</v>
      </c>
      <c r="B52" s="50"/>
      <c r="C52" s="51"/>
      <c r="D52" s="52"/>
      <c r="E52" s="36"/>
      <c r="F52" s="53">
        <f t="shared" si="1"/>
        <v>0</v>
      </c>
      <c r="G52" s="54">
        <f t="shared" si="2"/>
        <v>0</v>
      </c>
      <c r="H52" s="52"/>
      <c r="I52" s="36"/>
      <c r="J52" s="53">
        <f t="shared" si="3"/>
        <v>0</v>
      </c>
      <c r="K52" s="54">
        <f t="shared" si="4"/>
        <v>0</v>
      </c>
      <c r="L52" s="52"/>
      <c r="M52" s="52"/>
      <c r="N52" s="53">
        <f t="shared" si="5"/>
        <v>0</v>
      </c>
      <c r="O52" s="54">
        <f t="shared" si="6"/>
        <v>0</v>
      </c>
      <c r="P52" s="36"/>
      <c r="Q52" s="52"/>
      <c r="R52" s="53">
        <f t="shared" si="7"/>
        <v>0</v>
      </c>
      <c r="S52" s="54">
        <f t="shared" si="8"/>
        <v>0</v>
      </c>
      <c r="T52" s="36"/>
      <c r="U52" s="52"/>
      <c r="V52" s="53">
        <f t="shared" si="9"/>
        <v>0</v>
      </c>
      <c r="W52" s="54">
        <f t="shared" si="10"/>
        <v>0</v>
      </c>
      <c r="X52" s="55">
        <f t="shared" si="12"/>
        <v>0</v>
      </c>
      <c r="Y52" s="36"/>
      <c r="Z52" s="56">
        <f t="shared" si="11"/>
        <v>0</v>
      </c>
      <c r="AA52" s="31"/>
      <c r="AB52" s="63"/>
      <c r="AC52" s="33"/>
      <c r="AD52" s="58"/>
      <c r="AR52" s="64"/>
      <c r="AS52" s="3"/>
      <c r="AT52" s="3"/>
      <c r="AU52" s="14"/>
    </row>
    <row r="53" ht="16.5" customHeight="1">
      <c r="A53" s="49">
        <v>47.0</v>
      </c>
      <c r="B53" s="50"/>
      <c r="C53" s="51"/>
      <c r="D53" s="52"/>
      <c r="E53" s="36"/>
      <c r="F53" s="53">
        <f t="shared" si="1"/>
        <v>0</v>
      </c>
      <c r="G53" s="54">
        <f t="shared" si="2"/>
        <v>0</v>
      </c>
      <c r="H53" s="52"/>
      <c r="I53" s="36"/>
      <c r="J53" s="53">
        <f t="shared" si="3"/>
        <v>0</v>
      </c>
      <c r="K53" s="54">
        <f t="shared" si="4"/>
        <v>0</v>
      </c>
      <c r="L53" s="52"/>
      <c r="M53" s="52"/>
      <c r="N53" s="53">
        <f t="shared" si="5"/>
        <v>0</v>
      </c>
      <c r="O53" s="54">
        <f t="shared" si="6"/>
        <v>0</v>
      </c>
      <c r="P53" s="36"/>
      <c r="Q53" s="52"/>
      <c r="R53" s="53">
        <f t="shared" si="7"/>
        <v>0</v>
      </c>
      <c r="S53" s="54">
        <f t="shared" si="8"/>
        <v>0</v>
      </c>
      <c r="T53" s="36"/>
      <c r="U53" s="52"/>
      <c r="V53" s="53">
        <f t="shared" si="9"/>
        <v>0</v>
      </c>
      <c r="W53" s="54">
        <f t="shared" si="10"/>
        <v>0</v>
      </c>
      <c r="X53" s="55">
        <f t="shared" si="12"/>
        <v>0</v>
      </c>
      <c r="Y53" s="36"/>
      <c r="Z53" s="56">
        <f t="shared" si="11"/>
        <v>0</v>
      </c>
      <c r="AA53" s="31"/>
      <c r="AB53" s="63"/>
      <c r="AC53" s="33"/>
      <c r="AD53" s="58"/>
      <c r="AR53" s="64"/>
      <c r="AS53" s="3"/>
      <c r="AT53" s="3"/>
      <c r="AU53" s="14"/>
    </row>
    <row r="54" ht="16.5" customHeight="1">
      <c r="A54" s="49">
        <v>48.0</v>
      </c>
      <c r="B54" s="50"/>
      <c r="C54" s="51"/>
      <c r="D54" s="52"/>
      <c r="E54" s="36"/>
      <c r="F54" s="53">
        <f t="shared" si="1"/>
        <v>0</v>
      </c>
      <c r="G54" s="54">
        <f t="shared" si="2"/>
        <v>0</v>
      </c>
      <c r="H54" s="52"/>
      <c r="I54" s="36"/>
      <c r="J54" s="53">
        <f t="shared" si="3"/>
        <v>0</v>
      </c>
      <c r="K54" s="54">
        <f t="shared" si="4"/>
        <v>0</v>
      </c>
      <c r="L54" s="52"/>
      <c r="M54" s="52"/>
      <c r="N54" s="53">
        <f t="shared" si="5"/>
        <v>0</v>
      </c>
      <c r="O54" s="54">
        <f t="shared" si="6"/>
        <v>0</v>
      </c>
      <c r="P54" s="36"/>
      <c r="Q54" s="52"/>
      <c r="R54" s="53">
        <f t="shared" si="7"/>
        <v>0</v>
      </c>
      <c r="S54" s="54">
        <f t="shared" si="8"/>
        <v>0</v>
      </c>
      <c r="T54" s="36"/>
      <c r="U54" s="52"/>
      <c r="V54" s="53">
        <f t="shared" si="9"/>
        <v>0</v>
      </c>
      <c r="W54" s="54">
        <f t="shared" si="10"/>
        <v>0</v>
      </c>
      <c r="X54" s="55">
        <f t="shared" si="12"/>
        <v>0</v>
      </c>
      <c r="Y54" s="36"/>
      <c r="Z54" s="56">
        <f t="shared" si="11"/>
        <v>0</v>
      </c>
      <c r="AA54" s="31"/>
      <c r="AB54" s="63"/>
      <c r="AC54" s="33"/>
      <c r="AD54" s="58"/>
      <c r="AR54" s="64"/>
      <c r="AS54" s="3"/>
      <c r="AT54" s="3"/>
      <c r="AU54" s="14"/>
    </row>
    <row r="55" ht="16.5" customHeight="1">
      <c r="A55" s="49">
        <v>49.0</v>
      </c>
      <c r="B55" s="50"/>
      <c r="C55" s="51"/>
      <c r="D55" s="52"/>
      <c r="E55" s="36"/>
      <c r="F55" s="53">
        <f t="shared" si="1"/>
        <v>0</v>
      </c>
      <c r="G55" s="54">
        <f t="shared" si="2"/>
        <v>0</v>
      </c>
      <c r="H55" s="52"/>
      <c r="I55" s="36"/>
      <c r="J55" s="53">
        <f t="shared" si="3"/>
        <v>0</v>
      </c>
      <c r="K55" s="54">
        <f t="shared" si="4"/>
        <v>0</v>
      </c>
      <c r="L55" s="52"/>
      <c r="M55" s="52"/>
      <c r="N55" s="53">
        <f t="shared" si="5"/>
        <v>0</v>
      </c>
      <c r="O55" s="54">
        <f t="shared" si="6"/>
        <v>0</v>
      </c>
      <c r="P55" s="36"/>
      <c r="Q55" s="52"/>
      <c r="R55" s="53">
        <f t="shared" si="7"/>
        <v>0</v>
      </c>
      <c r="S55" s="54">
        <f t="shared" si="8"/>
        <v>0</v>
      </c>
      <c r="T55" s="36"/>
      <c r="U55" s="52"/>
      <c r="V55" s="53">
        <f t="shared" si="9"/>
        <v>0</v>
      </c>
      <c r="W55" s="54">
        <f t="shared" si="10"/>
        <v>0</v>
      </c>
      <c r="X55" s="55">
        <f t="shared" si="12"/>
        <v>0</v>
      </c>
      <c r="Y55" s="36"/>
      <c r="Z55" s="56">
        <f t="shared" si="11"/>
        <v>0</v>
      </c>
      <c r="AA55" s="31"/>
      <c r="AB55" s="63"/>
      <c r="AC55" s="33"/>
      <c r="AD55" s="58"/>
      <c r="AR55" s="64"/>
      <c r="AS55" s="3"/>
      <c r="AT55" s="3"/>
      <c r="AU55" s="14"/>
    </row>
    <row r="56" ht="16.5" customHeight="1">
      <c r="A56" s="49">
        <v>50.0</v>
      </c>
      <c r="B56" s="50"/>
      <c r="C56" s="51"/>
      <c r="D56" s="52"/>
      <c r="E56" s="36"/>
      <c r="F56" s="53">
        <f t="shared" si="1"/>
        <v>0</v>
      </c>
      <c r="G56" s="54">
        <f t="shared" si="2"/>
        <v>0</v>
      </c>
      <c r="H56" s="52"/>
      <c r="I56" s="36"/>
      <c r="J56" s="53">
        <f t="shared" si="3"/>
        <v>0</v>
      </c>
      <c r="K56" s="54">
        <f t="shared" si="4"/>
        <v>0</v>
      </c>
      <c r="L56" s="52"/>
      <c r="M56" s="52"/>
      <c r="N56" s="53">
        <f t="shared" si="5"/>
        <v>0</v>
      </c>
      <c r="O56" s="54">
        <f t="shared" si="6"/>
        <v>0</v>
      </c>
      <c r="P56" s="36"/>
      <c r="Q56" s="52"/>
      <c r="R56" s="53">
        <f t="shared" si="7"/>
        <v>0</v>
      </c>
      <c r="S56" s="54">
        <f t="shared" si="8"/>
        <v>0</v>
      </c>
      <c r="T56" s="36"/>
      <c r="U56" s="52"/>
      <c r="V56" s="53">
        <f t="shared" si="9"/>
        <v>0</v>
      </c>
      <c r="W56" s="54">
        <f t="shared" si="10"/>
        <v>0</v>
      </c>
      <c r="X56" s="55">
        <f t="shared" si="12"/>
        <v>0</v>
      </c>
      <c r="Y56" s="36"/>
      <c r="Z56" s="56">
        <f t="shared" si="11"/>
        <v>0</v>
      </c>
      <c r="AA56" s="31"/>
      <c r="AB56" s="63"/>
      <c r="AC56" s="33"/>
      <c r="AD56" s="58"/>
      <c r="AR56" s="64"/>
      <c r="AS56" s="3"/>
      <c r="AT56" s="3"/>
      <c r="AU56" s="14"/>
    </row>
    <row r="57" ht="16.5" customHeight="1">
      <c r="A57" s="49">
        <v>51.0</v>
      </c>
      <c r="B57" s="50"/>
      <c r="C57" s="51"/>
      <c r="D57" s="52"/>
      <c r="E57" s="36"/>
      <c r="F57" s="53">
        <f t="shared" si="1"/>
        <v>0</v>
      </c>
      <c r="G57" s="54">
        <f t="shared" si="2"/>
        <v>0</v>
      </c>
      <c r="H57" s="52"/>
      <c r="I57" s="36"/>
      <c r="J57" s="53">
        <f t="shared" si="3"/>
        <v>0</v>
      </c>
      <c r="K57" s="54">
        <f t="shared" si="4"/>
        <v>0</v>
      </c>
      <c r="L57" s="52"/>
      <c r="M57" s="52"/>
      <c r="N57" s="53">
        <f t="shared" si="5"/>
        <v>0</v>
      </c>
      <c r="O57" s="54">
        <f t="shared" si="6"/>
        <v>0</v>
      </c>
      <c r="P57" s="36"/>
      <c r="Q57" s="52"/>
      <c r="R57" s="53">
        <f t="shared" si="7"/>
        <v>0</v>
      </c>
      <c r="S57" s="54">
        <f t="shared" si="8"/>
        <v>0</v>
      </c>
      <c r="T57" s="36"/>
      <c r="U57" s="52"/>
      <c r="V57" s="53">
        <f t="shared" si="9"/>
        <v>0</v>
      </c>
      <c r="W57" s="54">
        <f t="shared" si="10"/>
        <v>0</v>
      </c>
      <c r="X57" s="55">
        <f t="shared" si="12"/>
        <v>0</v>
      </c>
      <c r="Y57" s="36"/>
      <c r="Z57" s="56">
        <f t="shared" si="11"/>
        <v>0</v>
      </c>
      <c r="AA57" s="31"/>
      <c r="AB57" s="63"/>
      <c r="AC57" s="33"/>
      <c r="AD57" s="58"/>
      <c r="AR57" s="64"/>
      <c r="AS57" s="3"/>
      <c r="AT57" s="3"/>
      <c r="AU57" s="14"/>
    </row>
    <row r="58" ht="16.5" customHeight="1">
      <c r="A58" s="49">
        <v>52.0</v>
      </c>
      <c r="B58" s="50"/>
      <c r="C58" s="51"/>
      <c r="D58" s="52"/>
      <c r="E58" s="36"/>
      <c r="F58" s="53">
        <f t="shared" si="1"/>
        <v>0</v>
      </c>
      <c r="G58" s="54">
        <f t="shared" si="2"/>
        <v>0</v>
      </c>
      <c r="H58" s="52"/>
      <c r="I58" s="36"/>
      <c r="J58" s="53">
        <f t="shared" si="3"/>
        <v>0</v>
      </c>
      <c r="K58" s="54">
        <f t="shared" si="4"/>
        <v>0</v>
      </c>
      <c r="L58" s="52"/>
      <c r="M58" s="52"/>
      <c r="N58" s="53">
        <f t="shared" si="5"/>
        <v>0</v>
      </c>
      <c r="O58" s="54">
        <f t="shared" si="6"/>
        <v>0</v>
      </c>
      <c r="P58" s="36"/>
      <c r="Q58" s="52"/>
      <c r="R58" s="53">
        <f t="shared" si="7"/>
        <v>0</v>
      </c>
      <c r="S58" s="54">
        <f t="shared" si="8"/>
        <v>0</v>
      </c>
      <c r="T58" s="36"/>
      <c r="U58" s="52"/>
      <c r="V58" s="53">
        <f t="shared" si="9"/>
        <v>0</v>
      </c>
      <c r="W58" s="54">
        <f t="shared" si="10"/>
        <v>0</v>
      </c>
      <c r="X58" s="55">
        <f t="shared" si="12"/>
        <v>0</v>
      </c>
      <c r="Y58" s="36"/>
      <c r="Z58" s="56">
        <f t="shared" si="11"/>
        <v>0</v>
      </c>
      <c r="AA58" s="31"/>
      <c r="AB58" s="63"/>
      <c r="AC58" s="33"/>
      <c r="AD58" s="58"/>
      <c r="AR58" s="64"/>
      <c r="AS58" s="3"/>
      <c r="AT58" s="3"/>
      <c r="AU58" s="14"/>
    </row>
    <row r="59" ht="16.5" customHeight="1">
      <c r="A59" s="49">
        <v>53.0</v>
      </c>
      <c r="B59" s="50"/>
      <c r="C59" s="51"/>
      <c r="D59" s="52"/>
      <c r="E59" s="36"/>
      <c r="F59" s="53">
        <f t="shared" si="1"/>
        <v>0</v>
      </c>
      <c r="G59" s="54">
        <f t="shared" si="2"/>
        <v>0</v>
      </c>
      <c r="H59" s="52"/>
      <c r="I59" s="36"/>
      <c r="J59" s="53">
        <f t="shared" si="3"/>
        <v>0</v>
      </c>
      <c r="K59" s="54">
        <f t="shared" si="4"/>
        <v>0</v>
      </c>
      <c r="L59" s="52"/>
      <c r="M59" s="52"/>
      <c r="N59" s="53">
        <f t="shared" si="5"/>
        <v>0</v>
      </c>
      <c r="O59" s="54">
        <f t="shared" si="6"/>
        <v>0</v>
      </c>
      <c r="P59" s="36"/>
      <c r="Q59" s="52"/>
      <c r="R59" s="53">
        <f t="shared" si="7"/>
        <v>0</v>
      </c>
      <c r="S59" s="54">
        <f t="shared" si="8"/>
        <v>0</v>
      </c>
      <c r="T59" s="36"/>
      <c r="U59" s="52"/>
      <c r="V59" s="53">
        <f t="shared" si="9"/>
        <v>0</v>
      </c>
      <c r="W59" s="54">
        <f t="shared" si="10"/>
        <v>0</v>
      </c>
      <c r="X59" s="55">
        <f t="shared" si="12"/>
        <v>0</v>
      </c>
      <c r="Y59" s="36"/>
      <c r="Z59" s="56">
        <f t="shared" si="11"/>
        <v>0</v>
      </c>
      <c r="AA59" s="31"/>
      <c r="AB59" s="63"/>
      <c r="AC59" s="33"/>
      <c r="AD59" s="58"/>
      <c r="AR59" s="64"/>
      <c r="AS59" s="3"/>
      <c r="AT59" s="3"/>
      <c r="AU59" s="14"/>
    </row>
    <row r="60" ht="16.5" customHeight="1">
      <c r="A60" s="49">
        <v>54.0</v>
      </c>
      <c r="B60" s="50"/>
      <c r="C60" s="51"/>
      <c r="D60" s="52"/>
      <c r="E60" s="36"/>
      <c r="F60" s="53">
        <f t="shared" si="1"/>
        <v>0</v>
      </c>
      <c r="G60" s="54">
        <f t="shared" si="2"/>
        <v>0</v>
      </c>
      <c r="H60" s="52"/>
      <c r="I60" s="36"/>
      <c r="J60" s="53">
        <f t="shared" si="3"/>
        <v>0</v>
      </c>
      <c r="K60" s="54">
        <f t="shared" si="4"/>
        <v>0</v>
      </c>
      <c r="L60" s="52"/>
      <c r="M60" s="52"/>
      <c r="N60" s="53">
        <f t="shared" si="5"/>
        <v>0</v>
      </c>
      <c r="O60" s="54">
        <f t="shared" si="6"/>
        <v>0</v>
      </c>
      <c r="P60" s="36"/>
      <c r="Q60" s="52"/>
      <c r="R60" s="53">
        <f t="shared" si="7"/>
        <v>0</v>
      </c>
      <c r="S60" s="54">
        <f t="shared" si="8"/>
        <v>0</v>
      </c>
      <c r="T60" s="36"/>
      <c r="U60" s="52"/>
      <c r="V60" s="53">
        <f t="shared" si="9"/>
        <v>0</v>
      </c>
      <c r="W60" s="54">
        <f t="shared" si="10"/>
        <v>0</v>
      </c>
      <c r="X60" s="55">
        <f t="shared" si="12"/>
        <v>0</v>
      </c>
      <c r="Y60" s="36"/>
      <c r="Z60" s="56">
        <f t="shared" si="11"/>
        <v>0</v>
      </c>
      <c r="AA60" s="31"/>
      <c r="AB60" s="63"/>
      <c r="AC60" s="33"/>
      <c r="AD60" s="58"/>
      <c r="AR60" s="64"/>
      <c r="AS60" s="3"/>
      <c r="AT60" s="3"/>
      <c r="AU60" s="14"/>
    </row>
    <row r="61" ht="16.5" customHeight="1">
      <c r="A61" s="49">
        <v>55.0</v>
      </c>
      <c r="B61" s="50"/>
      <c r="C61" s="51"/>
      <c r="D61" s="52"/>
      <c r="E61" s="36"/>
      <c r="F61" s="53">
        <f t="shared" si="1"/>
        <v>0</v>
      </c>
      <c r="G61" s="54">
        <f t="shared" si="2"/>
        <v>0</v>
      </c>
      <c r="H61" s="52"/>
      <c r="I61" s="36"/>
      <c r="J61" s="53">
        <f t="shared" si="3"/>
        <v>0</v>
      </c>
      <c r="K61" s="54">
        <f t="shared" si="4"/>
        <v>0</v>
      </c>
      <c r="L61" s="52"/>
      <c r="M61" s="52"/>
      <c r="N61" s="53">
        <f t="shared" si="5"/>
        <v>0</v>
      </c>
      <c r="O61" s="54">
        <f t="shared" si="6"/>
        <v>0</v>
      </c>
      <c r="P61" s="36"/>
      <c r="Q61" s="52"/>
      <c r="R61" s="53">
        <f t="shared" si="7"/>
        <v>0</v>
      </c>
      <c r="S61" s="54">
        <f t="shared" si="8"/>
        <v>0</v>
      </c>
      <c r="T61" s="36"/>
      <c r="U61" s="52"/>
      <c r="V61" s="53">
        <f t="shared" si="9"/>
        <v>0</v>
      </c>
      <c r="W61" s="54">
        <f t="shared" si="10"/>
        <v>0</v>
      </c>
      <c r="X61" s="55">
        <f t="shared" si="12"/>
        <v>0</v>
      </c>
      <c r="Y61" s="36"/>
      <c r="Z61" s="56">
        <f t="shared" si="11"/>
        <v>0</v>
      </c>
      <c r="AA61" s="31"/>
      <c r="AB61" s="63"/>
      <c r="AC61" s="33"/>
      <c r="AD61" s="58"/>
      <c r="AR61" s="64"/>
      <c r="AS61" s="3"/>
      <c r="AT61" s="3"/>
      <c r="AU61" s="14"/>
    </row>
    <row r="62" ht="16.5" customHeight="1">
      <c r="A62" s="49">
        <v>56.0</v>
      </c>
      <c r="B62" s="50"/>
      <c r="C62" s="51"/>
      <c r="D62" s="52"/>
      <c r="E62" s="36"/>
      <c r="F62" s="53">
        <f t="shared" si="1"/>
        <v>0</v>
      </c>
      <c r="G62" s="54">
        <f t="shared" si="2"/>
        <v>0</v>
      </c>
      <c r="H62" s="52"/>
      <c r="I62" s="36"/>
      <c r="J62" s="53">
        <f t="shared" si="3"/>
        <v>0</v>
      </c>
      <c r="K62" s="54">
        <f t="shared" si="4"/>
        <v>0</v>
      </c>
      <c r="L62" s="52"/>
      <c r="M62" s="52"/>
      <c r="N62" s="53">
        <f t="shared" si="5"/>
        <v>0</v>
      </c>
      <c r="O62" s="54">
        <f t="shared" si="6"/>
        <v>0</v>
      </c>
      <c r="P62" s="36"/>
      <c r="Q62" s="52"/>
      <c r="R62" s="53">
        <f t="shared" si="7"/>
        <v>0</v>
      </c>
      <c r="S62" s="54">
        <f t="shared" si="8"/>
        <v>0</v>
      </c>
      <c r="T62" s="36"/>
      <c r="U62" s="52"/>
      <c r="V62" s="53">
        <f t="shared" si="9"/>
        <v>0</v>
      </c>
      <c r="W62" s="54">
        <f t="shared" si="10"/>
        <v>0</v>
      </c>
      <c r="X62" s="55">
        <f t="shared" si="12"/>
        <v>0</v>
      </c>
      <c r="Y62" s="36"/>
      <c r="Z62" s="56">
        <f t="shared" si="11"/>
        <v>0</v>
      </c>
      <c r="AA62" s="31"/>
      <c r="AB62" s="63"/>
      <c r="AC62" s="33"/>
      <c r="AD62" s="58"/>
      <c r="AR62" s="64"/>
      <c r="AS62" s="3"/>
      <c r="AT62" s="3"/>
      <c r="AU62" s="14"/>
    </row>
    <row r="63" ht="16.5" customHeight="1">
      <c r="A63" s="49">
        <v>57.0</v>
      </c>
      <c r="B63" s="50"/>
      <c r="C63" s="51"/>
      <c r="D63" s="52"/>
      <c r="E63" s="36"/>
      <c r="F63" s="53">
        <f t="shared" si="1"/>
        <v>0</v>
      </c>
      <c r="G63" s="54">
        <f t="shared" si="2"/>
        <v>0</v>
      </c>
      <c r="H63" s="52"/>
      <c r="I63" s="36"/>
      <c r="J63" s="53">
        <f t="shared" si="3"/>
        <v>0</v>
      </c>
      <c r="K63" s="54">
        <f t="shared" si="4"/>
        <v>0</v>
      </c>
      <c r="L63" s="52"/>
      <c r="M63" s="52"/>
      <c r="N63" s="53">
        <f t="shared" si="5"/>
        <v>0</v>
      </c>
      <c r="O63" s="54">
        <f t="shared" si="6"/>
        <v>0</v>
      </c>
      <c r="P63" s="36"/>
      <c r="Q63" s="52"/>
      <c r="R63" s="53">
        <f t="shared" si="7"/>
        <v>0</v>
      </c>
      <c r="S63" s="54">
        <f t="shared" si="8"/>
        <v>0</v>
      </c>
      <c r="T63" s="36"/>
      <c r="U63" s="52"/>
      <c r="V63" s="53">
        <f t="shared" si="9"/>
        <v>0</v>
      </c>
      <c r="W63" s="54">
        <f t="shared" si="10"/>
        <v>0</v>
      </c>
      <c r="X63" s="55">
        <f t="shared" si="12"/>
        <v>0</v>
      </c>
      <c r="Y63" s="36"/>
      <c r="Z63" s="56">
        <f t="shared" si="11"/>
        <v>0</v>
      </c>
      <c r="AA63" s="31"/>
      <c r="AB63" s="63"/>
      <c r="AC63" s="33"/>
      <c r="AD63" s="58"/>
      <c r="AR63" s="64"/>
      <c r="AS63" s="3"/>
      <c r="AT63" s="3"/>
      <c r="AU63" s="14"/>
    </row>
    <row r="64" ht="16.5" customHeight="1">
      <c r="A64" s="49">
        <v>58.0</v>
      </c>
      <c r="B64" s="50"/>
      <c r="C64" s="51"/>
      <c r="D64" s="52"/>
      <c r="E64" s="36"/>
      <c r="F64" s="53">
        <f t="shared" si="1"/>
        <v>0</v>
      </c>
      <c r="G64" s="54">
        <f t="shared" si="2"/>
        <v>0</v>
      </c>
      <c r="H64" s="52"/>
      <c r="I64" s="36"/>
      <c r="J64" s="53">
        <f t="shared" si="3"/>
        <v>0</v>
      </c>
      <c r="K64" s="54">
        <f t="shared" si="4"/>
        <v>0</v>
      </c>
      <c r="L64" s="52"/>
      <c r="M64" s="52"/>
      <c r="N64" s="53">
        <f t="shared" si="5"/>
        <v>0</v>
      </c>
      <c r="O64" s="54">
        <f t="shared" si="6"/>
        <v>0</v>
      </c>
      <c r="P64" s="36"/>
      <c r="Q64" s="52"/>
      <c r="R64" s="53">
        <f t="shared" si="7"/>
        <v>0</v>
      </c>
      <c r="S64" s="54">
        <f t="shared" si="8"/>
        <v>0</v>
      </c>
      <c r="T64" s="36"/>
      <c r="U64" s="52"/>
      <c r="V64" s="53">
        <f t="shared" si="9"/>
        <v>0</v>
      </c>
      <c r="W64" s="54">
        <f t="shared" si="10"/>
        <v>0</v>
      </c>
      <c r="X64" s="55">
        <f t="shared" si="12"/>
        <v>0</v>
      </c>
      <c r="Y64" s="36"/>
      <c r="Z64" s="56">
        <f t="shared" si="11"/>
        <v>0</v>
      </c>
      <c r="AA64" s="31"/>
      <c r="AB64" s="63"/>
      <c r="AC64" s="33"/>
      <c r="AD64" s="58"/>
      <c r="AR64" s="64"/>
      <c r="AS64" s="3"/>
      <c r="AT64" s="3"/>
      <c r="AU64" s="14"/>
    </row>
    <row r="65" ht="16.5" customHeight="1">
      <c r="A65" s="49">
        <v>59.0</v>
      </c>
      <c r="B65" s="50"/>
      <c r="C65" s="51"/>
      <c r="D65" s="52"/>
      <c r="E65" s="36"/>
      <c r="F65" s="53">
        <f t="shared" si="1"/>
        <v>0</v>
      </c>
      <c r="G65" s="54">
        <f t="shared" si="2"/>
        <v>0</v>
      </c>
      <c r="H65" s="52"/>
      <c r="I65" s="36"/>
      <c r="J65" s="53">
        <f t="shared" si="3"/>
        <v>0</v>
      </c>
      <c r="K65" s="54">
        <f t="shared" si="4"/>
        <v>0</v>
      </c>
      <c r="L65" s="52"/>
      <c r="M65" s="52"/>
      <c r="N65" s="53">
        <f t="shared" si="5"/>
        <v>0</v>
      </c>
      <c r="O65" s="54">
        <f t="shared" si="6"/>
        <v>0</v>
      </c>
      <c r="P65" s="36"/>
      <c r="Q65" s="52"/>
      <c r="R65" s="53">
        <f t="shared" si="7"/>
        <v>0</v>
      </c>
      <c r="S65" s="54">
        <f t="shared" si="8"/>
        <v>0</v>
      </c>
      <c r="T65" s="36"/>
      <c r="U65" s="52"/>
      <c r="V65" s="53">
        <f t="shared" si="9"/>
        <v>0</v>
      </c>
      <c r="W65" s="54">
        <f t="shared" si="10"/>
        <v>0</v>
      </c>
      <c r="X65" s="55">
        <f t="shared" si="12"/>
        <v>0</v>
      </c>
      <c r="Y65" s="36"/>
      <c r="Z65" s="56">
        <f t="shared" si="11"/>
        <v>0</v>
      </c>
      <c r="AA65" s="31"/>
      <c r="AB65" s="63"/>
      <c r="AC65" s="33"/>
      <c r="AD65" s="58"/>
      <c r="AR65" s="64"/>
      <c r="AS65" s="3"/>
      <c r="AT65" s="3"/>
      <c r="AU65" s="14"/>
    </row>
    <row r="66" ht="16.5" customHeight="1">
      <c r="A66" s="49">
        <v>60.0</v>
      </c>
      <c r="B66" s="50"/>
      <c r="C66" s="51"/>
      <c r="D66" s="52"/>
      <c r="E66" s="36"/>
      <c r="F66" s="53">
        <f t="shared" si="1"/>
        <v>0</v>
      </c>
      <c r="G66" s="54">
        <f t="shared" si="2"/>
        <v>0</v>
      </c>
      <c r="H66" s="52"/>
      <c r="I66" s="36"/>
      <c r="J66" s="53">
        <f t="shared" si="3"/>
        <v>0</v>
      </c>
      <c r="K66" s="54">
        <f t="shared" si="4"/>
        <v>0</v>
      </c>
      <c r="L66" s="52"/>
      <c r="M66" s="52"/>
      <c r="N66" s="53">
        <f t="shared" si="5"/>
        <v>0</v>
      </c>
      <c r="O66" s="54">
        <f t="shared" si="6"/>
        <v>0</v>
      </c>
      <c r="P66" s="36"/>
      <c r="Q66" s="52"/>
      <c r="R66" s="53">
        <f t="shared" si="7"/>
        <v>0</v>
      </c>
      <c r="S66" s="54">
        <f t="shared" si="8"/>
        <v>0</v>
      </c>
      <c r="T66" s="36"/>
      <c r="U66" s="52"/>
      <c r="V66" s="53">
        <f t="shared" si="9"/>
        <v>0</v>
      </c>
      <c r="W66" s="54">
        <f t="shared" si="10"/>
        <v>0</v>
      </c>
      <c r="X66" s="55">
        <f t="shared" si="12"/>
        <v>0</v>
      </c>
      <c r="Y66" s="36"/>
      <c r="Z66" s="56">
        <f t="shared" si="11"/>
        <v>0</v>
      </c>
      <c r="AA66" s="31"/>
      <c r="AB66" s="63"/>
      <c r="AC66" s="33"/>
      <c r="AD66" s="58"/>
      <c r="AR66" s="64"/>
      <c r="AS66" s="3"/>
      <c r="AT66" s="3"/>
      <c r="AU66" s="14"/>
    </row>
    <row r="67" ht="16.5" customHeight="1">
      <c r="A67" s="49">
        <v>61.0</v>
      </c>
      <c r="B67" s="50"/>
      <c r="C67" s="51"/>
      <c r="D67" s="52"/>
      <c r="E67" s="36"/>
      <c r="F67" s="53">
        <f t="shared" si="1"/>
        <v>0</v>
      </c>
      <c r="G67" s="54">
        <f t="shared" si="2"/>
        <v>0</v>
      </c>
      <c r="H67" s="52"/>
      <c r="I67" s="36"/>
      <c r="J67" s="53">
        <f t="shared" si="3"/>
        <v>0</v>
      </c>
      <c r="K67" s="54">
        <f t="shared" si="4"/>
        <v>0</v>
      </c>
      <c r="L67" s="52"/>
      <c r="M67" s="52"/>
      <c r="N67" s="53">
        <f t="shared" si="5"/>
        <v>0</v>
      </c>
      <c r="O67" s="54">
        <f t="shared" si="6"/>
        <v>0</v>
      </c>
      <c r="P67" s="36"/>
      <c r="Q67" s="52"/>
      <c r="R67" s="53">
        <f t="shared" si="7"/>
        <v>0</v>
      </c>
      <c r="S67" s="54">
        <f t="shared" si="8"/>
        <v>0</v>
      </c>
      <c r="T67" s="36"/>
      <c r="U67" s="52"/>
      <c r="V67" s="53">
        <f t="shared" si="9"/>
        <v>0</v>
      </c>
      <c r="W67" s="54">
        <f t="shared" si="10"/>
        <v>0</v>
      </c>
      <c r="X67" s="55">
        <f t="shared" si="12"/>
        <v>0</v>
      </c>
      <c r="Y67" s="36"/>
      <c r="Z67" s="56">
        <f t="shared" si="11"/>
        <v>0</v>
      </c>
      <c r="AA67" s="31"/>
      <c r="AB67" s="63"/>
      <c r="AC67" s="33"/>
      <c r="AD67" s="58"/>
      <c r="AR67" s="64"/>
      <c r="AS67" s="3"/>
      <c r="AT67" s="3"/>
      <c r="AU67" s="14"/>
    </row>
    <row r="68" ht="16.5" customHeight="1">
      <c r="A68" s="49">
        <v>62.0</v>
      </c>
      <c r="B68" s="50"/>
      <c r="C68" s="51"/>
      <c r="D68" s="52"/>
      <c r="E68" s="36"/>
      <c r="F68" s="53">
        <f t="shared" si="1"/>
        <v>0</v>
      </c>
      <c r="G68" s="54">
        <f t="shared" si="2"/>
        <v>0</v>
      </c>
      <c r="H68" s="52"/>
      <c r="I68" s="36"/>
      <c r="J68" s="53">
        <f t="shared" si="3"/>
        <v>0</v>
      </c>
      <c r="K68" s="54">
        <f t="shared" si="4"/>
        <v>0</v>
      </c>
      <c r="L68" s="52"/>
      <c r="M68" s="52"/>
      <c r="N68" s="53">
        <f t="shared" si="5"/>
        <v>0</v>
      </c>
      <c r="O68" s="54">
        <f t="shared" si="6"/>
        <v>0</v>
      </c>
      <c r="P68" s="36"/>
      <c r="Q68" s="52"/>
      <c r="R68" s="53">
        <f t="shared" si="7"/>
        <v>0</v>
      </c>
      <c r="S68" s="54">
        <f t="shared" si="8"/>
        <v>0</v>
      </c>
      <c r="T68" s="36"/>
      <c r="U68" s="52"/>
      <c r="V68" s="53">
        <f t="shared" si="9"/>
        <v>0</v>
      </c>
      <c r="W68" s="54">
        <f t="shared" si="10"/>
        <v>0</v>
      </c>
      <c r="X68" s="55">
        <f t="shared" si="12"/>
        <v>0</v>
      </c>
      <c r="Y68" s="36"/>
      <c r="Z68" s="56">
        <f t="shared" si="11"/>
        <v>0</v>
      </c>
      <c r="AA68" s="31"/>
      <c r="AB68" s="63"/>
      <c r="AC68" s="33"/>
      <c r="AD68" s="58"/>
      <c r="AR68" s="64"/>
      <c r="AS68" s="3"/>
      <c r="AT68" s="3"/>
      <c r="AU68" s="14"/>
    </row>
    <row r="69" ht="16.5" customHeight="1">
      <c r="A69" s="49">
        <v>63.0</v>
      </c>
      <c r="B69" s="50"/>
      <c r="C69" s="51"/>
      <c r="D69" s="52"/>
      <c r="E69" s="36"/>
      <c r="F69" s="53">
        <f t="shared" si="1"/>
        <v>0</v>
      </c>
      <c r="G69" s="54">
        <f t="shared" si="2"/>
        <v>0</v>
      </c>
      <c r="H69" s="52"/>
      <c r="I69" s="36"/>
      <c r="J69" s="53">
        <f t="shared" si="3"/>
        <v>0</v>
      </c>
      <c r="K69" s="54">
        <f t="shared" si="4"/>
        <v>0</v>
      </c>
      <c r="L69" s="52"/>
      <c r="M69" s="52"/>
      <c r="N69" s="53">
        <f t="shared" si="5"/>
        <v>0</v>
      </c>
      <c r="O69" s="54">
        <f t="shared" si="6"/>
        <v>0</v>
      </c>
      <c r="P69" s="36"/>
      <c r="Q69" s="52"/>
      <c r="R69" s="53">
        <f t="shared" si="7"/>
        <v>0</v>
      </c>
      <c r="S69" s="54">
        <f t="shared" si="8"/>
        <v>0</v>
      </c>
      <c r="T69" s="36"/>
      <c r="U69" s="52"/>
      <c r="V69" s="53">
        <f t="shared" si="9"/>
        <v>0</v>
      </c>
      <c r="W69" s="54">
        <f t="shared" si="10"/>
        <v>0</v>
      </c>
      <c r="X69" s="55">
        <f t="shared" si="12"/>
        <v>0</v>
      </c>
      <c r="Y69" s="36"/>
      <c r="Z69" s="56">
        <f t="shared" si="11"/>
        <v>0</v>
      </c>
      <c r="AA69" s="31"/>
      <c r="AB69" s="63"/>
      <c r="AC69" s="33"/>
      <c r="AD69" s="58"/>
      <c r="AR69" s="64"/>
      <c r="AS69" s="3"/>
      <c r="AT69" s="3"/>
      <c r="AU69" s="14"/>
    </row>
    <row r="70" ht="16.5" customHeight="1">
      <c r="A70" s="49">
        <v>64.0</v>
      </c>
      <c r="B70" s="50"/>
      <c r="C70" s="51"/>
      <c r="D70" s="52"/>
      <c r="E70" s="36"/>
      <c r="F70" s="53">
        <f t="shared" si="1"/>
        <v>0</v>
      </c>
      <c r="G70" s="54">
        <f t="shared" si="2"/>
        <v>0</v>
      </c>
      <c r="H70" s="52"/>
      <c r="I70" s="36"/>
      <c r="J70" s="53">
        <f t="shared" si="3"/>
        <v>0</v>
      </c>
      <c r="K70" s="54">
        <f t="shared" si="4"/>
        <v>0</v>
      </c>
      <c r="L70" s="52"/>
      <c r="M70" s="52"/>
      <c r="N70" s="53">
        <f t="shared" si="5"/>
        <v>0</v>
      </c>
      <c r="O70" s="54">
        <f t="shared" si="6"/>
        <v>0</v>
      </c>
      <c r="P70" s="36"/>
      <c r="Q70" s="52"/>
      <c r="R70" s="53">
        <f t="shared" si="7"/>
        <v>0</v>
      </c>
      <c r="S70" s="54">
        <f t="shared" si="8"/>
        <v>0</v>
      </c>
      <c r="T70" s="36"/>
      <c r="U70" s="52"/>
      <c r="V70" s="53">
        <f t="shared" si="9"/>
        <v>0</v>
      </c>
      <c r="W70" s="54">
        <f t="shared" si="10"/>
        <v>0</v>
      </c>
      <c r="X70" s="55">
        <f t="shared" si="12"/>
        <v>0</v>
      </c>
      <c r="Y70" s="36"/>
      <c r="Z70" s="56">
        <f t="shared" si="11"/>
        <v>0</v>
      </c>
      <c r="AA70" s="31"/>
      <c r="AB70" s="63"/>
      <c r="AC70" s="33"/>
      <c r="AD70" s="58"/>
      <c r="AR70" s="64"/>
      <c r="AS70" s="3"/>
      <c r="AT70" s="3"/>
      <c r="AU70" s="14"/>
    </row>
    <row r="71" ht="16.5" customHeight="1">
      <c r="A71" s="49">
        <v>65.0</v>
      </c>
      <c r="B71" s="50"/>
      <c r="C71" s="51"/>
      <c r="D71" s="52"/>
      <c r="E71" s="36"/>
      <c r="F71" s="53">
        <f t="shared" si="1"/>
        <v>0</v>
      </c>
      <c r="G71" s="54">
        <f t="shared" si="2"/>
        <v>0</v>
      </c>
      <c r="H71" s="52"/>
      <c r="I71" s="36"/>
      <c r="J71" s="53">
        <f t="shared" si="3"/>
        <v>0</v>
      </c>
      <c r="K71" s="54">
        <f t="shared" si="4"/>
        <v>0</v>
      </c>
      <c r="L71" s="52"/>
      <c r="M71" s="52"/>
      <c r="N71" s="53">
        <f t="shared" si="5"/>
        <v>0</v>
      </c>
      <c r="O71" s="54">
        <f t="shared" si="6"/>
        <v>0</v>
      </c>
      <c r="P71" s="36"/>
      <c r="Q71" s="52"/>
      <c r="R71" s="53">
        <f t="shared" si="7"/>
        <v>0</v>
      </c>
      <c r="S71" s="54">
        <f t="shared" si="8"/>
        <v>0</v>
      </c>
      <c r="T71" s="36"/>
      <c r="U71" s="52"/>
      <c r="V71" s="53">
        <f t="shared" si="9"/>
        <v>0</v>
      </c>
      <c r="W71" s="54">
        <f t="shared" si="10"/>
        <v>0</v>
      </c>
      <c r="X71" s="55">
        <f t="shared" si="12"/>
        <v>0</v>
      </c>
      <c r="Y71" s="36"/>
      <c r="Z71" s="56">
        <f t="shared" si="11"/>
        <v>0</v>
      </c>
      <c r="AA71" s="31"/>
      <c r="AB71" s="63"/>
      <c r="AC71" s="33"/>
      <c r="AD71" s="58"/>
      <c r="AR71" s="64"/>
      <c r="AS71" s="3"/>
      <c r="AT71" s="3"/>
      <c r="AU71" s="14"/>
    </row>
    <row r="72" ht="16.5" customHeight="1">
      <c r="A72" s="49">
        <v>66.0</v>
      </c>
      <c r="B72" s="50"/>
      <c r="C72" s="51"/>
      <c r="D72" s="52"/>
      <c r="E72" s="36"/>
      <c r="F72" s="53">
        <f t="shared" si="1"/>
        <v>0</v>
      </c>
      <c r="G72" s="54">
        <f t="shared" si="2"/>
        <v>0</v>
      </c>
      <c r="H72" s="52"/>
      <c r="I72" s="36"/>
      <c r="J72" s="53">
        <f t="shared" si="3"/>
        <v>0</v>
      </c>
      <c r="K72" s="54">
        <f t="shared" si="4"/>
        <v>0</v>
      </c>
      <c r="L72" s="52"/>
      <c r="M72" s="52"/>
      <c r="N72" s="53">
        <f t="shared" si="5"/>
        <v>0</v>
      </c>
      <c r="O72" s="54">
        <f t="shared" si="6"/>
        <v>0</v>
      </c>
      <c r="P72" s="36"/>
      <c r="Q72" s="52"/>
      <c r="R72" s="53">
        <f t="shared" si="7"/>
        <v>0</v>
      </c>
      <c r="S72" s="54">
        <f t="shared" si="8"/>
        <v>0</v>
      </c>
      <c r="T72" s="36"/>
      <c r="U72" s="52"/>
      <c r="V72" s="53">
        <f t="shared" si="9"/>
        <v>0</v>
      </c>
      <c r="W72" s="54">
        <f t="shared" si="10"/>
        <v>0</v>
      </c>
      <c r="X72" s="55">
        <f t="shared" si="12"/>
        <v>0</v>
      </c>
      <c r="Y72" s="36"/>
      <c r="Z72" s="56">
        <f t="shared" si="11"/>
        <v>0</v>
      </c>
      <c r="AA72" s="31"/>
      <c r="AB72" s="63"/>
      <c r="AC72" s="33"/>
      <c r="AD72" s="58"/>
      <c r="AR72" s="64"/>
      <c r="AS72" s="3"/>
      <c r="AT72" s="3"/>
      <c r="AU72" s="14"/>
    </row>
    <row r="73" ht="16.5" customHeight="1">
      <c r="A73" s="49">
        <v>67.0</v>
      </c>
      <c r="B73" s="50"/>
      <c r="C73" s="51"/>
      <c r="D73" s="52"/>
      <c r="E73" s="36"/>
      <c r="F73" s="53">
        <f t="shared" si="1"/>
        <v>0</v>
      </c>
      <c r="G73" s="54">
        <f t="shared" si="2"/>
        <v>0</v>
      </c>
      <c r="H73" s="52"/>
      <c r="I73" s="36"/>
      <c r="J73" s="53">
        <f t="shared" si="3"/>
        <v>0</v>
      </c>
      <c r="K73" s="54">
        <f t="shared" si="4"/>
        <v>0</v>
      </c>
      <c r="L73" s="52"/>
      <c r="M73" s="52"/>
      <c r="N73" s="53">
        <f t="shared" si="5"/>
        <v>0</v>
      </c>
      <c r="O73" s="54">
        <f t="shared" si="6"/>
        <v>0</v>
      </c>
      <c r="P73" s="36"/>
      <c r="Q73" s="52"/>
      <c r="R73" s="53">
        <f t="shared" si="7"/>
        <v>0</v>
      </c>
      <c r="S73" s="54">
        <f t="shared" si="8"/>
        <v>0</v>
      </c>
      <c r="T73" s="36"/>
      <c r="U73" s="52"/>
      <c r="V73" s="53">
        <f t="shared" si="9"/>
        <v>0</v>
      </c>
      <c r="W73" s="54">
        <f t="shared" si="10"/>
        <v>0</v>
      </c>
      <c r="X73" s="55">
        <f t="shared" si="12"/>
        <v>0</v>
      </c>
      <c r="Y73" s="36"/>
      <c r="Z73" s="56">
        <f t="shared" si="11"/>
        <v>0</v>
      </c>
      <c r="AA73" s="31"/>
      <c r="AB73" s="63"/>
      <c r="AC73" s="33"/>
      <c r="AD73" s="58"/>
      <c r="AR73" s="64"/>
      <c r="AS73" s="3"/>
      <c r="AT73" s="3"/>
      <c r="AU73" s="14"/>
    </row>
    <row r="74" ht="16.5" customHeight="1">
      <c r="A74" s="49">
        <v>68.0</v>
      </c>
      <c r="B74" s="50"/>
      <c r="C74" s="51"/>
      <c r="D74" s="52"/>
      <c r="E74" s="36"/>
      <c r="F74" s="53">
        <f t="shared" si="1"/>
        <v>0</v>
      </c>
      <c r="G74" s="54">
        <f t="shared" si="2"/>
        <v>0</v>
      </c>
      <c r="H74" s="52"/>
      <c r="I74" s="36"/>
      <c r="J74" s="53">
        <f t="shared" si="3"/>
        <v>0</v>
      </c>
      <c r="K74" s="54">
        <f t="shared" si="4"/>
        <v>0</v>
      </c>
      <c r="L74" s="52"/>
      <c r="M74" s="52"/>
      <c r="N74" s="53">
        <f t="shared" si="5"/>
        <v>0</v>
      </c>
      <c r="O74" s="54">
        <f t="shared" si="6"/>
        <v>0</v>
      </c>
      <c r="P74" s="36"/>
      <c r="Q74" s="52"/>
      <c r="R74" s="53">
        <f t="shared" si="7"/>
        <v>0</v>
      </c>
      <c r="S74" s="54">
        <f t="shared" si="8"/>
        <v>0</v>
      </c>
      <c r="T74" s="36"/>
      <c r="U74" s="52"/>
      <c r="V74" s="53">
        <f t="shared" si="9"/>
        <v>0</v>
      </c>
      <c r="W74" s="54">
        <f t="shared" si="10"/>
        <v>0</v>
      </c>
      <c r="X74" s="55">
        <f t="shared" si="12"/>
        <v>0</v>
      </c>
      <c r="Y74" s="36"/>
      <c r="Z74" s="56">
        <f t="shared" si="11"/>
        <v>0</v>
      </c>
      <c r="AA74" s="31"/>
      <c r="AB74" s="63"/>
      <c r="AC74" s="33"/>
      <c r="AD74" s="58"/>
      <c r="AR74" s="64"/>
      <c r="AS74" s="3"/>
      <c r="AT74" s="3"/>
      <c r="AU74" s="14"/>
    </row>
    <row r="75" ht="16.5" customHeight="1">
      <c r="A75" s="49">
        <v>69.0</v>
      </c>
      <c r="B75" s="50"/>
      <c r="C75" s="51"/>
      <c r="D75" s="52"/>
      <c r="E75" s="36"/>
      <c r="F75" s="53">
        <f t="shared" si="1"/>
        <v>0</v>
      </c>
      <c r="G75" s="54">
        <f t="shared" si="2"/>
        <v>0</v>
      </c>
      <c r="H75" s="52"/>
      <c r="I75" s="36"/>
      <c r="J75" s="53">
        <f t="shared" si="3"/>
        <v>0</v>
      </c>
      <c r="K75" s="54">
        <f t="shared" si="4"/>
        <v>0</v>
      </c>
      <c r="L75" s="52"/>
      <c r="M75" s="52"/>
      <c r="N75" s="53">
        <f t="shared" si="5"/>
        <v>0</v>
      </c>
      <c r="O75" s="54">
        <f t="shared" si="6"/>
        <v>0</v>
      </c>
      <c r="P75" s="36"/>
      <c r="Q75" s="52"/>
      <c r="R75" s="53">
        <f t="shared" si="7"/>
        <v>0</v>
      </c>
      <c r="S75" s="54">
        <f t="shared" si="8"/>
        <v>0</v>
      </c>
      <c r="T75" s="36"/>
      <c r="U75" s="52"/>
      <c r="V75" s="53">
        <f t="shared" si="9"/>
        <v>0</v>
      </c>
      <c r="W75" s="54">
        <f t="shared" si="10"/>
        <v>0</v>
      </c>
      <c r="X75" s="55">
        <f t="shared" si="12"/>
        <v>0</v>
      </c>
      <c r="Y75" s="36"/>
      <c r="Z75" s="56">
        <f t="shared" si="11"/>
        <v>0</v>
      </c>
      <c r="AA75" s="31"/>
      <c r="AB75" s="63"/>
      <c r="AC75" s="33"/>
      <c r="AD75" s="58"/>
      <c r="AR75" s="64"/>
      <c r="AS75" s="3"/>
      <c r="AT75" s="3"/>
      <c r="AU75" s="14"/>
    </row>
    <row r="76" ht="16.5" customHeight="1">
      <c r="A76" s="49">
        <v>70.0</v>
      </c>
      <c r="B76" s="50"/>
      <c r="C76" s="51"/>
      <c r="D76" s="52"/>
      <c r="E76" s="36"/>
      <c r="F76" s="53">
        <f t="shared" si="1"/>
        <v>0</v>
      </c>
      <c r="G76" s="54">
        <f t="shared" si="2"/>
        <v>0</v>
      </c>
      <c r="H76" s="52"/>
      <c r="I76" s="36"/>
      <c r="J76" s="53">
        <f t="shared" si="3"/>
        <v>0</v>
      </c>
      <c r="K76" s="54">
        <f t="shared" si="4"/>
        <v>0</v>
      </c>
      <c r="L76" s="52"/>
      <c r="M76" s="52"/>
      <c r="N76" s="53">
        <f t="shared" si="5"/>
        <v>0</v>
      </c>
      <c r="O76" s="54">
        <f t="shared" si="6"/>
        <v>0</v>
      </c>
      <c r="P76" s="36"/>
      <c r="Q76" s="52"/>
      <c r="R76" s="53">
        <f t="shared" si="7"/>
        <v>0</v>
      </c>
      <c r="S76" s="54">
        <f t="shared" si="8"/>
        <v>0</v>
      </c>
      <c r="T76" s="36"/>
      <c r="U76" s="52"/>
      <c r="V76" s="53">
        <f t="shared" si="9"/>
        <v>0</v>
      </c>
      <c r="W76" s="54">
        <f t="shared" si="10"/>
        <v>0</v>
      </c>
      <c r="X76" s="55">
        <f t="shared" si="12"/>
        <v>0</v>
      </c>
      <c r="Y76" s="36"/>
      <c r="Z76" s="56">
        <f t="shared" si="11"/>
        <v>0</v>
      </c>
      <c r="AA76" s="31"/>
      <c r="AB76" s="63"/>
      <c r="AC76" s="33"/>
      <c r="AD76" s="58"/>
      <c r="AR76" s="64"/>
      <c r="AS76" s="3"/>
      <c r="AT76" s="3"/>
      <c r="AU76" s="14"/>
    </row>
    <row r="77" ht="16.5" customHeight="1">
      <c r="A77" s="49">
        <v>71.0</v>
      </c>
      <c r="B77" s="50"/>
      <c r="C77" s="51"/>
      <c r="D77" s="52"/>
      <c r="E77" s="36"/>
      <c r="F77" s="53">
        <f t="shared" si="1"/>
        <v>0</v>
      </c>
      <c r="G77" s="54">
        <f t="shared" si="2"/>
        <v>0</v>
      </c>
      <c r="H77" s="52"/>
      <c r="I77" s="36"/>
      <c r="J77" s="53">
        <f t="shared" si="3"/>
        <v>0</v>
      </c>
      <c r="K77" s="54">
        <f t="shared" si="4"/>
        <v>0</v>
      </c>
      <c r="L77" s="52"/>
      <c r="M77" s="52"/>
      <c r="N77" s="53">
        <f t="shared" si="5"/>
        <v>0</v>
      </c>
      <c r="O77" s="54">
        <f t="shared" si="6"/>
        <v>0</v>
      </c>
      <c r="P77" s="36"/>
      <c r="Q77" s="52"/>
      <c r="R77" s="53">
        <f t="shared" si="7"/>
        <v>0</v>
      </c>
      <c r="S77" s="54">
        <f t="shared" si="8"/>
        <v>0</v>
      </c>
      <c r="T77" s="36"/>
      <c r="U77" s="52"/>
      <c r="V77" s="53">
        <f t="shared" si="9"/>
        <v>0</v>
      </c>
      <c r="W77" s="54">
        <f t="shared" si="10"/>
        <v>0</v>
      </c>
      <c r="X77" s="55">
        <f t="shared" si="12"/>
        <v>0</v>
      </c>
      <c r="Y77" s="36"/>
      <c r="Z77" s="56">
        <f t="shared" si="11"/>
        <v>0</v>
      </c>
      <c r="AA77" s="31"/>
      <c r="AB77" s="63"/>
      <c r="AC77" s="33"/>
      <c r="AD77" s="58"/>
      <c r="AR77" s="64"/>
      <c r="AS77" s="3"/>
      <c r="AT77" s="3"/>
      <c r="AU77" s="14"/>
    </row>
    <row r="78" ht="16.5" customHeight="1">
      <c r="A78" s="49">
        <v>73.0</v>
      </c>
      <c r="B78" s="50"/>
      <c r="C78" s="51"/>
      <c r="D78" s="52"/>
      <c r="E78" s="36"/>
      <c r="F78" s="53">
        <f t="shared" si="1"/>
        <v>0</v>
      </c>
      <c r="G78" s="54">
        <f t="shared" si="2"/>
        <v>0</v>
      </c>
      <c r="H78" s="52"/>
      <c r="I78" s="36"/>
      <c r="J78" s="53">
        <f t="shared" si="3"/>
        <v>0</v>
      </c>
      <c r="K78" s="54">
        <f t="shared" si="4"/>
        <v>0</v>
      </c>
      <c r="L78" s="52"/>
      <c r="M78" s="52"/>
      <c r="N78" s="53">
        <f t="shared" si="5"/>
        <v>0</v>
      </c>
      <c r="O78" s="54">
        <f t="shared" si="6"/>
        <v>0</v>
      </c>
      <c r="P78" s="36"/>
      <c r="Q78" s="52"/>
      <c r="R78" s="53">
        <f t="shared" si="7"/>
        <v>0</v>
      </c>
      <c r="S78" s="54">
        <f t="shared" si="8"/>
        <v>0</v>
      </c>
      <c r="T78" s="36"/>
      <c r="U78" s="52"/>
      <c r="V78" s="53">
        <f t="shared" si="9"/>
        <v>0</v>
      </c>
      <c r="W78" s="54">
        <f t="shared" si="10"/>
        <v>0</v>
      </c>
      <c r="X78" s="55">
        <f t="shared" si="12"/>
        <v>0</v>
      </c>
      <c r="Y78" s="36"/>
      <c r="Z78" s="56">
        <f t="shared" si="11"/>
        <v>0</v>
      </c>
      <c r="AA78" s="31"/>
      <c r="AB78" s="63"/>
      <c r="AC78" s="33"/>
      <c r="AD78" s="58"/>
      <c r="AR78" s="64"/>
      <c r="AS78" s="3"/>
      <c r="AT78" s="3"/>
      <c r="AU78" s="14"/>
    </row>
    <row r="79" ht="16.5" customHeight="1">
      <c r="A79" s="49">
        <v>74.0</v>
      </c>
      <c r="B79" s="50"/>
      <c r="C79" s="51"/>
      <c r="D79" s="52"/>
      <c r="E79" s="36"/>
      <c r="F79" s="53">
        <f t="shared" si="1"/>
        <v>0</v>
      </c>
      <c r="G79" s="54">
        <f t="shared" si="2"/>
        <v>0</v>
      </c>
      <c r="H79" s="52"/>
      <c r="I79" s="36"/>
      <c r="J79" s="53">
        <f t="shared" si="3"/>
        <v>0</v>
      </c>
      <c r="K79" s="54">
        <f t="shared" si="4"/>
        <v>0</v>
      </c>
      <c r="L79" s="52"/>
      <c r="M79" s="52"/>
      <c r="N79" s="53">
        <f t="shared" si="5"/>
        <v>0</v>
      </c>
      <c r="O79" s="54">
        <f t="shared" si="6"/>
        <v>0</v>
      </c>
      <c r="P79" s="36"/>
      <c r="Q79" s="52"/>
      <c r="R79" s="53">
        <f t="shared" si="7"/>
        <v>0</v>
      </c>
      <c r="S79" s="54">
        <f t="shared" si="8"/>
        <v>0</v>
      </c>
      <c r="T79" s="36"/>
      <c r="U79" s="52"/>
      <c r="V79" s="53">
        <f t="shared" si="9"/>
        <v>0</v>
      </c>
      <c r="W79" s="54">
        <f t="shared" si="10"/>
        <v>0</v>
      </c>
      <c r="X79" s="55">
        <f t="shared" si="12"/>
        <v>0</v>
      </c>
      <c r="Y79" s="36"/>
      <c r="Z79" s="56">
        <f t="shared" si="11"/>
        <v>0</v>
      </c>
      <c r="AA79" s="31"/>
      <c r="AB79" s="63"/>
      <c r="AC79" s="33"/>
      <c r="AD79" s="58"/>
      <c r="AR79" s="64"/>
      <c r="AS79" s="3"/>
      <c r="AT79" s="3"/>
      <c r="AU79" s="14"/>
    </row>
    <row r="80" ht="16.5" customHeight="1">
      <c r="A80" s="49">
        <v>75.0</v>
      </c>
      <c r="B80" s="50"/>
      <c r="C80" s="51"/>
      <c r="D80" s="52"/>
      <c r="E80" s="36"/>
      <c r="F80" s="53">
        <f t="shared" si="1"/>
        <v>0</v>
      </c>
      <c r="G80" s="54">
        <f t="shared" si="2"/>
        <v>0</v>
      </c>
      <c r="H80" s="52"/>
      <c r="I80" s="36"/>
      <c r="J80" s="53">
        <f t="shared" si="3"/>
        <v>0</v>
      </c>
      <c r="K80" s="54">
        <f t="shared" si="4"/>
        <v>0</v>
      </c>
      <c r="L80" s="52"/>
      <c r="M80" s="52"/>
      <c r="N80" s="53">
        <f t="shared" si="5"/>
        <v>0</v>
      </c>
      <c r="O80" s="54">
        <f t="shared" si="6"/>
        <v>0</v>
      </c>
      <c r="P80" s="36"/>
      <c r="Q80" s="52"/>
      <c r="R80" s="53">
        <f t="shared" si="7"/>
        <v>0</v>
      </c>
      <c r="S80" s="54">
        <f t="shared" si="8"/>
        <v>0</v>
      </c>
      <c r="T80" s="36"/>
      <c r="U80" s="52"/>
      <c r="V80" s="53">
        <f t="shared" si="9"/>
        <v>0</v>
      </c>
      <c r="W80" s="54">
        <f t="shared" si="10"/>
        <v>0</v>
      </c>
      <c r="X80" s="55">
        <f t="shared" si="12"/>
        <v>0</v>
      </c>
      <c r="Y80" s="36"/>
      <c r="Z80" s="56">
        <f t="shared" si="11"/>
        <v>0</v>
      </c>
      <c r="AA80" s="31"/>
      <c r="AB80" s="63"/>
      <c r="AC80" s="33"/>
      <c r="AD80" s="58"/>
      <c r="AR80" s="64"/>
      <c r="AS80" s="3"/>
      <c r="AT80" s="3"/>
      <c r="AU80" s="14"/>
    </row>
    <row r="81" ht="16.5" customHeight="1">
      <c r="A81" s="49">
        <v>76.0</v>
      </c>
      <c r="B81" s="50"/>
      <c r="C81" s="51"/>
      <c r="D81" s="52"/>
      <c r="E81" s="36"/>
      <c r="F81" s="53">
        <f t="shared" si="1"/>
        <v>0</v>
      </c>
      <c r="G81" s="54">
        <f t="shared" si="2"/>
        <v>0</v>
      </c>
      <c r="H81" s="52"/>
      <c r="I81" s="36"/>
      <c r="J81" s="53">
        <f t="shared" si="3"/>
        <v>0</v>
      </c>
      <c r="K81" s="54">
        <f t="shared" si="4"/>
        <v>0</v>
      </c>
      <c r="L81" s="52"/>
      <c r="M81" s="52"/>
      <c r="N81" s="53">
        <f t="shared" si="5"/>
        <v>0</v>
      </c>
      <c r="O81" s="54">
        <f t="shared" si="6"/>
        <v>0</v>
      </c>
      <c r="P81" s="36"/>
      <c r="Q81" s="52"/>
      <c r="R81" s="53">
        <f t="shared" si="7"/>
        <v>0</v>
      </c>
      <c r="S81" s="54">
        <f t="shared" si="8"/>
        <v>0</v>
      </c>
      <c r="T81" s="36"/>
      <c r="U81" s="52"/>
      <c r="V81" s="53">
        <f t="shared" si="9"/>
        <v>0</v>
      </c>
      <c r="W81" s="54">
        <f t="shared" si="10"/>
        <v>0</v>
      </c>
      <c r="X81" s="55">
        <f t="shared" si="12"/>
        <v>0</v>
      </c>
      <c r="Y81" s="36"/>
      <c r="Z81" s="56">
        <f t="shared" si="11"/>
        <v>0</v>
      </c>
      <c r="AA81" s="31"/>
      <c r="AB81" s="63"/>
      <c r="AC81" s="33"/>
      <c r="AD81" s="58"/>
      <c r="AR81" s="64"/>
      <c r="AS81" s="3"/>
      <c r="AT81" s="3"/>
      <c r="AU81" s="14"/>
    </row>
    <row r="82" ht="16.5" customHeight="1">
      <c r="A82" s="49">
        <v>77.0</v>
      </c>
      <c r="B82" s="50"/>
      <c r="C82" s="51"/>
      <c r="D82" s="52"/>
      <c r="E82" s="36"/>
      <c r="F82" s="53">
        <f t="shared" si="1"/>
        <v>0</v>
      </c>
      <c r="G82" s="54">
        <f t="shared" si="2"/>
        <v>0</v>
      </c>
      <c r="H82" s="52"/>
      <c r="I82" s="36"/>
      <c r="J82" s="53">
        <f t="shared" si="3"/>
        <v>0</v>
      </c>
      <c r="K82" s="54">
        <f t="shared" si="4"/>
        <v>0</v>
      </c>
      <c r="L82" s="52"/>
      <c r="M82" s="52"/>
      <c r="N82" s="53">
        <f t="shared" si="5"/>
        <v>0</v>
      </c>
      <c r="O82" s="54">
        <f t="shared" si="6"/>
        <v>0</v>
      </c>
      <c r="P82" s="36"/>
      <c r="Q82" s="52"/>
      <c r="R82" s="53">
        <f t="shared" si="7"/>
        <v>0</v>
      </c>
      <c r="S82" s="54">
        <f t="shared" si="8"/>
        <v>0</v>
      </c>
      <c r="T82" s="36"/>
      <c r="U82" s="52"/>
      <c r="V82" s="53">
        <f t="shared" si="9"/>
        <v>0</v>
      </c>
      <c r="W82" s="54">
        <f t="shared" si="10"/>
        <v>0</v>
      </c>
      <c r="X82" s="55">
        <f t="shared" si="12"/>
        <v>0</v>
      </c>
      <c r="Y82" s="36"/>
      <c r="Z82" s="56">
        <f t="shared" si="11"/>
        <v>0</v>
      </c>
      <c r="AA82" s="31"/>
      <c r="AB82" s="63"/>
      <c r="AC82" s="33"/>
      <c r="AD82" s="58"/>
      <c r="AR82" s="64"/>
      <c r="AS82" s="3"/>
      <c r="AT82" s="3"/>
      <c r="AU82" s="14"/>
    </row>
    <row r="83" ht="16.5" customHeight="1">
      <c r="A83" s="49">
        <v>78.0</v>
      </c>
      <c r="B83" s="50"/>
      <c r="C83" s="51"/>
      <c r="D83" s="52"/>
      <c r="E83" s="36"/>
      <c r="F83" s="53">
        <f t="shared" si="1"/>
        <v>0</v>
      </c>
      <c r="G83" s="54">
        <f t="shared" si="2"/>
        <v>0</v>
      </c>
      <c r="H83" s="52"/>
      <c r="I83" s="36"/>
      <c r="J83" s="53">
        <f t="shared" si="3"/>
        <v>0</v>
      </c>
      <c r="K83" s="54">
        <f t="shared" si="4"/>
        <v>0</v>
      </c>
      <c r="L83" s="52"/>
      <c r="M83" s="52"/>
      <c r="N83" s="53">
        <f t="shared" si="5"/>
        <v>0</v>
      </c>
      <c r="O83" s="54">
        <f t="shared" si="6"/>
        <v>0</v>
      </c>
      <c r="P83" s="36"/>
      <c r="Q83" s="52"/>
      <c r="R83" s="53">
        <f t="shared" si="7"/>
        <v>0</v>
      </c>
      <c r="S83" s="54">
        <f t="shared" si="8"/>
        <v>0</v>
      </c>
      <c r="T83" s="36"/>
      <c r="U83" s="52"/>
      <c r="V83" s="53">
        <f t="shared" si="9"/>
        <v>0</v>
      </c>
      <c r="W83" s="54">
        <f t="shared" si="10"/>
        <v>0</v>
      </c>
      <c r="X83" s="55">
        <f t="shared" si="12"/>
        <v>0</v>
      </c>
      <c r="Y83" s="36"/>
      <c r="Z83" s="56">
        <f t="shared" si="11"/>
        <v>0</v>
      </c>
      <c r="AA83" s="31"/>
      <c r="AB83" s="63"/>
      <c r="AC83" s="33"/>
      <c r="AD83" s="58"/>
      <c r="AR83" s="64"/>
      <c r="AS83" s="3"/>
      <c r="AT83" s="3"/>
      <c r="AU83" s="14"/>
    </row>
    <row r="84" ht="16.5" customHeight="1">
      <c r="A84" s="49">
        <v>79.0</v>
      </c>
      <c r="B84" s="50"/>
      <c r="C84" s="51"/>
      <c r="D84" s="52"/>
      <c r="E84" s="36"/>
      <c r="F84" s="53">
        <f t="shared" si="1"/>
        <v>0</v>
      </c>
      <c r="G84" s="54">
        <f t="shared" si="2"/>
        <v>0</v>
      </c>
      <c r="H84" s="52"/>
      <c r="I84" s="36"/>
      <c r="J84" s="53">
        <f t="shared" si="3"/>
        <v>0</v>
      </c>
      <c r="K84" s="54">
        <f t="shared" si="4"/>
        <v>0</v>
      </c>
      <c r="L84" s="52"/>
      <c r="M84" s="52"/>
      <c r="N84" s="53">
        <f t="shared" si="5"/>
        <v>0</v>
      </c>
      <c r="O84" s="54">
        <f t="shared" si="6"/>
        <v>0</v>
      </c>
      <c r="P84" s="36"/>
      <c r="Q84" s="52"/>
      <c r="R84" s="53">
        <f t="shared" si="7"/>
        <v>0</v>
      </c>
      <c r="S84" s="54">
        <f t="shared" si="8"/>
        <v>0</v>
      </c>
      <c r="T84" s="36"/>
      <c r="U84" s="52"/>
      <c r="V84" s="53">
        <f t="shared" si="9"/>
        <v>0</v>
      </c>
      <c r="W84" s="54">
        <f t="shared" si="10"/>
        <v>0</v>
      </c>
      <c r="X84" s="55">
        <f t="shared" si="12"/>
        <v>0</v>
      </c>
      <c r="Y84" s="36"/>
      <c r="Z84" s="56">
        <f t="shared" si="11"/>
        <v>0</v>
      </c>
      <c r="AA84" s="31"/>
      <c r="AB84" s="63"/>
      <c r="AC84" s="33"/>
      <c r="AD84" s="58"/>
      <c r="AR84" s="64"/>
      <c r="AS84" s="3"/>
      <c r="AT84" s="3"/>
      <c r="AU84" s="14"/>
    </row>
    <row r="85" ht="16.5" customHeight="1">
      <c r="A85" s="49">
        <v>80.0</v>
      </c>
      <c r="B85" s="50"/>
      <c r="C85" s="51"/>
      <c r="D85" s="52"/>
      <c r="E85" s="36"/>
      <c r="F85" s="53">
        <f t="shared" si="1"/>
        <v>0</v>
      </c>
      <c r="G85" s="54">
        <f t="shared" si="2"/>
        <v>0</v>
      </c>
      <c r="H85" s="52"/>
      <c r="I85" s="36"/>
      <c r="J85" s="53">
        <f t="shared" si="3"/>
        <v>0</v>
      </c>
      <c r="K85" s="54">
        <f t="shared" si="4"/>
        <v>0</v>
      </c>
      <c r="L85" s="52"/>
      <c r="M85" s="52"/>
      <c r="N85" s="53">
        <f t="shared" si="5"/>
        <v>0</v>
      </c>
      <c r="O85" s="54">
        <f t="shared" si="6"/>
        <v>0</v>
      </c>
      <c r="P85" s="36"/>
      <c r="Q85" s="52"/>
      <c r="R85" s="53">
        <f t="shared" si="7"/>
        <v>0</v>
      </c>
      <c r="S85" s="54">
        <f t="shared" si="8"/>
        <v>0</v>
      </c>
      <c r="T85" s="36"/>
      <c r="U85" s="52"/>
      <c r="V85" s="53">
        <f t="shared" si="9"/>
        <v>0</v>
      </c>
      <c r="W85" s="54">
        <f t="shared" si="10"/>
        <v>0</v>
      </c>
      <c r="X85" s="55">
        <f t="shared" si="12"/>
        <v>0</v>
      </c>
      <c r="Y85" s="36"/>
      <c r="Z85" s="56">
        <f t="shared" si="11"/>
        <v>0</v>
      </c>
      <c r="AA85" s="31"/>
      <c r="AB85" s="63"/>
      <c r="AC85" s="33"/>
      <c r="AD85" s="58"/>
      <c r="AR85" s="64"/>
      <c r="AS85" s="3"/>
      <c r="AT85" s="3"/>
      <c r="AU85" s="14"/>
    </row>
    <row r="86" ht="16.5" customHeight="1">
      <c r="A86" s="49">
        <v>81.0</v>
      </c>
      <c r="B86" s="50"/>
      <c r="C86" s="51"/>
      <c r="D86" s="52"/>
      <c r="E86" s="36"/>
      <c r="F86" s="53">
        <f t="shared" si="1"/>
        <v>0</v>
      </c>
      <c r="G86" s="54">
        <f t="shared" si="2"/>
        <v>0</v>
      </c>
      <c r="H86" s="52"/>
      <c r="I86" s="36"/>
      <c r="J86" s="53">
        <f t="shared" si="3"/>
        <v>0</v>
      </c>
      <c r="K86" s="54">
        <f t="shared" si="4"/>
        <v>0</v>
      </c>
      <c r="L86" s="52"/>
      <c r="M86" s="52"/>
      <c r="N86" s="53">
        <f t="shared" si="5"/>
        <v>0</v>
      </c>
      <c r="O86" s="54">
        <f t="shared" si="6"/>
        <v>0</v>
      </c>
      <c r="P86" s="36"/>
      <c r="Q86" s="52"/>
      <c r="R86" s="53">
        <f t="shared" si="7"/>
        <v>0</v>
      </c>
      <c r="S86" s="54">
        <f t="shared" si="8"/>
        <v>0</v>
      </c>
      <c r="T86" s="36"/>
      <c r="U86" s="52"/>
      <c r="V86" s="53">
        <f t="shared" si="9"/>
        <v>0</v>
      </c>
      <c r="W86" s="54">
        <f t="shared" si="10"/>
        <v>0</v>
      </c>
      <c r="X86" s="55">
        <f t="shared" si="12"/>
        <v>0</v>
      </c>
      <c r="Y86" s="36"/>
      <c r="Z86" s="56">
        <f t="shared" si="11"/>
        <v>0</v>
      </c>
      <c r="AA86" s="31"/>
      <c r="AB86" s="63"/>
      <c r="AC86" s="33"/>
      <c r="AD86" s="58"/>
      <c r="AR86" s="64"/>
      <c r="AS86" s="3"/>
      <c r="AT86" s="3"/>
      <c r="AU86" s="14"/>
    </row>
    <row r="87" ht="16.5" customHeight="1">
      <c r="A87" s="49">
        <v>82.0</v>
      </c>
      <c r="B87" s="50"/>
      <c r="C87" s="51"/>
      <c r="D87" s="52"/>
      <c r="E87" s="36"/>
      <c r="F87" s="53">
        <f t="shared" si="1"/>
        <v>0</v>
      </c>
      <c r="G87" s="54">
        <f t="shared" si="2"/>
        <v>0</v>
      </c>
      <c r="H87" s="52"/>
      <c r="I87" s="36"/>
      <c r="J87" s="53">
        <f t="shared" si="3"/>
        <v>0</v>
      </c>
      <c r="K87" s="54">
        <f t="shared" si="4"/>
        <v>0</v>
      </c>
      <c r="L87" s="52"/>
      <c r="M87" s="52"/>
      <c r="N87" s="53">
        <f t="shared" si="5"/>
        <v>0</v>
      </c>
      <c r="O87" s="54">
        <f t="shared" si="6"/>
        <v>0</v>
      </c>
      <c r="P87" s="36"/>
      <c r="Q87" s="52"/>
      <c r="R87" s="53">
        <f t="shared" si="7"/>
        <v>0</v>
      </c>
      <c r="S87" s="54">
        <f t="shared" si="8"/>
        <v>0</v>
      </c>
      <c r="T87" s="36"/>
      <c r="U87" s="52"/>
      <c r="V87" s="53">
        <f t="shared" si="9"/>
        <v>0</v>
      </c>
      <c r="W87" s="54">
        <f t="shared" si="10"/>
        <v>0</v>
      </c>
      <c r="X87" s="55">
        <f t="shared" si="12"/>
        <v>0</v>
      </c>
      <c r="Y87" s="36"/>
      <c r="Z87" s="56">
        <f t="shared" si="11"/>
        <v>0</v>
      </c>
      <c r="AA87" s="31"/>
      <c r="AB87" s="63"/>
      <c r="AC87" s="33"/>
      <c r="AD87" s="58"/>
      <c r="AR87" s="64"/>
      <c r="AS87" s="3"/>
      <c r="AT87" s="3"/>
      <c r="AU87" s="14"/>
    </row>
    <row r="88" ht="16.5" customHeight="1">
      <c r="A88" s="49">
        <v>83.0</v>
      </c>
      <c r="B88" s="50"/>
      <c r="C88" s="51"/>
      <c r="D88" s="52"/>
      <c r="E88" s="36"/>
      <c r="F88" s="53">
        <f t="shared" si="1"/>
        <v>0</v>
      </c>
      <c r="G88" s="54">
        <f t="shared" si="2"/>
        <v>0</v>
      </c>
      <c r="H88" s="52"/>
      <c r="I88" s="36"/>
      <c r="J88" s="53">
        <f t="shared" si="3"/>
        <v>0</v>
      </c>
      <c r="K88" s="54">
        <f t="shared" si="4"/>
        <v>0</v>
      </c>
      <c r="L88" s="52"/>
      <c r="M88" s="52"/>
      <c r="N88" s="53">
        <f t="shared" si="5"/>
        <v>0</v>
      </c>
      <c r="O88" s="54">
        <f t="shared" si="6"/>
        <v>0</v>
      </c>
      <c r="P88" s="36"/>
      <c r="Q88" s="52"/>
      <c r="R88" s="53">
        <f t="shared" si="7"/>
        <v>0</v>
      </c>
      <c r="S88" s="54">
        <f t="shared" si="8"/>
        <v>0</v>
      </c>
      <c r="T88" s="36"/>
      <c r="U88" s="52"/>
      <c r="V88" s="53">
        <f t="shared" si="9"/>
        <v>0</v>
      </c>
      <c r="W88" s="54">
        <f t="shared" si="10"/>
        <v>0</v>
      </c>
      <c r="X88" s="55">
        <f t="shared" si="12"/>
        <v>0</v>
      </c>
      <c r="Y88" s="36"/>
      <c r="Z88" s="56">
        <f t="shared" si="11"/>
        <v>0</v>
      </c>
      <c r="AA88" s="31"/>
      <c r="AB88" s="63"/>
      <c r="AC88" s="33"/>
      <c r="AD88" s="58"/>
      <c r="AR88" s="64"/>
      <c r="AS88" s="3"/>
      <c r="AT88" s="3"/>
      <c r="AU88" s="14"/>
    </row>
    <row r="89" ht="16.5" customHeight="1">
      <c r="A89" s="49">
        <v>84.0</v>
      </c>
      <c r="B89" s="50"/>
      <c r="C89" s="51"/>
      <c r="D89" s="52"/>
      <c r="E89" s="36"/>
      <c r="F89" s="53">
        <f t="shared" si="1"/>
        <v>0</v>
      </c>
      <c r="G89" s="54">
        <f t="shared" si="2"/>
        <v>0</v>
      </c>
      <c r="H89" s="52"/>
      <c r="I89" s="36"/>
      <c r="J89" s="53">
        <f t="shared" si="3"/>
        <v>0</v>
      </c>
      <c r="K89" s="54">
        <f t="shared" si="4"/>
        <v>0</v>
      </c>
      <c r="L89" s="52"/>
      <c r="M89" s="52"/>
      <c r="N89" s="53">
        <f t="shared" si="5"/>
        <v>0</v>
      </c>
      <c r="O89" s="54">
        <f t="shared" si="6"/>
        <v>0</v>
      </c>
      <c r="P89" s="36"/>
      <c r="Q89" s="52"/>
      <c r="R89" s="53">
        <f t="shared" si="7"/>
        <v>0</v>
      </c>
      <c r="S89" s="54">
        <f t="shared" si="8"/>
        <v>0</v>
      </c>
      <c r="T89" s="36"/>
      <c r="U89" s="52"/>
      <c r="V89" s="53">
        <f t="shared" si="9"/>
        <v>0</v>
      </c>
      <c r="W89" s="54">
        <f t="shared" si="10"/>
        <v>0</v>
      </c>
      <c r="X89" s="55">
        <f t="shared" si="12"/>
        <v>0</v>
      </c>
      <c r="Y89" s="36"/>
      <c r="Z89" s="56">
        <f t="shared" si="11"/>
        <v>0</v>
      </c>
      <c r="AA89" s="31"/>
      <c r="AB89" s="63"/>
      <c r="AC89" s="33"/>
      <c r="AD89" s="58"/>
      <c r="AR89" s="64"/>
      <c r="AS89" s="3"/>
      <c r="AT89" s="3"/>
      <c r="AU89" s="14"/>
    </row>
    <row r="90" ht="16.5" customHeight="1">
      <c r="A90" s="49">
        <v>85.0</v>
      </c>
      <c r="B90" s="50"/>
      <c r="C90" s="51"/>
      <c r="D90" s="52"/>
      <c r="E90" s="36"/>
      <c r="F90" s="53">
        <f t="shared" si="1"/>
        <v>0</v>
      </c>
      <c r="G90" s="54">
        <f t="shared" si="2"/>
        <v>0</v>
      </c>
      <c r="H90" s="52"/>
      <c r="I90" s="36"/>
      <c r="J90" s="53">
        <f t="shared" si="3"/>
        <v>0</v>
      </c>
      <c r="K90" s="54">
        <f t="shared" si="4"/>
        <v>0</v>
      </c>
      <c r="L90" s="52"/>
      <c r="M90" s="52"/>
      <c r="N90" s="53">
        <f t="shared" si="5"/>
        <v>0</v>
      </c>
      <c r="O90" s="54">
        <f t="shared" si="6"/>
        <v>0</v>
      </c>
      <c r="P90" s="36"/>
      <c r="Q90" s="52"/>
      <c r="R90" s="53">
        <f t="shared" si="7"/>
        <v>0</v>
      </c>
      <c r="S90" s="54">
        <f t="shared" si="8"/>
        <v>0</v>
      </c>
      <c r="T90" s="36"/>
      <c r="U90" s="52"/>
      <c r="V90" s="53">
        <f t="shared" si="9"/>
        <v>0</v>
      </c>
      <c r="W90" s="54">
        <f t="shared" si="10"/>
        <v>0</v>
      </c>
      <c r="X90" s="55">
        <f t="shared" si="12"/>
        <v>0</v>
      </c>
      <c r="Y90" s="36"/>
      <c r="Z90" s="56">
        <f t="shared" si="11"/>
        <v>0</v>
      </c>
      <c r="AA90" s="31"/>
      <c r="AB90" s="63"/>
      <c r="AC90" s="33"/>
      <c r="AD90" s="58"/>
      <c r="AR90" s="64"/>
      <c r="AS90" s="3"/>
      <c r="AT90" s="3"/>
      <c r="AU90" s="14"/>
    </row>
    <row r="91" ht="16.5" customHeight="1">
      <c r="A91" s="49">
        <v>86.0</v>
      </c>
      <c r="B91" s="50"/>
      <c r="C91" s="51"/>
      <c r="D91" s="52"/>
      <c r="E91" s="36"/>
      <c r="F91" s="53">
        <f t="shared" si="1"/>
        <v>0</v>
      </c>
      <c r="G91" s="54">
        <f t="shared" si="2"/>
        <v>0</v>
      </c>
      <c r="H91" s="52"/>
      <c r="I91" s="36"/>
      <c r="J91" s="53">
        <f t="shared" si="3"/>
        <v>0</v>
      </c>
      <c r="K91" s="54">
        <f t="shared" si="4"/>
        <v>0</v>
      </c>
      <c r="L91" s="52"/>
      <c r="M91" s="52"/>
      <c r="N91" s="53">
        <f t="shared" si="5"/>
        <v>0</v>
      </c>
      <c r="O91" s="54">
        <f t="shared" si="6"/>
        <v>0</v>
      </c>
      <c r="P91" s="36"/>
      <c r="Q91" s="52"/>
      <c r="R91" s="53">
        <f t="shared" si="7"/>
        <v>0</v>
      </c>
      <c r="S91" s="54">
        <f t="shared" si="8"/>
        <v>0</v>
      </c>
      <c r="T91" s="36"/>
      <c r="U91" s="52"/>
      <c r="V91" s="53">
        <f t="shared" si="9"/>
        <v>0</v>
      </c>
      <c r="W91" s="54">
        <f t="shared" si="10"/>
        <v>0</v>
      </c>
      <c r="X91" s="55">
        <f t="shared" si="12"/>
        <v>0</v>
      </c>
      <c r="Y91" s="36"/>
      <c r="Z91" s="56">
        <f t="shared" si="11"/>
        <v>0</v>
      </c>
      <c r="AA91" s="31"/>
      <c r="AB91" s="63"/>
      <c r="AC91" s="33"/>
      <c r="AD91" s="58"/>
      <c r="AR91" s="64"/>
      <c r="AS91" s="3"/>
      <c r="AT91" s="3"/>
      <c r="AU91" s="14"/>
    </row>
    <row r="92" ht="16.5" customHeight="1">
      <c r="A92" s="49">
        <v>88.0</v>
      </c>
      <c r="B92" s="50"/>
      <c r="C92" s="51"/>
      <c r="D92" s="52"/>
      <c r="E92" s="36"/>
      <c r="F92" s="53">
        <f t="shared" si="1"/>
        <v>0</v>
      </c>
      <c r="G92" s="54">
        <f t="shared" si="2"/>
        <v>0</v>
      </c>
      <c r="H92" s="52"/>
      <c r="I92" s="36"/>
      <c r="J92" s="53">
        <f t="shared" si="3"/>
        <v>0</v>
      </c>
      <c r="K92" s="54">
        <f t="shared" si="4"/>
        <v>0</v>
      </c>
      <c r="L92" s="52"/>
      <c r="M92" s="52"/>
      <c r="N92" s="53">
        <f t="shared" si="5"/>
        <v>0</v>
      </c>
      <c r="O92" s="54">
        <f t="shared" si="6"/>
        <v>0</v>
      </c>
      <c r="P92" s="36"/>
      <c r="Q92" s="52"/>
      <c r="R92" s="53">
        <f t="shared" si="7"/>
        <v>0</v>
      </c>
      <c r="S92" s="54">
        <f t="shared" si="8"/>
        <v>0</v>
      </c>
      <c r="T92" s="36"/>
      <c r="U92" s="52"/>
      <c r="V92" s="53">
        <f t="shared" si="9"/>
        <v>0</v>
      </c>
      <c r="W92" s="54">
        <f t="shared" si="10"/>
        <v>0</v>
      </c>
      <c r="X92" s="55">
        <f t="shared" si="12"/>
        <v>0</v>
      </c>
      <c r="Y92" s="36"/>
      <c r="Z92" s="56">
        <f t="shared" si="11"/>
        <v>0</v>
      </c>
      <c r="AA92" s="31"/>
      <c r="AB92" s="63"/>
      <c r="AC92" s="33"/>
      <c r="AD92" s="58"/>
      <c r="AR92" s="64"/>
      <c r="AS92" s="3"/>
      <c r="AT92" s="3"/>
      <c r="AU92" s="14"/>
    </row>
    <row r="93" ht="16.5" customHeight="1">
      <c r="A93" s="49">
        <v>89.0</v>
      </c>
      <c r="B93" s="50"/>
      <c r="C93" s="51"/>
      <c r="D93" s="52"/>
      <c r="E93" s="36"/>
      <c r="F93" s="53">
        <f t="shared" si="1"/>
        <v>0</v>
      </c>
      <c r="G93" s="54">
        <f t="shared" si="2"/>
        <v>0</v>
      </c>
      <c r="H93" s="52"/>
      <c r="I93" s="36"/>
      <c r="J93" s="53">
        <f t="shared" si="3"/>
        <v>0</v>
      </c>
      <c r="K93" s="54">
        <f t="shared" si="4"/>
        <v>0</v>
      </c>
      <c r="L93" s="52"/>
      <c r="M93" s="52"/>
      <c r="N93" s="53">
        <f t="shared" si="5"/>
        <v>0</v>
      </c>
      <c r="O93" s="54">
        <f t="shared" si="6"/>
        <v>0</v>
      </c>
      <c r="P93" s="36"/>
      <c r="Q93" s="52"/>
      <c r="R93" s="53">
        <f t="shared" si="7"/>
        <v>0</v>
      </c>
      <c r="S93" s="54">
        <f t="shared" si="8"/>
        <v>0</v>
      </c>
      <c r="T93" s="36"/>
      <c r="U93" s="52"/>
      <c r="V93" s="53">
        <f t="shared" si="9"/>
        <v>0</v>
      </c>
      <c r="W93" s="54">
        <f t="shared" si="10"/>
        <v>0</v>
      </c>
      <c r="X93" s="55">
        <f t="shared" si="12"/>
        <v>0</v>
      </c>
      <c r="Y93" s="36"/>
      <c r="Z93" s="56">
        <f t="shared" si="11"/>
        <v>0</v>
      </c>
      <c r="AA93" s="31"/>
      <c r="AB93" s="63"/>
      <c r="AC93" s="33"/>
      <c r="AD93" s="58"/>
      <c r="AR93" s="64"/>
      <c r="AS93" s="3"/>
      <c r="AT93" s="3"/>
      <c r="AU93" s="14"/>
    </row>
    <row r="94" ht="16.5" customHeight="1">
      <c r="A94" s="49">
        <v>90.0</v>
      </c>
      <c r="B94" s="50"/>
      <c r="C94" s="51"/>
      <c r="D94" s="52"/>
      <c r="E94" s="36"/>
      <c r="F94" s="53">
        <f t="shared" si="1"/>
        <v>0</v>
      </c>
      <c r="G94" s="54">
        <f t="shared" si="2"/>
        <v>0</v>
      </c>
      <c r="H94" s="52"/>
      <c r="I94" s="36"/>
      <c r="J94" s="53">
        <f t="shared" si="3"/>
        <v>0</v>
      </c>
      <c r="K94" s="54">
        <f t="shared" si="4"/>
        <v>0</v>
      </c>
      <c r="L94" s="52"/>
      <c r="M94" s="52"/>
      <c r="N94" s="53">
        <f t="shared" si="5"/>
        <v>0</v>
      </c>
      <c r="O94" s="54">
        <f t="shared" si="6"/>
        <v>0</v>
      </c>
      <c r="P94" s="36"/>
      <c r="Q94" s="52"/>
      <c r="R94" s="53">
        <f t="shared" si="7"/>
        <v>0</v>
      </c>
      <c r="S94" s="54">
        <f t="shared" si="8"/>
        <v>0</v>
      </c>
      <c r="T94" s="36"/>
      <c r="U94" s="52"/>
      <c r="V94" s="53">
        <f t="shared" si="9"/>
        <v>0</v>
      </c>
      <c r="W94" s="54">
        <f t="shared" si="10"/>
        <v>0</v>
      </c>
      <c r="X94" s="55">
        <f t="shared" si="12"/>
        <v>0</v>
      </c>
      <c r="Y94" s="36"/>
      <c r="Z94" s="56">
        <f t="shared" si="11"/>
        <v>0</v>
      </c>
      <c r="AA94" s="31"/>
      <c r="AB94" s="63"/>
      <c r="AC94" s="33"/>
      <c r="AD94" s="58"/>
      <c r="AR94" s="64"/>
      <c r="AS94" s="3"/>
      <c r="AT94" s="3"/>
      <c r="AU94" s="14"/>
    </row>
    <row r="95" ht="16.5" customHeight="1">
      <c r="A95" s="49">
        <v>91.0</v>
      </c>
      <c r="B95" s="50"/>
      <c r="C95" s="51"/>
      <c r="D95" s="52"/>
      <c r="E95" s="36"/>
      <c r="F95" s="53">
        <f t="shared" si="1"/>
        <v>0</v>
      </c>
      <c r="G95" s="54">
        <f t="shared" si="2"/>
        <v>0</v>
      </c>
      <c r="H95" s="52"/>
      <c r="I95" s="36"/>
      <c r="J95" s="53">
        <f t="shared" si="3"/>
        <v>0</v>
      </c>
      <c r="K95" s="54">
        <f t="shared" si="4"/>
        <v>0</v>
      </c>
      <c r="L95" s="52"/>
      <c r="M95" s="52"/>
      <c r="N95" s="53">
        <f t="shared" si="5"/>
        <v>0</v>
      </c>
      <c r="O95" s="54">
        <f t="shared" si="6"/>
        <v>0</v>
      </c>
      <c r="P95" s="36"/>
      <c r="Q95" s="52"/>
      <c r="R95" s="53">
        <f t="shared" si="7"/>
        <v>0</v>
      </c>
      <c r="S95" s="54">
        <f t="shared" si="8"/>
        <v>0</v>
      </c>
      <c r="T95" s="36"/>
      <c r="U95" s="52"/>
      <c r="V95" s="53">
        <f t="shared" si="9"/>
        <v>0</v>
      </c>
      <c r="W95" s="54">
        <f t="shared" si="10"/>
        <v>0</v>
      </c>
      <c r="X95" s="55">
        <f t="shared" si="12"/>
        <v>0</v>
      </c>
      <c r="Y95" s="36"/>
      <c r="Z95" s="56">
        <f t="shared" si="11"/>
        <v>0</v>
      </c>
      <c r="AA95" s="31"/>
      <c r="AB95" s="63"/>
      <c r="AC95" s="33"/>
      <c r="AD95" s="58"/>
      <c r="AR95" s="64"/>
      <c r="AS95" s="3"/>
      <c r="AT95" s="3"/>
      <c r="AU95" s="14"/>
    </row>
    <row r="96" ht="16.5" customHeight="1">
      <c r="A96" s="49">
        <v>92.0</v>
      </c>
      <c r="B96" s="50"/>
      <c r="C96" s="51"/>
      <c r="D96" s="52"/>
      <c r="E96" s="36"/>
      <c r="F96" s="53">
        <f t="shared" si="1"/>
        <v>0</v>
      </c>
      <c r="G96" s="54">
        <f t="shared" si="2"/>
        <v>0</v>
      </c>
      <c r="H96" s="52"/>
      <c r="I96" s="36"/>
      <c r="J96" s="53">
        <f t="shared" si="3"/>
        <v>0</v>
      </c>
      <c r="K96" s="54">
        <f t="shared" si="4"/>
        <v>0</v>
      </c>
      <c r="L96" s="52"/>
      <c r="M96" s="52"/>
      <c r="N96" s="53">
        <f t="shared" si="5"/>
        <v>0</v>
      </c>
      <c r="O96" s="54">
        <f t="shared" si="6"/>
        <v>0</v>
      </c>
      <c r="P96" s="36"/>
      <c r="Q96" s="52"/>
      <c r="R96" s="53">
        <f t="shared" si="7"/>
        <v>0</v>
      </c>
      <c r="S96" s="54">
        <f t="shared" si="8"/>
        <v>0</v>
      </c>
      <c r="T96" s="36"/>
      <c r="U96" s="52"/>
      <c r="V96" s="53">
        <f t="shared" si="9"/>
        <v>0</v>
      </c>
      <c r="W96" s="54">
        <f t="shared" si="10"/>
        <v>0</v>
      </c>
      <c r="X96" s="55">
        <f t="shared" si="12"/>
        <v>0</v>
      </c>
      <c r="Y96" s="36"/>
      <c r="Z96" s="56">
        <f t="shared" si="11"/>
        <v>0</v>
      </c>
      <c r="AA96" s="31"/>
      <c r="AB96" s="63"/>
      <c r="AC96" s="33"/>
      <c r="AD96" s="58"/>
      <c r="AR96" s="64"/>
      <c r="AS96" s="3"/>
      <c r="AT96" s="3"/>
      <c r="AU96" s="14"/>
    </row>
    <row r="97" ht="16.5" customHeight="1">
      <c r="A97" s="49">
        <v>93.0</v>
      </c>
      <c r="B97" s="50"/>
      <c r="C97" s="51"/>
      <c r="D97" s="52"/>
      <c r="E97" s="36"/>
      <c r="F97" s="53">
        <f t="shared" si="1"/>
        <v>0</v>
      </c>
      <c r="G97" s="54">
        <f t="shared" si="2"/>
        <v>0</v>
      </c>
      <c r="H97" s="52"/>
      <c r="I97" s="36"/>
      <c r="J97" s="53">
        <f t="shared" si="3"/>
        <v>0</v>
      </c>
      <c r="K97" s="54">
        <f t="shared" si="4"/>
        <v>0</v>
      </c>
      <c r="L97" s="52"/>
      <c r="M97" s="52"/>
      <c r="N97" s="53">
        <f t="shared" si="5"/>
        <v>0</v>
      </c>
      <c r="O97" s="54">
        <f t="shared" si="6"/>
        <v>0</v>
      </c>
      <c r="P97" s="36"/>
      <c r="Q97" s="52"/>
      <c r="R97" s="53">
        <f t="shared" si="7"/>
        <v>0</v>
      </c>
      <c r="S97" s="54">
        <f t="shared" si="8"/>
        <v>0</v>
      </c>
      <c r="T97" s="36"/>
      <c r="U97" s="52"/>
      <c r="V97" s="53">
        <f t="shared" si="9"/>
        <v>0</v>
      </c>
      <c r="W97" s="54">
        <f t="shared" si="10"/>
        <v>0</v>
      </c>
      <c r="X97" s="55">
        <f t="shared" si="12"/>
        <v>0</v>
      </c>
      <c r="Y97" s="36"/>
      <c r="Z97" s="56">
        <f t="shared" si="11"/>
        <v>0</v>
      </c>
      <c r="AA97" s="31"/>
      <c r="AB97" s="63"/>
      <c r="AC97" s="33"/>
      <c r="AD97" s="58"/>
      <c r="AR97" s="64"/>
      <c r="AS97" s="3"/>
      <c r="AT97" s="3"/>
      <c r="AU97" s="14"/>
    </row>
    <row r="98" ht="16.5" customHeight="1">
      <c r="A98" s="49">
        <v>94.0</v>
      </c>
      <c r="B98" s="50"/>
      <c r="C98" s="51"/>
      <c r="D98" s="52"/>
      <c r="E98" s="36"/>
      <c r="F98" s="53">
        <f t="shared" si="1"/>
        <v>0</v>
      </c>
      <c r="G98" s="54">
        <f t="shared" si="2"/>
        <v>0</v>
      </c>
      <c r="H98" s="52"/>
      <c r="I98" s="36"/>
      <c r="J98" s="53">
        <f t="shared" si="3"/>
        <v>0</v>
      </c>
      <c r="K98" s="54">
        <f t="shared" si="4"/>
        <v>0</v>
      </c>
      <c r="L98" s="52"/>
      <c r="M98" s="52"/>
      <c r="N98" s="53">
        <f t="shared" si="5"/>
        <v>0</v>
      </c>
      <c r="O98" s="54">
        <f t="shared" si="6"/>
        <v>0</v>
      </c>
      <c r="P98" s="36"/>
      <c r="Q98" s="52"/>
      <c r="R98" s="53">
        <f t="shared" si="7"/>
        <v>0</v>
      </c>
      <c r="S98" s="54">
        <f t="shared" si="8"/>
        <v>0</v>
      </c>
      <c r="T98" s="36"/>
      <c r="U98" s="52"/>
      <c r="V98" s="53">
        <f t="shared" si="9"/>
        <v>0</v>
      </c>
      <c r="W98" s="54">
        <f t="shared" si="10"/>
        <v>0</v>
      </c>
      <c r="X98" s="55">
        <f t="shared" si="12"/>
        <v>0</v>
      </c>
      <c r="Y98" s="36"/>
      <c r="Z98" s="56">
        <f t="shared" si="11"/>
        <v>0</v>
      </c>
      <c r="AA98" s="31"/>
      <c r="AB98" s="63"/>
      <c r="AC98" s="33"/>
      <c r="AD98" s="58"/>
      <c r="AR98" s="64"/>
      <c r="AS98" s="3"/>
      <c r="AT98" s="3"/>
      <c r="AU98" s="14"/>
    </row>
    <row r="99" ht="16.5" customHeight="1">
      <c r="A99" s="49">
        <v>95.0</v>
      </c>
      <c r="B99" s="50"/>
      <c r="C99" s="51"/>
      <c r="D99" s="52"/>
      <c r="E99" s="36"/>
      <c r="F99" s="53">
        <f t="shared" si="1"/>
        <v>0</v>
      </c>
      <c r="G99" s="54">
        <f t="shared" si="2"/>
        <v>0</v>
      </c>
      <c r="H99" s="52"/>
      <c r="I99" s="36"/>
      <c r="J99" s="53">
        <f t="shared" si="3"/>
        <v>0</v>
      </c>
      <c r="K99" s="54">
        <f t="shared" si="4"/>
        <v>0</v>
      </c>
      <c r="L99" s="52"/>
      <c r="M99" s="52"/>
      <c r="N99" s="53">
        <f t="shared" si="5"/>
        <v>0</v>
      </c>
      <c r="O99" s="54">
        <f t="shared" si="6"/>
        <v>0</v>
      </c>
      <c r="P99" s="36"/>
      <c r="Q99" s="52"/>
      <c r="R99" s="53">
        <f t="shared" si="7"/>
        <v>0</v>
      </c>
      <c r="S99" s="54">
        <f t="shared" si="8"/>
        <v>0</v>
      </c>
      <c r="T99" s="36"/>
      <c r="U99" s="52"/>
      <c r="V99" s="53">
        <f t="shared" si="9"/>
        <v>0</v>
      </c>
      <c r="W99" s="54">
        <f t="shared" si="10"/>
        <v>0</v>
      </c>
      <c r="X99" s="55">
        <f t="shared" si="12"/>
        <v>0</v>
      </c>
      <c r="Y99" s="36"/>
      <c r="Z99" s="56">
        <f t="shared" si="11"/>
        <v>0</v>
      </c>
      <c r="AA99" s="31"/>
      <c r="AB99" s="63"/>
      <c r="AC99" s="33"/>
      <c r="AD99" s="58"/>
      <c r="AR99" s="64"/>
      <c r="AS99" s="3"/>
      <c r="AT99" s="3"/>
      <c r="AU99" s="14"/>
    </row>
    <row r="100" ht="16.5" customHeight="1">
      <c r="A100" s="49">
        <v>96.0</v>
      </c>
      <c r="B100" s="50"/>
      <c r="C100" s="51"/>
      <c r="D100" s="52"/>
      <c r="E100" s="36"/>
      <c r="F100" s="53">
        <f t="shared" si="1"/>
        <v>0</v>
      </c>
      <c r="G100" s="54">
        <f t="shared" si="2"/>
        <v>0</v>
      </c>
      <c r="H100" s="52"/>
      <c r="I100" s="36"/>
      <c r="J100" s="53">
        <f t="shared" si="3"/>
        <v>0</v>
      </c>
      <c r="K100" s="54">
        <f t="shared" si="4"/>
        <v>0</v>
      </c>
      <c r="L100" s="52"/>
      <c r="M100" s="52"/>
      <c r="N100" s="53">
        <f t="shared" si="5"/>
        <v>0</v>
      </c>
      <c r="O100" s="54">
        <f t="shared" si="6"/>
        <v>0</v>
      </c>
      <c r="P100" s="36"/>
      <c r="Q100" s="52"/>
      <c r="R100" s="53">
        <f t="shared" si="7"/>
        <v>0</v>
      </c>
      <c r="S100" s="54">
        <f t="shared" si="8"/>
        <v>0</v>
      </c>
      <c r="T100" s="36"/>
      <c r="U100" s="52"/>
      <c r="V100" s="53">
        <f t="shared" si="9"/>
        <v>0</v>
      </c>
      <c r="W100" s="54">
        <f t="shared" si="10"/>
        <v>0</v>
      </c>
      <c r="X100" s="55">
        <f t="shared" si="12"/>
        <v>0</v>
      </c>
      <c r="Y100" s="36"/>
      <c r="Z100" s="56">
        <f t="shared" si="11"/>
        <v>0</v>
      </c>
      <c r="AA100" s="31"/>
      <c r="AB100" s="63"/>
      <c r="AC100" s="33"/>
      <c r="AD100" s="58"/>
      <c r="AR100" s="64"/>
      <c r="AS100" s="3"/>
      <c r="AT100" s="3"/>
      <c r="AU100" s="14"/>
    </row>
    <row r="101" ht="16.5" customHeight="1">
      <c r="A101" s="49">
        <v>97.0</v>
      </c>
      <c r="B101" s="50"/>
      <c r="C101" s="51"/>
      <c r="D101" s="52"/>
      <c r="E101" s="36"/>
      <c r="F101" s="53">
        <f t="shared" si="1"/>
        <v>0</v>
      </c>
      <c r="G101" s="54">
        <f t="shared" si="2"/>
        <v>0</v>
      </c>
      <c r="H101" s="52"/>
      <c r="I101" s="36"/>
      <c r="J101" s="53">
        <f t="shared" si="3"/>
        <v>0</v>
      </c>
      <c r="K101" s="54">
        <f t="shared" si="4"/>
        <v>0</v>
      </c>
      <c r="L101" s="52"/>
      <c r="M101" s="52"/>
      <c r="N101" s="53">
        <f t="shared" si="5"/>
        <v>0</v>
      </c>
      <c r="O101" s="54">
        <f t="shared" si="6"/>
        <v>0</v>
      </c>
      <c r="P101" s="36"/>
      <c r="Q101" s="52"/>
      <c r="R101" s="53">
        <f t="shared" si="7"/>
        <v>0</v>
      </c>
      <c r="S101" s="54">
        <f t="shared" si="8"/>
        <v>0</v>
      </c>
      <c r="T101" s="36"/>
      <c r="U101" s="52"/>
      <c r="V101" s="53">
        <f t="shared" si="9"/>
        <v>0</v>
      </c>
      <c r="W101" s="54">
        <f t="shared" si="10"/>
        <v>0</v>
      </c>
      <c r="X101" s="55">
        <f t="shared" si="12"/>
        <v>0</v>
      </c>
      <c r="Y101" s="36"/>
      <c r="Z101" s="56">
        <f t="shared" si="11"/>
        <v>0</v>
      </c>
      <c r="AA101" s="31"/>
      <c r="AB101" s="63"/>
      <c r="AC101" s="33"/>
      <c r="AD101" s="58"/>
      <c r="AR101" s="64"/>
      <c r="AS101" s="3"/>
      <c r="AT101" s="3"/>
      <c r="AU101" s="14"/>
    </row>
    <row r="102" ht="16.5" customHeight="1">
      <c r="A102" s="49">
        <v>98.0</v>
      </c>
      <c r="B102" s="50"/>
      <c r="C102" s="51"/>
      <c r="D102" s="52"/>
      <c r="E102" s="36"/>
      <c r="F102" s="53">
        <f t="shared" si="1"/>
        <v>0</v>
      </c>
      <c r="G102" s="54">
        <f t="shared" si="2"/>
        <v>0</v>
      </c>
      <c r="H102" s="52"/>
      <c r="I102" s="36"/>
      <c r="J102" s="53">
        <f t="shared" si="3"/>
        <v>0</v>
      </c>
      <c r="K102" s="54">
        <f t="shared" si="4"/>
        <v>0</v>
      </c>
      <c r="L102" s="52"/>
      <c r="M102" s="52"/>
      <c r="N102" s="53">
        <f t="shared" si="5"/>
        <v>0</v>
      </c>
      <c r="O102" s="54">
        <f t="shared" si="6"/>
        <v>0</v>
      </c>
      <c r="P102" s="36"/>
      <c r="Q102" s="52"/>
      <c r="R102" s="53">
        <f t="shared" si="7"/>
        <v>0</v>
      </c>
      <c r="S102" s="54">
        <f t="shared" si="8"/>
        <v>0</v>
      </c>
      <c r="T102" s="36"/>
      <c r="U102" s="52"/>
      <c r="V102" s="53">
        <f t="shared" si="9"/>
        <v>0</v>
      </c>
      <c r="W102" s="54">
        <f t="shared" si="10"/>
        <v>0</v>
      </c>
      <c r="X102" s="55">
        <f t="shared" si="12"/>
        <v>0</v>
      </c>
      <c r="Y102" s="36"/>
      <c r="Z102" s="56">
        <f t="shared" si="11"/>
        <v>0</v>
      </c>
      <c r="AA102" s="31"/>
      <c r="AB102" s="63"/>
      <c r="AC102" s="33"/>
      <c r="AD102" s="58"/>
      <c r="AR102" s="64"/>
      <c r="AS102" s="3"/>
      <c r="AT102" s="3"/>
      <c r="AU102" s="14"/>
    </row>
    <row r="103" ht="16.5" customHeight="1">
      <c r="A103" s="49">
        <v>99.0</v>
      </c>
      <c r="B103" s="50"/>
      <c r="C103" s="51"/>
      <c r="D103" s="52"/>
      <c r="E103" s="36"/>
      <c r="F103" s="53">
        <f t="shared" si="1"/>
        <v>0</v>
      </c>
      <c r="G103" s="54">
        <f t="shared" si="2"/>
        <v>0</v>
      </c>
      <c r="H103" s="52"/>
      <c r="I103" s="36"/>
      <c r="J103" s="53">
        <f t="shared" si="3"/>
        <v>0</v>
      </c>
      <c r="K103" s="54">
        <f t="shared" si="4"/>
        <v>0</v>
      </c>
      <c r="L103" s="52"/>
      <c r="M103" s="52"/>
      <c r="N103" s="53">
        <f t="shared" si="5"/>
        <v>0</v>
      </c>
      <c r="O103" s="54">
        <f t="shared" si="6"/>
        <v>0</v>
      </c>
      <c r="P103" s="36"/>
      <c r="Q103" s="52"/>
      <c r="R103" s="53">
        <f t="shared" si="7"/>
        <v>0</v>
      </c>
      <c r="S103" s="54">
        <f t="shared" si="8"/>
        <v>0</v>
      </c>
      <c r="T103" s="36"/>
      <c r="U103" s="52"/>
      <c r="V103" s="53">
        <f t="shared" si="9"/>
        <v>0</v>
      </c>
      <c r="W103" s="54">
        <f t="shared" si="10"/>
        <v>0</v>
      </c>
      <c r="X103" s="55">
        <f t="shared" si="12"/>
        <v>0</v>
      </c>
      <c r="Y103" s="36"/>
      <c r="Z103" s="56">
        <f t="shared" si="11"/>
        <v>0</v>
      </c>
      <c r="AA103" s="31"/>
      <c r="AB103" s="63"/>
      <c r="AC103" s="33"/>
      <c r="AD103" s="58"/>
      <c r="AR103" s="64"/>
      <c r="AS103" s="3"/>
      <c r="AT103" s="3"/>
      <c r="AU103" s="14"/>
    </row>
    <row r="104" ht="16.5" customHeight="1">
      <c r="A104" s="49">
        <v>100.0</v>
      </c>
      <c r="B104" s="50"/>
      <c r="C104" s="51"/>
      <c r="D104" s="52"/>
      <c r="E104" s="36"/>
      <c r="F104" s="53">
        <f t="shared" si="1"/>
        <v>0</v>
      </c>
      <c r="G104" s="54">
        <f t="shared" si="2"/>
        <v>0</v>
      </c>
      <c r="H104" s="52"/>
      <c r="I104" s="36"/>
      <c r="J104" s="53">
        <f t="shared" si="3"/>
        <v>0</v>
      </c>
      <c r="K104" s="54">
        <f t="shared" si="4"/>
        <v>0</v>
      </c>
      <c r="L104" s="52"/>
      <c r="M104" s="52"/>
      <c r="N104" s="53">
        <f t="shared" si="5"/>
        <v>0</v>
      </c>
      <c r="O104" s="54">
        <f t="shared" si="6"/>
        <v>0</v>
      </c>
      <c r="P104" s="36"/>
      <c r="Q104" s="52"/>
      <c r="R104" s="53">
        <f t="shared" si="7"/>
        <v>0</v>
      </c>
      <c r="S104" s="54">
        <f t="shared" si="8"/>
        <v>0</v>
      </c>
      <c r="T104" s="36"/>
      <c r="U104" s="52"/>
      <c r="V104" s="53">
        <f t="shared" si="9"/>
        <v>0</v>
      </c>
      <c r="W104" s="54">
        <f t="shared" si="10"/>
        <v>0</v>
      </c>
      <c r="X104" s="55">
        <f t="shared" si="12"/>
        <v>0</v>
      </c>
      <c r="Y104" s="36"/>
      <c r="Z104" s="56">
        <f t="shared" si="11"/>
        <v>0</v>
      </c>
      <c r="AA104" s="31"/>
      <c r="AB104" s="63"/>
      <c r="AC104" s="33"/>
      <c r="AD104" s="58"/>
      <c r="AR104" s="64"/>
      <c r="AS104" s="3"/>
      <c r="AT104" s="3"/>
      <c r="AU104" s="14"/>
    </row>
    <row r="105" ht="16.5" customHeight="1">
      <c r="A105" s="49">
        <v>101.0</v>
      </c>
      <c r="B105" s="50"/>
      <c r="C105" s="51"/>
      <c r="D105" s="52"/>
      <c r="E105" s="36"/>
      <c r="F105" s="53">
        <f t="shared" si="1"/>
        <v>0</v>
      </c>
      <c r="G105" s="54">
        <f t="shared" si="2"/>
        <v>0</v>
      </c>
      <c r="H105" s="52"/>
      <c r="I105" s="36"/>
      <c r="J105" s="53">
        <f t="shared" si="3"/>
        <v>0</v>
      </c>
      <c r="K105" s="54">
        <f t="shared" si="4"/>
        <v>0</v>
      </c>
      <c r="L105" s="52"/>
      <c r="M105" s="52"/>
      <c r="N105" s="53">
        <f t="shared" si="5"/>
        <v>0</v>
      </c>
      <c r="O105" s="54">
        <f t="shared" si="6"/>
        <v>0</v>
      </c>
      <c r="P105" s="36"/>
      <c r="Q105" s="52"/>
      <c r="R105" s="53">
        <f t="shared" si="7"/>
        <v>0</v>
      </c>
      <c r="S105" s="54">
        <f t="shared" si="8"/>
        <v>0</v>
      </c>
      <c r="T105" s="36"/>
      <c r="U105" s="52"/>
      <c r="V105" s="53">
        <f t="shared" si="9"/>
        <v>0</v>
      </c>
      <c r="W105" s="54">
        <f t="shared" si="10"/>
        <v>0</v>
      </c>
      <c r="X105" s="55">
        <f t="shared" si="12"/>
        <v>0</v>
      </c>
      <c r="Y105" s="36"/>
      <c r="Z105" s="56">
        <f t="shared" si="11"/>
        <v>0</v>
      </c>
      <c r="AA105" s="31"/>
      <c r="AB105" s="63"/>
      <c r="AC105" s="33"/>
      <c r="AD105" s="58"/>
      <c r="AR105" s="64"/>
      <c r="AS105" s="3"/>
      <c r="AT105" s="3"/>
      <c r="AU105" s="14"/>
    </row>
    <row r="106" ht="16.5" customHeight="1">
      <c r="A106" s="49">
        <v>102.0</v>
      </c>
      <c r="B106" s="50"/>
      <c r="C106" s="51"/>
      <c r="D106" s="52"/>
      <c r="E106" s="36"/>
      <c r="F106" s="53">
        <f t="shared" si="1"/>
        <v>0</v>
      </c>
      <c r="G106" s="54">
        <f t="shared" si="2"/>
        <v>0</v>
      </c>
      <c r="H106" s="52"/>
      <c r="I106" s="36"/>
      <c r="J106" s="53">
        <f t="shared" si="3"/>
        <v>0</v>
      </c>
      <c r="K106" s="54">
        <f t="shared" si="4"/>
        <v>0</v>
      </c>
      <c r="L106" s="52"/>
      <c r="M106" s="52"/>
      <c r="N106" s="53">
        <f t="shared" si="5"/>
        <v>0</v>
      </c>
      <c r="O106" s="54">
        <f t="shared" si="6"/>
        <v>0</v>
      </c>
      <c r="P106" s="36"/>
      <c r="Q106" s="52"/>
      <c r="R106" s="53">
        <f t="shared" si="7"/>
        <v>0</v>
      </c>
      <c r="S106" s="54">
        <f t="shared" si="8"/>
        <v>0</v>
      </c>
      <c r="T106" s="36"/>
      <c r="U106" s="52"/>
      <c r="V106" s="53">
        <f t="shared" si="9"/>
        <v>0</v>
      </c>
      <c r="W106" s="54">
        <f t="shared" si="10"/>
        <v>0</v>
      </c>
      <c r="X106" s="55">
        <f t="shared" si="12"/>
        <v>0</v>
      </c>
      <c r="Y106" s="36"/>
      <c r="Z106" s="56">
        <f t="shared" si="11"/>
        <v>0</v>
      </c>
      <c r="AA106" s="31"/>
      <c r="AB106" s="63"/>
      <c r="AC106" s="33"/>
      <c r="AD106" s="58"/>
      <c r="AR106" s="64"/>
      <c r="AS106" s="3"/>
      <c r="AT106" s="3"/>
      <c r="AU106" s="14"/>
    </row>
    <row r="107" ht="16.5" customHeight="1">
      <c r="A107" s="49">
        <v>103.0</v>
      </c>
      <c r="B107" s="50"/>
      <c r="C107" s="51"/>
      <c r="D107" s="52"/>
      <c r="E107" s="36"/>
      <c r="F107" s="53">
        <f t="shared" si="1"/>
        <v>0</v>
      </c>
      <c r="G107" s="54">
        <f t="shared" si="2"/>
        <v>0</v>
      </c>
      <c r="H107" s="52"/>
      <c r="I107" s="36"/>
      <c r="J107" s="53">
        <f t="shared" si="3"/>
        <v>0</v>
      </c>
      <c r="K107" s="54">
        <f t="shared" si="4"/>
        <v>0</v>
      </c>
      <c r="L107" s="52"/>
      <c r="M107" s="52"/>
      <c r="N107" s="53">
        <f t="shared" si="5"/>
        <v>0</v>
      </c>
      <c r="O107" s="54">
        <f t="shared" si="6"/>
        <v>0</v>
      </c>
      <c r="P107" s="36"/>
      <c r="Q107" s="52"/>
      <c r="R107" s="53">
        <f t="shared" si="7"/>
        <v>0</v>
      </c>
      <c r="S107" s="54">
        <f t="shared" si="8"/>
        <v>0</v>
      </c>
      <c r="T107" s="36"/>
      <c r="U107" s="52"/>
      <c r="V107" s="53">
        <f t="shared" si="9"/>
        <v>0</v>
      </c>
      <c r="W107" s="54">
        <f t="shared" si="10"/>
        <v>0</v>
      </c>
      <c r="X107" s="55">
        <f t="shared" si="12"/>
        <v>0</v>
      </c>
      <c r="Y107" s="36"/>
      <c r="Z107" s="56">
        <f t="shared" si="11"/>
        <v>0</v>
      </c>
      <c r="AA107" s="31"/>
      <c r="AB107" s="63"/>
      <c r="AC107" s="33"/>
      <c r="AD107" s="58"/>
      <c r="AR107" s="64"/>
      <c r="AS107" s="3"/>
      <c r="AT107" s="3"/>
      <c r="AU107" s="14"/>
    </row>
    <row r="108" ht="16.5" customHeight="1">
      <c r="A108" s="49">
        <v>104.0</v>
      </c>
      <c r="B108" s="50"/>
      <c r="C108" s="51"/>
      <c r="D108" s="52"/>
      <c r="E108" s="36"/>
      <c r="F108" s="53">
        <f t="shared" si="1"/>
        <v>0</v>
      </c>
      <c r="G108" s="54">
        <f t="shared" si="2"/>
        <v>0</v>
      </c>
      <c r="H108" s="52"/>
      <c r="I108" s="36"/>
      <c r="J108" s="53">
        <f t="shared" si="3"/>
        <v>0</v>
      </c>
      <c r="K108" s="54">
        <f t="shared" si="4"/>
        <v>0</v>
      </c>
      <c r="L108" s="52"/>
      <c r="M108" s="52"/>
      <c r="N108" s="53">
        <f t="shared" si="5"/>
        <v>0</v>
      </c>
      <c r="O108" s="54">
        <f t="shared" si="6"/>
        <v>0</v>
      </c>
      <c r="P108" s="36"/>
      <c r="Q108" s="52"/>
      <c r="R108" s="53">
        <f t="shared" si="7"/>
        <v>0</v>
      </c>
      <c r="S108" s="54">
        <f t="shared" si="8"/>
        <v>0</v>
      </c>
      <c r="T108" s="36"/>
      <c r="U108" s="52"/>
      <c r="V108" s="53">
        <f t="shared" si="9"/>
        <v>0</v>
      </c>
      <c r="W108" s="54">
        <f t="shared" si="10"/>
        <v>0</v>
      </c>
      <c r="X108" s="55">
        <f t="shared" si="12"/>
        <v>0</v>
      </c>
      <c r="Y108" s="36"/>
      <c r="Z108" s="56">
        <f t="shared" si="11"/>
        <v>0</v>
      </c>
      <c r="AA108" s="31"/>
      <c r="AB108" s="63"/>
      <c r="AC108" s="33"/>
      <c r="AD108" s="58"/>
      <c r="AR108" s="64"/>
      <c r="AS108" s="3"/>
      <c r="AT108" s="3"/>
      <c r="AU108" s="14"/>
    </row>
    <row r="109" ht="16.5" customHeight="1">
      <c r="A109" s="49">
        <v>105.0</v>
      </c>
      <c r="B109" s="50"/>
      <c r="C109" s="51"/>
      <c r="D109" s="52"/>
      <c r="E109" s="36"/>
      <c r="F109" s="53">
        <f t="shared" si="1"/>
        <v>0</v>
      </c>
      <c r="G109" s="54">
        <f t="shared" si="2"/>
        <v>0</v>
      </c>
      <c r="H109" s="52"/>
      <c r="I109" s="36"/>
      <c r="J109" s="53">
        <f t="shared" si="3"/>
        <v>0</v>
      </c>
      <c r="K109" s="54">
        <f t="shared" si="4"/>
        <v>0</v>
      </c>
      <c r="L109" s="52"/>
      <c r="M109" s="52"/>
      <c r="N109" s="53">
        <f t="shared" si="5"/>
        <v>0</v>
      </c>
      <c r="O109" s="54">
        <f t="shared" si="6"/>
        <v>0</v>
      </c>
      <c r="P109" s="36"/>
      <c r="Q109" s="52"/>
      <c r="R109" s="53">
        <f t="shared" si="7"/>
        <v>0</v>
      </c>
      <c r="S109" s="54">
        <f t="shared" si="8"/>
        <v>0</v>
      </c>
      <c r="T109" s="36"/>
      <c r="U109" s="52"/>
      <c r="V109" s="53">
        <f t="shared" si="9"/>
        <v>0</v>
      </c>
      <c r="W109" s="54">
        <f t="shared" si="10"/>
        <v>0</v>
      </c>
      <c r="X109" s="55">
        <f t="shared" si="12"/>
        <v>0</v>
      </c>
      <c r="Y109" s="36"/>
      <c r="Z109" s="56">
        <f t="shared" si="11"/>
        <v>0</v>
      </c>
      <c r="AA109" s="31"/>
      <c r="AB109" s="63"/>
      <c r="AC109" s="33"/>
      <c r="AD109" s="58"/>
      <c r="AR109" s="64"/>
      <c r="AS109" s="3"/>
      <c r="AT109" s="3"/>
      <c r="AU109" s="14"/>
    </row>
    <row r="110" ht="16.5" customHeight="1">
      <c r="A110" s="49">
        <v>106.0</v>
      </c>
      <c r="B110" s="50"/>
      <c r="C110" s="51"/>
      <c r="D110" s="52"/>
      <c r="E110" s="36"/>
      <c r="F110" s="53">
        <f t="shared" si="1"/>
        <v>0</v>
      </c>
      <c r="G110" s="54">
        <f t="shared" si="2"/>
        <v>0</v>
      </c>
      <c r="H110" s="52"/>
      <c r="I110" s="36"/>
      <c r="J110" s="53">
        <f t="shared" si="3"/>
        <v>0</v>
      </c>
      <c r="K110" s="54">
        <f t="shared" si="4"/>
        <v>0</v>
      </c>
      <c r="L110" s="52"/>
      <c r="M110" s="52"/>
      <c r="N110" s="53">
        <f t="shared" si="5"/>
        <v>0</v>
      </c>
      <c r="O110" s="54">
        <f t="shared" si="6"/>
        <v>0</v>
      </c>
      <c r="P110" s="36"/>
      <c r="Q110" s="52"/>
      <c r="R110" s="53">
        <f t="shared" si="7"/>
        <v>0</v>
      </c>
      <c r="S110" s="54">
        <f t="shared" si="8"/>
        <v>0</v>
      </c>
      <c r="T110" s="36"/>
      <c r="U110" s="52"/>
      <c r="V110" s="53">
        <f t="shared" si="9"/>
        <v>0</v>
      </c>
      <c r="W110" s="54">
        <f t="shared" si="10"/>
        <v>0</v>
      </c>
      <c r="X110" s="55">
        <f t="shared" si="12"/>
        <v>0</v>
      </c>
      <c r="Y110" s="36"/>
      <c r="Z110" s="56">
        <f t="shared" si="11"/>
        <v>0</v>
      </c>
      <c r="AA110" s="31"/>
      <c r="AB110" s="63"/>
      <c r="AC110" s="33"/>
      <c r="AD110" s="58"/>
      <c r="AR110" s="64"/>
      <c r="AS110" s="3"/>
      <c r="AT110" s="3"/>
      <c r="AU110" s="14"/>
    </row>
    <row r="111" ht="16.5" customHeight="1">
      <c r="A111" s="49">
        <v>107.0</v>
      </c>
      <c r="B111" s="50"/>
      <c r="C111" s="51"/>
      <c r="D111" s="52"/>
      <c r="E111" s="36"/>
      <c r="F111" s="53">
        <f t="shared" si="1"/>
        <v>0</v>
      </c>
      <c r="G111" s="54">
        <f t="shared" si="2"/>
        <v>0</v>
      </c>
      <c r="H111" s="52"/>
      <c r="I111" s="36"/>
      <c r="J111" s="53">
        <f t="shared" si="3"/>
        <v>0</v>
      </c>
      <c r="K111" s="54">
        <f t="shared" si="4"/>
        <v>0</v>
      </c>
      <c r="L111" s="52"/>
      <c r="M111" s="52"/>
      <c r="N111" s="53">
        <f t="shared" si="5"/>
        <v>0</v>
      </c>
      <c r="O111" s="54">
        <f t="shared" si="6"/>
        <v>0</v>
      </c>
      <c r="P111" s="36"/>
      <c r="Q111" s="52"/>
      <c r="R111" s="53">
        <f t="shared" si="7"/>
        <v>0</v>
      </c>
      <c r="S111" s="54">
        <f t="shared" si="8"/>
        <v>0</v>
      </c>
      <c r="T111" s="36"/>
      <c r="U111" s="52"/>
      <c r="V111" s="53">
        <f t="shared" si="9"/>
        <v>0</v>
      </c>
      <c r="W111" s="54">
        <f t="shared" si="10"/>
        <v>0</v>
      </c>
      <c r="X111" s="55">
        <f t="shared" si="12"/>
        <v>0</v>
      </c>
      <c r="Y111" s="36"/>
      <c r="Z111" s="56">
        <f t="shared" si="11"/>
        <v>0</v>
      </c>
      <c r="AA111" s="31"/>
      <c r="AB111" s="63"/>
      <c r="AC111" s="33"/>
      <c r="AD111" s="58"/>
      <c r="AR111" s="64"/>
      <c r="AS111" s="3"/>
      <c r="AT111" s="3"/>
      <c r="AU111" s="14"/>
    </row>
    <row r="112" ht="16.5" customHeight="1">
      <c r="A112" s="49">
        <v>108.0</v>
      </c>
      <c r="B112" s="50"/>
      <c r="C112" s="51"/>
      <c r="D112" s="52"/>
      <c r="E112" s="36"/>
      <c r="F112" s="53">
        <f t="shared" si="1"/>
        <v>0</v>
      </c>
      <c r="G112" s="54">
        <f t="shared" si="2"/>
        <v>0</v>
      </c>
      <c r="H112" s="52"/>
      <c r="I112" s="36"/>
      <c r="J112" s="53">
        <f t="shared" si="3"/>
        <v>0</v>
      </c>
      <c r="K112" s="54">
        <f t="shared" si="4"/>
        <v>0</v>
      </c>
      <c r="L112" s="52"/>
      <c r="M112" s="52"/>
      <c r="N112" s="53">
        <f t="shared" si="5"/>
        <v>0</v>
      </c>
      <c r="O112" s="54">
        <f t="shared" si="6"/>
        <v>0</v>
      </c>
      <c r="P112" s="36"/>
      <c r="Q112" s="52"/>
      <c r="R112" s="53">
        <f t="shared" si="7"/>
        <v>0</v>
      </c>
      <c r="S112" s="54">
        <f t="shared" si="8"/>
        <v>0</v>
      </c>
      <c r="T112" s="36"/>
      <c r="U112" s="52"/>
      <c r="V112" s="53">
        <f t="shared" si="9"/>
        <v>0</v>
      </c>
      <c r="W112" s="54">
        <f t="shared" si="10"/>
        <v>0</v>
      </c>
      <c r="X112" s="55">
        <f t="shared" si="12"/>
        <v>0</v>
      </c>
      <c r="Y112" s="36"/>
      <c r="Z112" s="56">
        <f t="shared" si="11"/>
        <v>0</v>
      </c>
      <c r="AA112" s="31"/>
      <c r="AB112" s="63"/>
      <c r="AC112" s="33"/>
      <c r="AD112" s="58"/>
      <c r="AR112" s="64"/>
      <c r="AS112" s="3"/>
      <c r="AT112" s="3"/>
      <c r="AU112" s="14"/>
    </row>
    <row r="113" ht="16.5" customHeight="1">
      <c r="A113" s="49">
        <v>109.0</v>
      </c>
      <c r="B113" s="50"/>
      <c r="C113" s="51"/>
      <c r="D113" s="52"/>
      <c r="E113" s="36"/>
      <c r="F113" s="53">
        <f t="shared" si="1"/>
        <v>0</v>
      </c>
      <c r="G113" s="54">
        <f t="shared" si="2"/>
        <v>0</v>
      </c>
      <c r="H113" s="52"/>
      <c r="I113" s="36"/>
      <c r="J113" s="53">
        <f t="shared" si="3"/>
        <v>0</v>
      </c>
      <c r="K113" s="54">
        <f t="shared" si="4"/>
        <v>0</v>
      </c>
      <c r="L113" s="52"/>
      <c r="M113" s="52"/>
      <c r="N113" s="53">
        <f t="shared" si="5"/>
        <v>0</v>
      </c>
      <c r="O113" s="54">
        <f t="shared" si="6"/>
        <v>0</v>
      </c>
      <c r="P113" s="36"/>
      <c r="Q113" s="52"/>
      <c r="R113" s="53">
        <f t="shared" si="7"/>
        <v>0</v>
      </c>
      <c r="S113" s="54">
        <f t="shared" si="8"/>
        <v>0</v>
      </c>
      <c r="T113" s="36"/>
      <c r="U113" s="52"/>
      <c r="V113" s="53">
        <f t="shared" si="9"/>
        <v>0</v>
      </c>
      <c r="W113" s="54">
        <f t="shared" si="10"/>
        <v>0</v>
      </c>
      <c r="X113" s="55">
        <f t="shared" si="12"/>
        <v>0</v>
      </c>
      <c r="Y113" s="36"/>
      <c r="Z113" s="56">
        <f t="shared" si="11"/>
        <v>0</v>
      </c>
      <c r="AA113" s="31"/>
      <c r="AB113" s="63"/>
      <c r="AC113" s="33"/>
      <c r="AD113" s="58"/>
      <c r="AR113" s="64"/>
      <c r="AS113" s="3"/>
      <c r="AT113" s="3"/>
      <c r="AU113" s="14"/>
    </row>
    <row r="114" ht="16.5" customHeight="1">
      <c r="A114" s="49">
        <v>110.0</v>
      </c>
      <c r="B114" s="50"/>
      <c r="C114" s="51"/>
      <c r="D114" s="52"/>
      <c r="E114" s="36"/>
      <c r="F114" s="53">
        <f t="shared" si="1"/>
        <v>0</v>
      </c>
      <c r="G114" s="54">
        <f t="shared" si="2"/>
        <v>0</v>
      </c>
      <c r="H114" s="52"/>
      <c r="I114" s="36"/>
      <c r="J114" s="53">
        <f t="shared" si="3"/>
        <v>0</v>
      </c>
      <c r="K114" s="54">
        <f t="shared" si="4"/>
        <v>0</v>
      </c>
      <c r="L114" s="52"/>
      <c r="M114" s="52"/>
      <c r="N114" s="53">
        <f t="shared" si="5"/>
        <v>0</v>
      </c>
      <c r="O114" s="54">
        <f t="shared" si="6"/>
        <v>0</v>
      </c>
      <c r="P114" s="36"/>
      <c r="Q114" s="52"/>
      <c r="R114" s="53">
        <f t="shared" si="7"/>
        <v>0</v>
      </c>
      <c r="S114" s="54">
        <f t="shared" si="8"/>
        <v>0</v>
      </c>
      <c r="T114" s="36"/>
      <c r="U114" s="52"/>
      <c r="V114" s="53">
        <f t="shared" si="9"/>
        <v>0</v>
      </c>
      <c r="W114" s="54">
        <f t="shared" si="10"/>
        <v>0</v>
      </c>
      <c r="X114" s="55">
        <f t="shared" si="12"/>
        <v>0</v>
      </c>
      <c r="Y114" s="36"/>
      <c r="Z114" s="56">
        <f t="shared" si="11"/>
        <v>0</v>
      </c>
      <c r="AA114" s="31"/>
      <c r="AB114" s="63"/>
      <c r="AC114" s="33"/>
      <c r="AD114" s="58"/>
      <c r="AR114" s="64"/>
      <c r="AS114" s="3"/>
      <c r="AT114" s="3"/>
      <c r="AU114" s="14"/>
    </row>
    <row r="115" ht="16.5" customHeight="1">
      <c r="A115" s="49">
        <v>111.0</v>
      </c>
      <c r="B115" s="50"/>
      <c r="C115" s="51"/>
      <c r="D115" s="52"/>
      <c r="E115" s="36"/>
      <c r="F115" s="53">
        <f t="shared" si="1"/>
        <v>0</v>
      </c>
      <c r="G115" s="54">
        <f t="shared" si="2"/>
        <v>0</v>
      </c>
      <c r="H115" s="52"/>
      <c r="I115" s="36"/>
      <c r="J115" s="53">
        <f t="shared" si="3"/>
        <v>0</v>
      </c>
      <c r="K115" s="54">
        <f t="shared" si="4"/>
        <v>0</v>
      </c>
      <c r="L115" s="52"/>
      <c r="M115" s="52"/>
      <c r="N115" s="53">
        <f t="shared" si="5"/>
        <v>0</v>
      </c>
      <c r="O115" s="54">
        <f t="shared" si="6"/>
        <v>0</v>
      </c>
      <c r="P115" s="36"/>
      <c r="Q115" s="52"/>
      <c r="R115" s="53">
        <f t="shared" si="7"/>
        <v>0</v>
      </c>
      <c r="S115" s="54">
        <f t="shared" si="8"/>
        <v>0</v>
      </c>
      <c r="T115" s="36"/>
      <c r="U115" s="52"/>
      <c r="V115" s="53">
        <f t="shared" si="9"/>
        <v>0</v>
      </c>
      <c r="W115" s="54">
        <f t="shared" si="10"/>
        <v>0</v>
      </c>
      <c r="X115" s="55">
        <f t="shared" si="12"/>
        <v>0</v>
      </c>
      <c r="Y115" s="36"/>
      <c r="Z115" s="56">
        <f t="shared" si="11"/>
        <v>0</v>
      </c>
      <c r="AA115" s="31"/>
      <c r="AB115" s="63"/>
      <c r="AC115" s="33"/>
      <c r="AD115" s="58"/>
      <c r="AR115" s="64"/>
      <c r="AS115" s="3"/>
      <c r="AT115" s="3"/>
      <c r="AU115" s="14"/>
    </row>
    <row r="116" ht="16.5" customHeight="1">
      <c r="A116" s="49">
        <v>112.0</v>
      </c>
      <c r="B116" s="50"/>
      <c r="C116" s="51"/>
      <c r="D116" s="52"/>
      <c r="E116" s="36"/>
      <c r="F116" s="53">
        <f t="shared" si="1"/>
        <v>0</v>
      </c>
      <c r="G116" s="54">
        <f t="shared" si="2"/>
        <v>0</v>
      </c>
      <c r="H116" s="52"/>
      <c r="I116" s="36"/>
      <c r="J116" s="53">
        <f t="shared" si="3"/>
        <v>0</v>
      </c>
      <c r="K116" s="54">
        <f t="shared" si="4"/>
        <v>0</v>
      </c>
      <c r="L116" s="52"/>
      <c r="M116" s="52"/>
      <c r="N116" s="53">
        <f t="shared" si="5"/>
        <v>0</v>
      </c>
      <c r="O116" s="54">
        <f t="shared" si="6"/>
        <v>0</v>
      </c>
      <c r="P116" s="36"/>
      <c r="Q116" s="52"/>
      <c r="R116" s="53">
        <f t="shared" si="7"/>
        <v>0</v>
      </c>
      <c r="S116" s="54">
        <f t="shared" si="8"/>
        <v>0</v>
      </c>
      <c r="T116" s="36"/>
      <c r="U116" s="52"/>
      <c r="V116" s="53">
        <f t="shared" si="9"/>
        <v>0</v>
      </c>
      <c r="W116" s="54">
        <f t="shared" si="10"/>
        <v>0</v>
      </c>
      <c r="X116" s="55">
        <f t="shared" si="12"/>
        <v>0</v>
      </c>
      <c r="Y116" s="36"/>
      <c r="Z116" s="56">
        <f t="shared" si="11"/>
        <v>0</v>
      </c>
      <c r="AA116" s="31"/>
      <c r="AB116" s="63"/>
      <c r="AC116" s="33"/>
      <c r="AD116" s="58"/>
      <c r="AR116" s="64"/>
      <c r="AS116" s="3"/>
      <c r="AT116" s="3"/>
      <c r="AU116" s="14"/>
    </row>
    <row r="117" ht="16.5" customHeight="1">
      <c r="A117" s="49">
        <v>113.0</v>
      </c>
      <c r="B117" s="50"/>
      <c r="C117" s="51"/>
      <c r="D117" s="52"/>
      <c r="E117" s="36"/>
      <c r="F117" s="53">
        <f t="shared" si="1"/>
        <v>0</v>
      </c>
      <c r="G117" s="54">
        <f t="shared" si="2"/>
        <v>0</v>
      </c>
      <c r="H117" s="52"/>
      <c r="I117" s="36"/>
      <c r="J117" s="53">
        <f t="shared" si="3"/>
        <v>0</v>
      </c>
      <c r="K117" s="54">
        <f t="shared" si="4"/>
        <v>0</v>
      </c>
      <c r="L117" s="52"/>
      <c r="M117" s="52"/>
      <c r="N117" s="53">
        <f t="shared" si="5"/>
        <v>0</v>
      </c>
      <c r="O117" s="54">
        <f t="shared" si="6"/>
        <v>0</v>
      </c>
      <c r="P117" s="36"/>
      <c r="Q117" s="52"/>
      <c r="R117" s="53">
        <f t="shared" si="7"/>
        <v>0</v>
      </c>
      <c r="S117" s="54">
        <f t="shared" si="8"/>
        <v>0</v>
      </c>
      <c r="T117" s="36"/>
      <c r="U117" s="52"/>
      <c r="V117" s="53">
        <f t="shared" si="9"/>
        <v>0</v>
      </c>
      <c r="W117" s="54">
        <f t="shared" si="10"/>
        <v>0</v>
      </c>
      <c r="X117" s="55">
        <f t="shared" si="12"/>
        <v>0</v>
      </c>
      <c r="Y117" s="36"/>
      <c r="Z117" s="56">
        <f t="shared" si="11"/>
        <v>0</v>
      </c>
      <c r="AA117" s="31"/>
      <c r="AB117" s="63"/>
      <c r="AC117" s="33"/>
      <c r="AD117" s="58"/>
      <c r="AR117" s="64"/>
      <c r="AS117" s="3"/>
      <c r="AT117" s="3"/>
      <c r="AU117" s="14"/>
    </row>
    <row r="118" ht="16.5" customHeight="1">
      <c r="A118" s="49">
        <v>114.0</v>
      </c>
      <c r="B118" s="50"/>
      <c r="C118" s="51"/>
      <c r="D118" s="52"/>
      <c r="E118" s="36"/>
      <c r="F118" s="53">
        <f t="shared" si="1"/>
        <v>0</v>
      </c>
      <c r="G118" s="54">
        <f t="shared" si="2"/>
        <v>0</v>
      </c>
      <c r="H118" s="52"/>
      <c r="I118" s="36"/>
      <c r="J118" s="53">
        <f t="shared" si="3"/>
        <v>0</v>
      </c>
      <c r="K118" s="54">
        <f t="shared" si="4"/>
        <v>0</v>
      </c>
      <c r="L118" s="52"/>
      <c r="M118" s="52"/>
      <c r="N118" s="53">
        <f t="shared" si="5"/>
        <v>0</v>
      </c>
      <c r="O118" s="54">
        <f t="shared" si="6"/>
        <v>0</v>
      </c>
      <c r="P118" s="36"/>
      <c r="Q118" s="52"/>
      <c r="R118" s="53">
        <f t="shared" si="7"/>
        <v>0</v>
      </c>
      <c r="S118" s="54">
        <f t="shared" si="8"/>
        <v>0</v>
      </c>
      <c r="T118" s="36"/>
      <c r="U118" s="52"/>
      <c r="V118" s="53">
        <f t="shared" si="9"/>
        <v>0</v>
      </c>
      <c r="W118" s="54">
        <f t="shared" si="10"/>
        <v>0</v>
      </c>
      <c r="X118" s="55">
        <f t="shared" si="12"/>
        <v>0</v>
      </c>
      <c r="Y118" s="36"/>
      <c r="Z118" s="56">
        <f t="shared" si="11"/>
        <v>0</v>
      </c>
      <c r="AA118" s="31"/>
      <c r="AB118" s="63"/>
      <c r="AC118" s="33"/>
      <c r="AD118" s="58"/>
      <c r="AR118" s="64"/>
      <c r="AS118" s="3"/>
      <c r="AT118" s="3"/>
      <c r="AU118" s="14"/>
    </row>
    <row r="119" ht="16.5" customHeight="1">
      <c r="A119" s="49">
        <v>115.0</v>
      </c>
      <c r="B119" s="50"/>
      <c r="C119" s="51"/>
      <c r="D119" s="52"/>
      <c r="E119" s="36"/>
      <c r="F119" s="53">
        <f t="shared" si="1"/>
        <v>0</v>
      </c>
      <c r="G119" s="54">
        <f t="shared" si="2"/>
        <v>0</v>
      </c>
      <c r="H119" s="52"/>
      <c r="I119" s="36"/>
      <c r="J119" s="53">
        <f t="shared" si="3"/>
        <v>0</v>
      </c>
      <c r="K119" s="54">
        <f t="shared" si="4"/>
        <v>0</v>
      </c>
      <c r="L119" s="52"/>
      <c r="M119" s="52"/>
      <c r="N119" s="53">
        <f t="shared" si="5"/>
        <v>0</v>
      </c>
      <c r="O119" s="54">
        <f t="shared" si="6"/>
        <v>0</v>
      </c>
      <c r="P119" s="36"/>
      <c r="Q119" s="52"/>
      <c r="R119" s="53">
        <f t="shared" si="7"/>
        <v>0</v>
      </c>
      <c r="S119" s="54">
        <f t="shared" si="8"/>
        <v>0</v>
      </c>
      <c r="T119" s="36"/>
      <c r="U119" s="52"/>
      <c r="V119" s="53">
        <f t="shared" si="9"/>
        <v>0</v>
      </c>
      <c r="W119" s="54">
        <f t="shared" si="10"/>
        <v>0</v>
      </c>
      <c r="X119" s="55">
        <f t="shared" si="12"/>
        <v>0</v>
      </c>
      <c r="Y119" s="36"/>
      <c r="Z119" s="56">
        <f t="shared" si="11"/>
        <v>0</v>
      </c>
      <c r="AA119" s="31"/>
      <c r="AB119" s="63"/>
      <c r="AC119" s="33"/>
      <c r="AD119" s="58"/>
      <c r="AR119" s="64"/>
      <c r="AS119" s="3"/>
      <c r="AT119" s="3"/>
      <c r="AU119" s="14"/>
    </row>
    <row r="120" ht="16.5" customHeight="1">
      <c r="A120" s="49">
        <v>116.0</v>
      </c>
      <c r="B120" s="50"/>
      <c r="C120" s="51"/>
      <c r="D120" s="52"/>
      <c r="E120" s="36"/>
      <c r="F120" s="53">
        <f t="shared" si="1"/>
        <v>0</v>
      </c>
      <c r="G120" s="54">
        <f t="shared" si="2"/>
        <v>0</v>
      </c>
      <c r="H120" s="52"/>
      <c r="I120" s="36"/>
      <c r="J120" s="53">
        <f t="shared" si="3"/>
        <v>0</v>
      </c>
      <c r="K120" s="54">
        <f t="shared" si="4"/>
        <v>0</v>
      </c>
      <c r="L120" s="52"/>
      <c r="M120" s="52"/>
      <c r="N120" s="53">
        <f t="shared" si="5"/>
        <v>0</v>
      </c>
      <c r="O120" s="54">
        <f t="shared" si="6"/>
        <v>0</v>
      </c>
      <c r="P120" s="36"/>
      <c r="Q120" s="52"/>
      <c r="R120" s="53">
        <f t="shared" si="7"/>
        <v>0</v>
      </c>
      <c r="S120" s="54">
        <f t="shared" si="8"/>
        <v>0</v>
      </c>
      <c r="T120" s="36"/>
      <c r="U120" s="52"/>
      <c r="V120" s="53">
        <f t="shared" si="9"/>
        <v>0</v>
      </c>
      <c r="W120" s="54">
        <f t="shared" si="10"/>
        <v>0</v>
      </c>
      <c r="X120" s="55">
        <f t="shared" si="12"/>
        <v>0</v>
      </c>
      <c r="Y120" s="36"/>
      <c r="Z120" s="56">
        <f t="shared" si="11"/>
        <v>0</v>
      </c>
      <c r="AA120" s="31"/>
      <c r="AB120" s="63"/>
      <c r="AC120" s="33"/>
      <c r="AD120" s="58"/>
      <c r="AR120" s="64"/>
      <c r="AS120" s="3"/>
      <c r="AT120" s="3"/>
      <c r="AU120" s="14"/>
    </row>
    <row r="121" ht="16.5" customHeight="1">
      <c r="A121" s="49">
        <v>117.0</v>
      </c>
      <c r="B121" s="50"/>
      <c r="C121" s="51"/>
      <c r="D121" s="52"/>
      <c r="E121" s="36"/>
      <c r="F121" s="53">
        <f t="shared" si="1"/>
        <v>0</v>
      </c>
      <c r="G121" s="54">
        <f t="shared" si="2"/>
        <v>0</v>
      </c>
      <c r="H121" s="52"/>
      <c r="I121" s="36"/>
      <c r="J121" s="53">
        <f t="shared" si="3"/>
        <v>0</v>
      </c>
      <c r="K121" s="54">
        <f t="shared" si="4"/>
        <v>0</v>
      </c>
      <c r="L121" s="52"/>
      <c r="M121" s="52"/>
      <c r="N121" s="53">
        <f t="shared" si="5"/>
        <v>0</v>
      </c>
      <c r="O121" s="54">
        <f t="shared" si="6"/>
        <v>0</v>
      </c>
      <c r="P121" s="36"/>
      <c r="Q121" s="52"/>
      <c r="R121" s="53">
        <f t="shared" si="7"/>
        <v>0</v>
      </c>
      <c r="S121" s="54">
        <f t="shared" si="8"/>
        <v>0</v>
      </c>
      <c r="T121" s="36"/>
      <c r="U121" s="52"/>
      <c r="V121" s="53">
        <f t="shared" si="9"/>
        <v>0</v>
      </c>
      <c r="W121" s="54">
        <f t="shared" si="10"/>
        <v>0</v>
      </c>
      <c r="X121" s="55">
        <f t="shared" si="12"/>
        <v>0</v>
      </c>
      <c r="Y121" s="36"/>
      <c r="Z121" s="56">
        <f t="shared" si="11"/>
        <v>0</v>
      </c>
      <c r="AA121" s="31"/>
      <c r="AB121" s="63"/>
      <c r="AC121" s="33"/>
      <c r="AD121" s="58"/>
      <c r="AR121" s="64"/>
      <c r="AS121" s="3"/>
      <c r="AT121" s="3"/>
      <c r="AU121" s="14"/>
    </row>
    <row r="122" ht="16.5" customHeight="1">
      <c r="A122" s="49">
        <v>118.0</v>
      </c>
      <c r="B122" s="50"/>
      <c r="C122" s="51"/>
      <c r="D122" s="52"/>
      <c r="E122" s="36"/>
      <c r="F122" s="53">
        <f t="shared" si="1"/>
        <v>0</v>
      </c>
      <c r="G122" s="54">
        <f t="shared" si="2"/>
        <v>0</v>
      </c>
      <c r="H122" s="52"/>
      <c r="I122" s="36"/>
      <c r="J122" s="53">
        <f t="shared" si="3"/>
        <v>0</v>
      </c>
      <c r="K122" s="54">
        <f t="shared" si="4"/>
        <v>0</v>
      </c>
      <c r="L122" s="52"/>
      <c r="M122" s="52"/>
      <c r="N122" s="53">
        <f t="shared" si="5"/>
        <v>0</v>
      </c>
      <c r="O122" s="54">
        <f t="shared" si="6"/>
        <v>0</v>
      </c>
      <c r="P122" s="36"/>
      <c r="Q122" s="52"/>
      <c r="R122" s="53">
        <f t="shared" si="7"/>
        <v>0</v>
      </c>
      <c r="S122" s="54">
        <f t="shared" si="8"/>
        <v>0</v>
      </c>
      <c r="T122" s="36"/>
      <c r="U122" s="52"/>
      <c r="V122" s="53">
        <f t="shared" si="9"/>
        <v>0</v>
      </c>
      <c r="W122" s="54">
        <f t="shared" si="10"/>
        <v>0</v>
      </c>
      <c r="X122" s="55">
        <f t="shared" si="12"/>
        <v>0</v>
      </c>
      <c r="Y122" s="36"/>
      <c r="Z122" s="56">
        <f t="shared" si="11"/>
        <v>0</v>
      </c>
      <c r="AA122" s="31"/>
      <c r="AB122" s="63"/>
      <c r="AC122" s="33"/>
      <c r="AD122" s="58"/>
      <c r="AR122" s="64"/>
      <c r="AS122" s="3"/>
      <c r="AT122" s="3"/>
      <c r="AU122" s="14"/>
    </row>
    <row r="123" ht="16.5" customHeight="1">
      <c r="A123" s="49">
        <v>119.0</v>
      </c>
      <c r="B123" s="50"/>
      <c r="C123" s="51"/>
      <c r="D123" s="52"/>
      <c r="E123" s="36"/>
      <c r="F123" s="53">
        <f t="shared" si="1"/>
        <v>0</v>
      </c>
      <c r="G123" s="54">
        <f t="shared" si="2"/>
        <v>0</v>
      </c>
      <c r="H123" s="52"/>
      <c r="I123" s="36"/>
      <c r="J123" s="53">
        <f t="shared" si="3"/>
        <v>0</v>
      </c>
      <c r="K123" s="54">
        <f t="shared" si="4"/>
        <v>0</v>
      </c>
      <c r="L123" s="52"/>
      <c r="M123" s="52"/>
      <c r="N123" s="53">
        <f t="shared" si="5"/>
        <v>0</v>
      </c>
      <c r="O123" s="54">
        <f t="shared" si="6"/>
        <v>0</v>
      </c>
      <c r="P123" s="36"/>
      <c r="Q123" s="52"/>
      <c r="R123" s="53">
        <f t="shared" si="7"/>
        <v>0</v>
      </c>
      <c r="S123" s="54">
        <f t="shared" si="8"/>
        <v>0</v>
      </c>
      <c r="T123" s="36"/>
      <c r="U123" s="52"/>
      <c r="V123" s="53">
        <f t="shared" si="9"/>
        <v>0</v>
      </c>
      <c r="W123" s="54">
        <f t="shared" si="10"/>
        <v>0</v>
      </c>
      <c r="X123" s="55">
        <f t="shared" si="12"/>
        <v>0</v>
      </c>
      <c r="Y123" s="36"/>
      <c r="Z123" s="56">
        <f t="shared" si="11"/>
        <v>0</v>
      </c>
      <c r="AA123" s="31"/>
      <c r="AB123" s="63"/>
      <c r="AC123" s="33"/>
      <c r="AD123" s="58"/>
      <c r="AR123" s="64"/>
      <c r="AS123" s="3"/>
      <c r="AT123" s="3"/>
      <c r="AU123" s="14"/>
    </row>
    <row r="124" ht="16.5" customHeight="1">
      <c r="A124" s="49">
        <v>120.0</v>
      </c>
      <c r="B124" s="50"/>
      <c r="C124" s="51"/>
      <c r="D124" s="52"/>
      <c r="E124" s="36"/>
      <c r="F124" s="53">
        <f t="shared" si="1"/>
        <v>0</v>
      </c>
      <c r="G124" s="54">
        <f t="shared" si="2"/>
        <v>0</v>
      </c>
      <c r="H124" s="52"/>
      <c r="I124" s="36"/>
      <c r="J124" s="53">
        <f t="shared" si="3"/>
        <v>0</v>
      </c>
      <c r="K124" s="54">
        <f t="shared" si="4"/>
        <v>0</v>
      </c>
      <c r="L124" s="52"/>
      <c r="M124" s="52"/>
      <c r="N124" s="53">
        <f t="shared" si="5"/>
        <v>0</v>
      </c>
      <c r="O124" s="54">
        <f t="shared" si="6"/>
        <v>0</v>
      </c>
      <c r="P124" s="36"/>
      <c r="Q124" s="52"/>
      <c r="R124" s="53">
        <f t="shared" si="7"/>
        <v>0</v>
      </c>
      <c r="S124" s="54">
        <f t="shared" si="8"/>
        <v>0</v>
      </c>
      <c r="T124" s="36"/>
      <c r="U124" s="52"/>
      <c r="V124" s="53">
        <f t="shared" si="9"/>
        <v>0</v>
      </c>
      <c r="W124" s="54">
        <f t="shared" si="10"/>
        <v>0</v>
      </c>
      <c r="X124" s="55">
        <f t="shared" si="12"/>
        <v>0</v>
      </c>
      <c r="Y124" s="36"/>
      <c r="Z124" s="56">
        <f t="shared" si="11"/>
        <v>0</v>
      </c>
      <c r="AA124" s="31"/>
      <c r="AB124" s="63"/>
      <c r="AC124" s="33"/>
      <c r="AD124" s="58"/>
      <c r="AR124" s="64"/>
      <c r="AS124" s="3"/>
      <c r="AT124" s="3"/>
      <c r="AU124" s="14"/>
    </row>
    <row r="125" ht="16.5" customHeight="1">
      <c r="A125" s="49">
        <v>121.0</v>
      </c>
      <c r="B125" s="50"/>
      <c r="C125" s="51"/>
      <c r="D125" s="52"/>
      <c r="E125" s="36"/>
      <c r="F125" s="53">
        <f t="shared" si="1"/>
        <v>0</v>
      </c>
      <c r="G125" s="54">
        <f t="shared" si="2"/>
        <v>0</v>
      </c>
      <c r="H125" s="52"/>
      <c r="I125" s="36"/>
      <c r="J125" s="53">
        <f t="shared" si="3"/>
        <v>0</v>
      </c>
      <c r="K125" s="54">
        <f t="shared" si="4"/>
        <v>0</v>
      </c>
      <c r="L125" s="52"/>
      <c r="M125" s="52"/>
      <c r="N125" s="53">
        <f t="shared" si="5"/>
        <v>0</v>
      </c>
      <c r="O125" s="54">
        <f t="shared" si="6"/>
        <v>0</v>
      </c>
      <c r="P125" s="36"/>
      <c r="Q125" s="52"/>
      <c r="R125" s="53">
        <f t="shared" si="7"/>
        <v>0</v>
      </c>
      <c r="S125" s="54">
        <f t="shared" si="8"/>
        <v>0</v>
      </c>
      <c r="T125" s="36"/>
      <c r="U125" s="52"/>
      <c r="V125" s="53">
        <f t="shared" si="9"/>
        <v>0</v>
      </c>
      <c r="W125" s="54">
        <f t="shared" si="10"/>
        <v>0</v>
      </c>
      <c r="X125" s="55">
        <f t="shared" si="12"/>
        <v>0</v>
      </c>
      <c r="Y125" s="36"/>
      <c r="Z125" s="56">
        <f t="shared" si="11"/>
        <v>0</v>
      </c>
      <c r="AA125" s="31"/>
      <c r="AB125" s="63"/>
      <c r="AC125" s="33"/>
      <c r="AD125" s="58"/>
      <c r="AR125" s="64"/>
      <c r="AS125" s="3"/>
      <c r="AT125" s="3"/>
      <c r="AU125" s="14"/>
    </row>
    <row r="126" ht="16.5" customHeight="1">
      <c r="A126" s="49">
        <v>122.0</v>
      </c>
      <c r="B126" s="50"/>
      <c r="C126" s="51"/>
      <c r="D126" s="52"/>
      <c r="E126" s="36"/>
      <c r="F126" s="53">
        <f t="shared" si="1"/>
        <v>0</v>
      </c>
      <c r="G126" s="54">
        <f t="shared" si="2"/>
        <v>0</v>
      </c>
      <c r="H126" s="52"/>
      <c r="I126" s="36"/>
      <c r="J126" s="53">
        <f t="shared" si="3"/>
        <v>0</v>
      </c>
      <c r="K126" s="54">
        <f t="shared" si="4"/>
        <v>0</v>
      </c>
      <c r="L126" s="52"/>
      <c r="M126" s="52"/>
      <c r="N126" s="53">
        <f t="shared" si="5"/>
        <v>0</v>
      </c>
      <c r="O126" s="54">
        <f t="shared" si="6"/>
        <v>0</v>
      </c>
      <c r="P126" s="36"/>
      <c r="Q126" s="52"/>
      <c r="R126" s="53">
        <f t="shared" si="7"/>
        <v>0</v>
      </c>
      <c r="S126" s="54">
        <f t="shared" si="8"/>
        <v>0</v>
      </c>
      <c r="T126" s="36"/>
      <c r="U126" s="52"/>
      <c r="V126" s="53">
        <f t="shared" si="9"/>
        <v>0</v>
      </c>
      <c r="W126" s="54">
        <f t="shared" si="10"/>
        <v>0</v>
      </c>
      <c r="X126" s="55">
        <f t="shared" si="12"/>
        <v>0</v>
      </c>
      <c r="Y126" s="36"/>
      <c r="Z126" s="56">
        <f t="shared" si="11"/>
        <v>0</v>
      </c>
      <c r="AA126" s="31"/>
      <c r="AB126" s="63"/>
      <c r="AC126" s="33"/>
      <c r="AD126" s="58"/>
      <c r="AR126" s="64"/>
      <c r="AS126" s="3"/>
      <c r="AT126" s="3"/>
      <c r="AU126" s="14"/>
    </row>
    <row r="127" ht="16.5" customHeight="1">
      <c r="A127" s="49">
        <v>123.0</v>
      </c>
      <c r="B127" s="50"/>
      <c r="C127" s="51"/>
      <c r="D127" s="52"/>
      <c r="E127" s="36"/>
      <c r="F127" s="53">
        <f t="shared" si="1"/>
        <v>0</v>
      </c>
      <c r="G127" s="54">
        <f t="shared" si="2"/>
        <v>0</v>
      </c>
      <c r="H127" s="52"/>
      <c r="I127" s="36"/>
      <c r="J127" s="53">
        <f t="shared" si="3"/>
        <v>0</v>
      </c>
      <c r="K127" s="54">
        <f t="shared" si="4"/>
        <v>0</v>
      </c>
      <c r="L127" s="52"/>
      <c r="M127" s="52"/>
      <c r="N127" s="53">
        <f t="shared" si="5"/>
        <v>0</v>
      </c>
      <c r="O127" s="54">
        <f t="shared" si="6"/>
        <v>0</v>
      </c>
      <c r="P127" s="36"/>
      <c r="Q127" s="52"/>
      <c r="R127" s="53">
        <f t="shared" si="7"/>
        <v>0</v>
      </c>
      <c r="S127" s="54">
        <f t="shared" si="8"/>
        <v>0</v>
      </c>
      <c r="T127" s="36"/>
      <c r="U127" s="52"/>
      <c r="V127" s="53">
        <f t="shared" si="9"/>
        <v>0</v>
      </c>
      <c r="W127" s="54">
        <f t="shared" si="10"/>
        <v>0</v>
      </c>
      <c r="X127" s="55">
        <f t="shared" si="12"/>
        <v>0</v>
      </c>
      <c r="Y127" s="36"/>
      <c r="Z127" s="56">
        <f t="shared" si="11"/>
        <v>0</v>
      </c>
      <c r="AA127" s="31"/>
      <c r="AB127" s="63"/>
      <c r="AC127" s="33"/>
      <c r="AD127" s="58"/>
      <c r="AR127" s="64"/>
      <c r="AS127" s="3"/>
      <c r="AT127" s="3"/>
      <c r="AU127" s="14"/>
    </row>
    <row r="128" ht="16.5" customHeight="1">
      <c r="A128" s="49">
        <v>124.0</v>
      </c>
      <c r="B128" s="50"/>
      <c r="C128" s="51"/>
      <c r="D128" s="52"/>
      <c r="E128" s="36"/>
      <c r="F128" s="53">
        <f t="shared" si="1"/>
        <v>0</v>
      </c>
      <c r="G128" s="54">
        <f t="shared" si="2"/>
        <v>0</v>
      </c>
      <c r="H128" s="52"/>
      <c r="I128" s="36"/>
      <c r="J128" s="53">
        <f t="shared" si="3"/>
        <v>0</v>
      </c>
      <c r="K128" s="54">
        <f t="shared" si="4"/>
        <v>0</v>
      </c>
      <c r="L128" s="52"/>
      <c r="M128" s="52"/>
      <c r="N128" s="53">
        <f t="shared" si="5"/>
        <v>0</v>
      </c>
      <c r="O128" s="54">
        <f t="shared" si="6"/>
        <v>0</v>
      </c>
      <c r="P128" s="36"/>
      <c r="Q128" s="52"/>
      <c r="R128" s="53">
        <f t="shared" si="7"/>
        <v>0</v>
      </c>
      <c r="S128" s="54">
        <f t="shared" si="8"/>
        <v>0</v>
      </c>
      <c r="T128" s="36"/>
      <c r="U128" s="52"/>
      <c r="V128" s="53">
        <f t="shared" si="9"/>
        <v>0</v>
      </c>
      <c r="W128" s="54">
        <f t="shared" si="10"/>
        <v>0</v>
      </c>
      <c r="X128" s="55">
        <f t="shared" si="12"/>
        <v>0</v>
      </c>
      <c r="Y128" s="36"/>
      <c r="Z128" s="56">
        <f t="shared" si="11"/>
        <v>0</v>
      </c>
      <c r="AA128" s="31"/>
      <c r="AB128" s="63"/>
      <c r="AC128" s="33"/>
      <c r="AD128" s="58"/>
      <c r="AR128" s="64"/>
      <c r="AS128" s="3"/>
      <c r="AT128" s="3"/>
      <c r="AU128" s="14"/>
    </row>
    <row r="129" ht="16.5" customHeight="1">
      <c r="A129" s="49">
        <v>125.0</v>
      </c>
      <c r="B129" s="50"/>
      <c r="C129" s="51"/>
      <c r="D129" s="52"/>
      <c r="E129" s="36"/>
      <c r="F129" s="53">
        <f t="shared" si="1"/>
        <v>0</v>
      </c>
      <c r="G129" s="54">
        <f t="shared" si="2"/>
        <v>0</v>
      </c>
      <c r="H129" s="52"/>
      <c r="I129" s="36"/>
      <c r="J129" s="53">
        <f t="shared" si="3"/>
        <v>0</v>
      </c>
      <c r="K129" s="54">
        <f t="shared" si="4"/>
        <v>0</v>
      </c>
      <c r="L129" s="52"/>
      <c r="M129" s="52"/>
      <c r="N129" s="53">
        <f t="shared" si="5"/>
        <v>0</v>
      </c>
      <c r="O129" s="54">
        <f t="shared" si="6"/>
        <v>0</v>
      </c>
      <c r="P129" s="36"/>
      <c r="Q129" s="52"/>
      <c r="R129" s="53">
        <f t="shared" si="7"/>
        <v>0</v>
      </c>
      <c r="S129" s="54">
        <f t="shared" si="8"/>
        <v>0</v>
      </c>
      <c r="T129" s="36"/>
      <c r="U129" s="52"/>
      <c r="V129" s="53">
        <f t="shared" si="9"/>
        <v>0</v>
      </c>
      <c r="W129" s="54">
        <f t="shared" si="10"/>
        <v>0</v>
      </c>
      <c r="X129" s="55">
        <f t="shared" si="12"/>
        <v>0</v>
      </c>
      <c r="Y129" s="36"/>
      <c r="Z129" s="56">
        <f t="shared" si="11"/>
        <v>0</v>
      </c>
      <c r="AA129" s="31"/>
      <c r="AB129" s="63"/>
      <c r="AC129" s="33"/>
      <c r="AD129" s="58"/>
      <c r="AR129" s="64"/>
      <c r="AS129" s="3"/>
      <c r="AT129" s="3"/>
      <c r="AU129" s="14"/>
    </row>
    <row r="130" ht="16.5" customHeight="1">
      <c r="A130" s="49">
        <v>126.0</v>
      </c>
      <c r="B130" s="50"/>
      <c r="C130" s="51"/>
      <c r="D130" s="52"/>
      <c r="E130" s="36"/>
      <c r="F130" s="53">
        <f t="shared" si="1"/>
        <v>0</v>
      </c>
      <c r="G130" s="54">
        <f t="shared" si="2"/>
        <v>0</v>
      </c>
      <c r="H130" s="52"/>
      <c r="I130" s="36"/>
      <c r="J130" s="53">
        <f t="shared" si="3"/>
        <v>0</v>
      </c>
      <c r="K130" s="54">
        <f t="shared" si="4"/>
        <v>0</v>
      </c>
      <c r="L130" s="52"/>
      <c r="M130" s="52"/>
      <c r="N130" s="53">
        <f t="shared" si="5"/>
        <v>0</v>
      </c>
      <c r="O130" s="54">
        <f t="shared" si="6"/>
        <v>0</v>
      </c>
      <c r="P130" s="36"/>
      <c r="Q130" s="52"/>
      <c r="R130" s="53">
        <f t="shared" si="7"/>
        <v>0</v>
      </c>
      <c r="S130" s="54">
        <f t="shared" si="8"/>
        <v>0</v>
      </c>
      <c r="T130" s="36"/>
      <c r="U130" s="52"/>
      <c r="V130" s="53">
        <f t="shared" si="9"/>
        <v>0</v>
      </c>
      <c r="W130" s="54">
        <f t="shared" si="10"/>
        <v>0</v>
      </c>
      <c r="X130" s="55">
        <f t="shared" si="12"/>
        <v>0</v>
      </c>
      <c r="Y130" s="36"/>
      <c r="Z130" s="56">
        <f t="shared" si="11"/>
        <v>0</v>
      </c>
      <c r="AA130" s="31"/>
      <c r="AB130" s="63"/>
      <c r="AC130" s="33"/>
      <c r="AD130" s="58"/>
      <c r="AR130" s="64"/>
      <c r="AS130" s="3"/>
      <c r="AT130" s="3"/>
      <c r="AU130" s="14"/>
    </row>
    <row r="131" ht="16.5" customHeight="1">
      <c r="A131" s="49">
        <v>127.0</v>
      </c>
      <c r="B131" s="50"/>
      <c r="C131" s="51"/>
      <c r="D131" s="52"/>
      <c r="E131" s="36"/>
      <c r="F131" s="53">
        <f t="shared" si="1"/>
        <v>0</v>
      </c>
      <c r="G131" s="54">
        <f t="shared" si="2"/>
        <v>0</v>
      </c>
      <c r="H131" s="52"/>
      <c r="I131" s="36"/>
      <c r="J131" s="53">
        <f t="shared" si="3"/>
        <v>0</v>
      </c>
      <c r="K131" s="54">
        <f t="shared" si="4"/>
        <v>0</v>
      </c>
      <c r="L131" s="52"/>
      <c r="M131" s="52"/>
      <c r="N131" s="53">
        <f t="shared" si="5"/>
        <v>0</v>
      </c>
      <c r="O131" s="54">
        <f t="shared" si="6"/>
        <v>0</v>
      </c>
      <c r="P131" s="36"/>
      <c r="Q131" s="52"/>
      <c r="R131" s="53">
        <f t="shared" si="7"/>
        <v>0</v>
      </c>
      <c r="S131" s="54">
        <f t="shared" si="8"/>
        <v>0</v>
      </c>
      <c r="T131" s="36"/>
      <c r="U131" s="52"/>
      <c r="V131" s="53">
        <f t="shared" si="9"/>
        <v>0</v>
      </c>
      <c r="W131" s="54">
        <f t="shared" si="10"/>
        <v>0</v>
      </c>
      <c r="X131" s="55">
        <f t="shared" si="12"/>
        <v>0</v>
      </c>
      <c r="Y131" s="36"/>
      <c r="Z131" s="56">
        <f t="shared" si="11"/>
        <v>0</v>
      </c>
      <c r="AA131" s="31"/>
      <c r="AB131" s="63"/>
      <c r="AC131" s="33"/>
      <c r="AD131" s="58"/>
      <c r="AR131" s="64"/>
      <c r="AS131" s="3"/>
      <c r="AT131" s="3"/>
      <c r="AU131" s="14"/>
    </row>
    <row r="132" ht="16.5" customHeight="1">
      <c r="A132" s="49">
        <v>128.0</v>
      </c>
      <c r="B132" s="50"/>
      <c r="C132" s="51"/>
      <c r="D132" s="52"/>
      <c r="E132" s="36"/>
      <c r="F132" s="53">
        <f t="shared" si="1"/>
        <v>0</v>
      </c>
      <c r="G132" s="54">
        <f t="shared" si="2"/>
        <v>0</v>
      </c>
      <c r="H132" s="52"/>
      <c r="I132" s="36"/>
      <c r="J132" s="53">
        <f t="shared" si="3"/>
        <v>0</v>
      </c>
      <c r="K132" s="54">
        <f t="shared" si="4"/>
        <v>0</v>
      </c>
      <c r="L132" s="52"/>
      <c r="M132" s="52"/>
      <c r="N132" s="53">
        <f t="shared" si="5"/>
        <v>0</v>
      </c>
      <c r="O132" s="54">
        <f t="shared" si="6"/>
        <v>0</v>
      </c>
      <c r="P132" s="36"/>
      <c r="Q132" s="52"/>
      <c r="R132" s="53">
        <f t="shared" si="7"/>
        <v>0</v>
      </c>
      <c r="S132" s="54">
        <f t="shared" si="8"/>
        <v>0</v>
      </c>
      <c r="T132" s="36"/>
      <c r="U132" s="52"/>
      <c r="V132" s="53">
        <f t="shared" si="9"/>
        <v>0</v>
      </c>
      <c r="W132" s="54">
        <f t="shared" si="10"/>
        <v>0</v>
      </c>
      <c r="X132" s="55">
        <f t="shared" si="12"/>
        <v>0</v>
      </c>
      <c r="Y132" s="36"/>
      <c r="Z132" s="56">
        <f t="shared" si="11"/>
        <v>0</v>
      </c>
      <c r="AA132" s="31"/>
      <c r="AB132" s="63"/>
      <c r="AC132" s="33"/>
      <c r="AD132" s="58"/>
      <c r="AR132" s="64"/>
      <c r="AS132" s="3"/>
      <c r="AT132" s="3"/>
      <c r="AU132" s="14"/>
    </row>
    <row r="133" ht="16.5" customHeight="1">
      <c r="A133" s="49">
        <v>129.0</v>
      </c>
      <c r="B133" s="50"/>
      <c r="C133" s="51"/>
      <c r="D133" s="52"/>
      <c r="E133" s="36"/>
      <c r="F133" s="53">
        <f t="shared" si="1"/>
        <v>0</v>
      </c>
      <c r="G133" s="54">
        <f t="shared" si="2"/>
        <v>0</v>
      </c>
      <c r="H133" s="52"/>
      <c r="I133" s="36"/>
      <c r="J133" s="53">
        <f t="shared" si="3"/>
        <v>0</v>
      </c>
      <c r="K133" s="54">
        <f t="shared" si="4"/>
        <v>0</v>
      </c>
      <c r="L133" s="52"/>
      <c r="M133" s="52"/>
      <c r="N133" s="53">
        <f t="shared" si="5"/>
        <v>0</v>
      </c>
      <c r="O133" s="54">
        <f t="shared" si="6"/>
        <v>0</v>
      </c>
      <c r="P133" s="36"/>
      <c r="Q133" s="52"/>
      <c r="R133" s="53">
        <f t="shared" si="7"/>
        <v>0</v>
      </c>
      <c r="S133" s="54">
        <f t="shared" si="8"/>
        <v>0</v>
      </c>
      <c r="T133" s="36"/>
      <c r="U133" s="52"/>
      <c r="V133" s="53">
        <f t="shared" si="9"/>
        <v>0</v>
      </c>
      <c r="W133" s="54">
        <f t="shared" si="10"/>
        <v>0</v>
      </c>
      <c r="X133" s="55">
        <f t="shared" si="12"/>
        <v>0</v>
      </c>
      <c r="Y133" s="36"/>
      <c r="Z133" s="56">
        <f t="shared" si="11"/>
        <v>0</v>
      </c>
      <c r="AA133" s="31"/>
      <c r="AB133" s="63"/>
      <c r="AC133" s="33"/>
      <c r="AD133" s="58"/>
      <c r="AR133" s="64"/>
      <c r="AS133" s="3"/>
      <c r="AT133" s="3"/>
      <c r="AU133" s="14"/>
    </row>
    <row r="134" ht="16.5" customHeight="1">
      <c r="A134" s="49">
        <v>130.0</v>
      </c>
      <c r="B134" s="50"/>
      <c r="C134" s="51"/>
      <c r="D134" s="52"/>
      <c r="E134" s="36"/>
      <c r="F134" s="53">
        <f t="shared" si="1"/>
        <v>0</v>
      </c>
      <c r="G134" s="54">
        <f t="shared" si="2"/>
        <v>0</v>
      </c>
      <c r="H134" s="52"/>
      <c r="I134" s="36"/>
      <c r="J134" s="53">
        <f t="shared" si="3"/>
        <v>0</v>
      </c>
      <c r="K134" s="54">
        <f t="shared" si="4"/>
        <v>0</v>
      </c>
      <c r="L134" s="52"/>
      <c r="M134" s="52"/>
      <c r="N134" s="53">
        <f t="shared" si="5"/>
        <v>0</v>
      </c>
      <c r="O134" s="54">
        <f t="shared" si="6"/>
        <v>0</v>
      </c>
      <c r="P134" s="36"/>
      <c r="Q134" s="52"/>
      <c r="R134" s="53">
        <f t="shared" si="7"/>
        <v>0</v>
      </c>
      <c r="S134" s="54">
        <f t="shared" si="8"/>
        <v>0</v>
      </c>
      <c r="T134" s="36"/>
      <c r="U134" s="52"/>
      <c r="V134" s="53">
        <f t="shared" si="9"/>
        <v>0</v>
      </c>
      <c r="W134" s="54">
        <f t="shared" si="10"/>
        <v>0</v>
      </c>
      <c r="X134" s="55">
        <f t="shared" si="12"/>
        <v>0</v>
      </c>
      <c r="Y134" s="36"/>
      <c r="Z134" s="56">
        <f t="shared" si="11"/>
        <v>0</v>
      </c>
      <c r="AA134" s="31"/>
      <c r="AB134" s="63"/>
      <c r="AC134" s="33"/>
      <c r="AD134" s="58"/>
      <c r="AR134" s="64"/>
      <c r="AS134" s="3"/>
      <c r="AT134" s="3"/>
      <c r="AU134" s="14"/>
    </row>
    <row r="135" ht="16.5" customHeight="1">
      <c r="A135" s="49">
        <v>131.0</v>
      </c>
      <c r="B135" s="50"/>
      <c r="C135" s="51"/>
      <c r="D135" s="52"/>
      <c r="E135" s="36"/>
      <c r="F135" s="53">
        <f t="shared" si="1"/>
        <v>0</v>
      </c>
      <c r="G135" s="54">
        <f t="shared" si="2"/>
        <v>0</v>
      </c>
      <c r="H135" s="52"/>
      <c r="I135" s="36"/>
      <c r="J135" s="53">
        <f t="shared" si="3"/>
        <v>0</v>
      </c>
      <c r="K135" s="54">
        <f t="shared" si="4"/>
        <v>0</v>
      </c>
      <c r="L135" s="52"/>
      <c r="M135" s="52"/>
      <c r="N135" s="53">
        <f t="shared" si="5"/>
        <v>0</v>
      </c>
      <c r="O135" s="54">
        <f t="shared" si="6"/>
        <v>0</v>
      </c>
      <c r="P135" s="36"/>
      <c r="Q135" s="52"/>
      <c r="R135" s="53">
        <f t="shared" si="7"/>
        <v>0</v>
      </c>
      <c r="S135" s="54">
        <f t="shared" si="8"/>
        <v>0</v>
      </c>
      <c r="T135" s="36"/>
      <c r="U135" s="52"/>
      <c r="V135" s="53">
        <f t="shared" si="9"/>
        <v>0</v>
      </c>
      <c r="W135" s="54">
        <f t="shared" si="10"/>
        <v>0</v>
      </c>
      <c r="X135" s="55">
        <f t="shared" si="12"/>
        <v>0</v>
      </c>
      <c r="Y135" s="36"/>
      <c r="Z135" s="56">
        <f t="shared" si="11"/>
        <v>0</v>
      </c>
      <c r="AA135" s="31"/>
      <c r="AB135" s="63"/>
      <c r="AC135" s="33"/>
      <c r="AD135" s="58"/>
      <c r="AR135" s="64"/>
      <c r="AS135" s="3"/>
      <c r="AT135" s="3"/>
      <c r="AU135" s="14"/>
    </row>
    <row r="136" ht="16.5" customHeight="1">
      <c r="A136" s="49">
        <v>132.0</v>
      </c>
      <c r="B136" s="50"/>
      <c r="C136" s="51"/>
      <c r="D136" s="52"/>
      <c r="E136" s="36"/>
      <c r="F136" s="53">
        <f t="shared" si="1"/>
        <v>0</v>
      </c>
      <c r="G136" s="54">
        <f t="shared" si="2"/>
        <v>0</v>
      </c>
      <c r="H136" s="52"/>
      <c r="I136" s="36"/>
      <c r="J136" s="53">
        <f t="shared" si="3"/>
        <v>0</v>
      </c>
      <c r="K136" s="54">
        <f t="shared" si="4"/>
        <v>0</v>
      </c>
      <c r="L136" s="52"/>
      <c r="M136" s="52"/>
      <c r="N136" s="53">
        <f t="shared" si="5"/>
        <v>0</v>
      </c>
      <c r="O136" s="54">
        <f t="shared" si="6"/>
        <v>0</v>
      </c>
      <c r="P136" s="36"/>
      <c r="Q136" s="52"/>
      <c r="R136" s="53">
        <f t="shared" si="7"/>
        <v>0</v>
      </c>
      <c r="S136" s="54">
        <f t="shared" si="8"/>
        <v>0</v>
      </c>
      <c r="T136" s="36"/>
      <c r="U136" s="52"/>
      <c r="V136" s="53">
        <f t="shared" si="9"/>
        <v>0</v>
      </c>
      <c r="W136" s="54">
        <f t="shared" si="10"/>
        <v>0</v>
      </c>
      <c r="X136" s="55">
        <f t="shared" si="12"/>
        <v>0</v>
      </c>
      <c r="Y136" s="36"/>
      <c r="Z136" s="56">
        <f t="shared" si="11"/>
        <v>0</v>
      </c>
      <c r="AA136" s="31"/>
      <c r="AB136" s="63"/>
      <c r="AC136" s="33"/>
      <c r="AD136" s="58"/>
      <c r="AR136" s="64"/>
      <c r="AS136" s="3"/>
      <c r="AT136" s="3"/>
      <c r="AU136" s="14"/>
    </row>
    <row r="137" ht="16.5" customHeight="1">
      <c r="A137" s="49">
        <v>133.0</v>
      </c>
      <c r="B137" s="50"/>
      <c r="C137" s="51"/>
      <c r="D137" s="52"/>
      <c r="E137" s="36"/>
      <c r="F137" s="53">
        <f t="shared" si="1"/>
        <v>0</v>
      </c>
      <c r="G137" s="54">
        <f t="shared" si="2"/>
        <v>0</v>
      </c>
      <c r="H137" s="52"/>
      <c r="I137" s="36"/>
      <c r="J137" s="53">
        <f t="shared" si="3"/>
        <v>0</v>
      </c>
      <c r="K137" s="54">
        <f t="shared" si="4"/>
        <v>0</v>
      </c>
      <c r="L137" s="52"/>
      <c r="M137" s="52"/>
      <c r="N137" s="53">
        <f t="shared" si="5"/>
        <v>0</v>
      </c>
      <c r="O137" s="54">
        <f t="shared" si="6"/>
        <v>0</v>
      </c>
      <c r="P137" s="36"/>
      <c r="Q137" s="52"/>
      <c r="R137" s="53">
        <f t="shared" si="7"/>
        <v>0</v>
      </c>
      <c r="S137" s="54">
        <f t="shared" si="8"/>
        <v>0</v>
      </c>
      <c r="T137" s="36"/>
      <c r="U137" s="52"/>
      <c r="V137" s="53">
        <f t="shared" si="9"/>
        <v>0</v>
      </c>
      <c r="W137" s="54">
        <f t="shared" si="10"/>
        <v>0</v>
      </c>
      <c r="X137" s="55">
        <f t="shared" si="12"/>
        <v>0</v>
      </c>
      <c r="Y137" s="36"/>
      <c r="Z137" s="56">
        <f t="shared" si="11"/>
        <v>0</v>
      </c>
      <c r="AA137" s="31"/>
      <c r="AB137" s="63"/>
      <c r="AC137" s="33"/>
      <c r="AD137" s="58"/>
      <c r="AR137" s="64"/>
      <c r="AS137" s="3"/>
      <c r="AT137" s="3"/>
      <c r="AU137" s="14"/>
    </row>
    <row r="138" ht="16.5" customHeight="1">
      <c r="A138" s="49">
        <v>134.0</v>
      </c>
      <c r="B138" s="50"/>
      <c r="C138" s="51"/>
      <c r="D138" s="52"/>
      <c r="E138" s="36"/>
      <c r="F138" s="53">
        <f t="shared" si="1"/>
        <v>0</v>
      </c>
      <c r="G138" s="54">
        <f t="shared" si="2"/>
        <v>0</v>
      </c>
      <c r="H138" s="52"/>
      <c r="I138" s="36"/>
      <c r="J138" s="53">
        <f t="shared" si="3"/>
        <v>0</v>
      </c>
      <c r="K138" s="54">
        <f t="shared" si="4"/>
        <v>0</v>
      </c>
      <c r="L138" s="52"/>
      <c r="M138" s="52"/>
      <c r="N138" s="53">
        <f t="shared" si="5"/>
        <v>0</v>
      </c>
      <c r="O138" s="54">
        <f t="shared" si="6"/>
        <v>0</v>
      </c>
      <c r="P138" s="36"/>
      <c r="Q138" s="52"/>
      <c r="R138" s="53">
        <f t="shared" si="7"/>
        <v>0</v>
      </c>
      <c r="S138" s="54">
        <f t="shared" si="8"/>
        <v>0</v>
      </c>
      <c r="T138" s="36"/>
      <c r="U138" s="52"/>
      <c r="V138" s="53">
        <f t="shared" si="9"/>
        <v>0</v>
      </c>
      <c r="W138" s="54">
        <f t="shared" si="10"/>
        <v>0</v>
      </c>
      <c r="X138" s="55">
        <f t="shared" si="12"/>
        <v>0</v>
      </c>
      <c r="Y138" s="36"/>
      <c r="Z138" s="56">
        <f t="shared" si="11"/>
        <v>0</v>
      </c>
      <c r="AA138" s="31"/>
      <c r="AB138" s="63"/>
      <c r="AC138" s="33"/>
      <c r="AD138" s="58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64"/>
      <c r="AS138" s="3"/>
      <c r="AT138" s="3"/>
      <c r="AU138" s="14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</row>
    <row r="139" ht="16.5" customHeight="1">
      <c r="A139" s="49">
        <v>135.0</v>
      </c>
      <c r="B139" s="50"/>
      <c r="C139" s="51"/>
      <c r="D139" s="52"/>
      <c r="E139" s="36"/>
      <c r="F139" s="53">
        <f t="shared" si="1"/>
        <v>0</v>
      </c>
      <c r="G139" s="54">
        <f t="shared" si="2"/>
        <v>0</v>
      </c>
      <c r="H139" s="52"/>
      <c r="I139" s="36"/>
      <c r="J139" s="53">
        <f t="shared" si="3"/>
        <v>0</v>
      </c>
      <c r="K139" s="54">
        <f t="shared" si="4"/>
        <v>0</v>
      </c>
      <c r="L139" s="52"/>
      <c r="M139" s="52"/>
      <c r="N139" s="53">
        <f t="shared" si="5"/>
        <v>0</v>
      </c>
      <c r="O139" s="54">
        <f t="shared" si="6"/>
        <v>0</v>
      </c>
      <c r="P139" s="36"/>
      <c r="Q139" s="52"/>
      <c r="R139" s="53">
        <f t="shared" si="7"/>
        <v>0</v>
      </c>
      <c r="S139" s="54">
        <f t="shared" si="8"/>
        <v>0</v>
      </c>
      <c r="T139" s="36"/>
      <c r="U139" s="52"/>
      <c r="V139" s="53">
        <f t="shared" si="9"/>
        <v>0</v>
      </c>
      <c r="W139" s="54">
        <f t="shared" si="10"/>
        <v>0</v>
      </c>
      <c r="X139" s="55">
        <f t="shared" si="12"/>
        <v>0</v>
      </c>
      <c r="Y139" s="36"/>
      <c r="Z139" s="56">
        <f t="shared" si="11"/>
        <v>0</v>
      </c>
      <c r="AA139" s="31"/>
      <c r="AB139" s="63"/>
      <c r="AC139" s="33"/>
      <c r="AD139" s="58"/>
      <c r="AR139" s="64"/>
      <c r="AS139" s="3"/>
      <c r="AT139" s="3"/>
      <c r="AU139" s="14"/>
    </row>
    <row r="140" ht="16.5" customHeight="1">
      <c r="A140" s="49">
        <v>136.0</v>
      </c>
      <c r="B140" s="50"/>
      <c r="C140" s="51"/>
      <c r="D140" s="52"/>
      <c r="E140" s="36"/>
      <c r="F140" s="53">
        <f t="shared" si="1"/>
        <v>0</v>
      </c>
      <c r="G140" s="54">
        <f t="shared" si="2"/>
        <v>0</v>
      </c>
      <c r="H140" s="52"/>
      <c r="I140" s="36"/>
      <c r="J140" s="53">
        <f t="shared" si="3"/>
        <v>0</v>
      </c>
      <c r="K140" s="54">
        <f t="shared" si="4"/>
        <v>0</v>
      </c>
      <c r="L140" s="52"/>
      <c r="M140" s="52"/>
      <c r="N140" s="53">
        <f t="shared" si="5"/>
        <v>0</v>
      </c>
      <c r="O140" s="54">
        <f t="shared" si="6"/>
        <v>0</v>
      </c>
      <c r="P140" s="36"/>
      <c r="Q140" s="52"/>
      <c r="R140" s="53">
        <f t="shared" si="7"/>
        <v>0</v>
      </c>
      <c r="S140" s="54">
        <f t="shared" si="8"/>
        <v>0</v>
      </c>
      <c r="T140" s="36"/>
      <c r="U140" s="52"/>
      <c r="V140" s="53">
        <f t="shared" si="9"/>
        <v>0</v>
      </c>
      <c r="W140" s="54">
        <f t="shared" si="10"/>
        <v>0</v>
      </c>
      <c r="X140" s="55">
        <f t="shared" si="12"/>
        <v>0</v>
      </c>
      <c r="Y140" s="36"/>
      <c r="Z140" s="56">
        <f t="shared" si="11"/>
        <v>0</v>
      </c>
      <c r="AA140" s="31"/>
      <c r="AB140" s="63" t="s">
        <v>33</v>
      </c>
      <c r="AC140" s="33"/>
      <c r="AD140" s="58"/>
      <c r="AR140" s="64"/>
      <c r="AS140" s="3"/>
      <c r="AT140" s="3"/>
      <c r="AU140" s="14"/>
    </row>
    <row r="141" ht="16.5" customHeight="1">
      <c r="A141" s="49">
        <v>137.0</v>
      </c>
      <c r="B141" s="111"/>
      <c r="C141" s="112"/>
      <c r="D141" s="113"/>
      <c r="E141" s="114"/>
      <c r="F141" s="53">
        <f t="shared" si="1"/>
        <v>0</v>
      </c>
      <c r="G141" s="54">
        <f t="shared" si="2"/>
        <v>0</v>
      </c>
      <c r="H141" s="113"/>
      <c r="I141" s="114"/>
      <c r="J141" s="53">
        <f t="shared" si="3"/>
        <v>0</v>
      </c>
      <c r="K141" s="54">
        <f t="shared" si="4"/>
        <v>0</v>
      </c>
      <c r="L141" s="113"/>
      <c r="M141" s="113"/>
      <c r="N141" s="53">
        <f t="shared" si="5"/>
        <v>0</v>
      </c>
      <c r="O141" s="54">
        <f t="shared" si="6"/>
        <v>0</v>
      </c>
      <c r="P141" s="114"/>
      <c r="Q141" s="113"/>
      <c r="R141" s="53">
        <f t="shared" si="7"/>
        <v>0</v>
      </c>
      <c r="S141" s="54">
        <f t="shared" si="8"/>
        <v>0</v>
      </c>
      <c r="T141" s="114"/>
      <c r="U141" s="113"/>
      <c r="V141" s="53">
        <f t="shared" si="9"/>
        <v>0</v>
      </c>
      <c r="W141" s="54">
        <f t="shared" si="10"/>
        <v>0</v>
      </c>
      <c r="X141" s="55">
        <f t="shared" si="12"/>
        <v>0</v>
      </c>
      <c r="Y141" s="36"/>
      <c r="Z141" s="56">
        <f t="shared" si="11"/>
        <v>0</v>
      </c>
      <c r="AA141" s="31"/>
      <c r="AB141" s="63" t="s">
        <v>53</v>
      </c>
      <c r="AC141" s="33"/>
      <c r="AD141" s="58"/>
      <c r="AR141" s="64"/>
      <c r="AS141" s="3"/>
      <c r="AT141" s="3"/>
      <c r="AU141" s="14"/>
    </row>
    <row r="142" ht="16.5" customHeight="1">
      <c r="A142" s="115"/>
      <c r="B142" s="116" t="s">
        <v>54</v>
      </c>
      <c r="C142" s="117"/>
      <c r="D142" s="118" t="s">
        <v>5</v>
      </c>
      <c r="E142" s="119"/>
      <c r="F142" s="120"/>
      <c r="G142" s="121">
        <v>75.0</v>
      </c>
      <c r="H142" s="118" t="s">
        <v>6</v>
      </c>
      <c r="I142" s="119"/>
      <c r="J142" s="120"/>
      <c r="K142" s="121">
        <v>75.0</v>
      </c>
      <c r="L142" s="118" t="s">
        <v>7</v>
      </c>
      <c r="M142" s="119"/>
      <c r="N142" s="120"/>
      <c r="O142" s="121">
        <v>75.0</v>
      </c>
      <c r="P142" s="118" t="s">
        <v>8</v>
      </c>
      <c r="Q142" s="119"/>
      <c r="R142" s="120"/>
      <c r="S142" s="121">
        <v>75.0</v>
      </c>
      <c r="T142" s="118" t="s">
        <v>9</v>
      </c>
      <c r="U142" s="119"/>
      <c r="V142" s="120"/>
      <c r="W142" s="121">
        <v>75.0</v>
      </c>
      <c r="X142" s="122"/>
      <c r="Y142" s="119"/>
      <c r="Z142" s="120"/>
      <c r="AA142" s="31"/>
      <c r="AB142" s="123" t="s">
        <v>55</v>
      </c>
      <c r="AC142" s="33"/>
      <c r="AD142" s="58"/>
      <c r="AE142" s="58"/>
      <c r="AF142" s="58"/>
      <c r="AG142" s="58"/>
      <c r="AH142" s="58"/>
      <c r="AK142" s="65"/>
      <c r="AL142" s="65"/>
      <c r="AM142" s="66"/>
      <c r="AN142" s="67"/>
      <c r="AO142" s="67"/>
      <c r="AP142" s="67"/>
      <c r="AQ142" s="67"/>
      <c r="AR142" s="64"/>
      <c r="AS142" s="3"/>
      <c r="AT142" s="3"/>
      <c r="AU142" s="14"/>
    </row>
    <row r="143" ht="16.5" customHeight="1">
      <c r="A143" s="124"/>
      <c r="B143" s="125" t="s">
        <v>56</v>
      </c>
      <c r="C143" s="126"/>
      <c r="D143" s="127"/>
      <c r="F143" s="73"/>
      <c r="G143" s="128">
        <f>COUNTIF(G7:G141,"&gt;="&amp;G5*(G142/100))</f>
        <v>1</v>
      </c>
      <c r="H143" s="127"/>
      <c r="J143" s="73"/>
      <c r="K143" s="128">
        <f>COUNTIF(K7:K141,"&gt;="&amp;K5*(K142/100))</f>
        <v>1</v>
      </c>
      <c r="L143" s="127"/>
      <c r="N143" s="73"/>
      <c r="O143" s="128">
        <f>COUNTIF(O7:O141,"&gt;="&amp;O5*(O142/100))</f>
        <v>1</v>
      </c>
      <c r="P143" s="127"/>
      <c r="R143" s="73"/>
      <c r="S143" s="128">
        <f>COUNTIF(S7:S141,"&gt;="&amp;S5*(S142/100))</f>
        <v>1</v>
      </c>
      <c r="T143" s="127"/>
      <c r="V143" s="73"/>
      <c r="W143" s="128">
        <f>COUNTIF(W7:W141,"&gt;="&amp;W5*(W142/100))</f>
        <v>1</v>
      </c>
      <c r="X143" s="127"/>
      <c r="Z143" s="73"/>
      <c r="AA143" s="31"/>
      <c r="AB143" s="129">
        <f>COUNTA(AB7:AB141)-(COUNTIF(AB7:AB141,"=U*")+COUNTIF(AB7:AB141,"=R*")+COUNTIF(AB7:AB141,"=WH*")+COUNTIF(AB7:AB141,"=B*"))</f>
        <v>0</v>
      </c>
      <c r="AC143" s="33"/>
      <c r="AD143" s="58"/>
      <c r="AE143" s="58"/>
      <c r="AG143" s="3"/>
      <c r="AH143" s="3"/>
      <c r="AI143" s="3"/>
      <c r="AJ143" s="3"/>
      <c r="AK143" s="3"/>
      <c r="AL143" s="66"/>
      <c r="AM143" s="3"/>
      <c r="AN143" s="3"/>
      <c r="AO143" s="3"/>
      <c r="AP143" s="3"/>
      <c r="AQ143" s="130"/>
      <c r="AR143" s="3"/>
      <c r="AS143" s="3"/>
      <c r="AT143" s="14"/>
    </row>
    <row r="144" ht="16.5" customHeight="1">
      <c r="A144" s="124"/>
      <c r="B144" s="131" t="s">
        <v>57</v>
      </c>
      <c r="C144" s="126"/>
      <c r="D144" s="127"/>
      <c r="F144" s="73"/>
      <c r="G144" s="132">
        <f>G143/(COUNTA(G7:G141))*100</f>
        <v>0.7407407407</v>
      </c>
      <c r="H144" s="127"/>
      <c r="J144" s="73"/>
      <c r="K144" s="132">
        <f>K143/(COUNTA(K7:K141))*100</f>
        <v>0.7407407407</v>
      </c>
      <c r="L144" s="127"/>
      <c r="N144" s="73"/>
      <c r="O144" s="132">
        <f>O143/(COUNTA(O7:O141))*100</f>
        <v>0.7407407407</v>
      </c>
      <c r="P144" s="127"/>
      <c r="R144" s="73"/>
      <c r="S144" s="132">
        <f>S143/(COUNTA(S7:S141))*100</f>
        <v>0.7407407407</v>
      </c>
      <c r="T144" s="127"/>
      <c r="V144" s="73"/>
      <c r="W144" s="132">
        <f>W143/(COUNTA(W7:W141))*100</f>
        <v>0.7407407407</v>
      </c>
      <c r="X144" s="127"/>
      <c r="Z144" s="73"/>
      <c r="AA144" s="31"/>
      <c r="AB144" s="133">
        <f>IFERROR(AB143/(COUNTA(AB7:AB141))*100,0)</f>
        <v>0</v>
      </c>
      <c r="AC144" s="33"/>
      <c r="AD144" s="58"/>
      <c r="AE144" s="58"/>
      <c r="AF144" s="134"/>
      <c r="AH144" s="3"/>
      <c r="AI144" s="3"/>
      <c r="AJ144" s="3"/>
      <c r="AK144" s="3"/>
      <c r="AM144" s="3"/>
      <c r="AN144" s="3"/>
      <c r="AO144" s="3"/>
      <c r="AP144" s="3"/>
      <c r="AQ144" s="130"/>
      <c r="AR144" s="135"/>
    </row>
    <row r="145" ht="16.5" customHeight="1">
      <c r="A145" s="124"/>
      <c r="B145" s="136" t="s">
        <v>58</v>
      </c>
      <c r="C145" s="137"/>
      <c r="D145" s="138"/>
      <c r="E145" s="139"/>
      <c r="F145" s="140"/>
      <c r="G145" s="141">
        <f>IF(G144&gt;=$AH$17,3,(IF(G144&gt;=$AH$16,2,(IF(G144&gt;=$AH$15,1,0)))))</f>
        <v>0</v>
      </c>
      <c r="H145" s="138"/>
      <c r="I145" s="139"/>
      <c r="J145" s="140"/>
      <c r="K145" s="141">
        <f>IF(K144&gt;=$AH$17,3,(IF(K144&gt;=$AH$16,2,(IF(K144&gt;=$AH$15,1,0)))))</f>
        <v>0</v>
      </c>
      <c r="L145" s="138"/>
      <c r="M145" s="139"/>
      <c r="N145" s="140"/>
      <c r="O145" s="141">
        <f>IF(O144&gt;=$AH$17,3,(IF(O144&gt;=$AH$16,2,(IF(O144&gt;=$AH$15,1,0)))))</f>
        <v>0</v>
      </c>
      <c r="P145" s="138"/>
      <c r="Q145" s="139"/>
      <c r="R145" s="140"/>
      <c r="S145" s="141">
        <f>IF(S144&gt;=$AH$17,3,(IF(S144&gt;=$AH$16,2,(IF(S144&gt;=$AH$15,1,0)))))</f>
        <v>0</v>
      </c>
      <c r="T145" s="138"/>
      <c r="U145" s="139"/>
      <c r="V145" s="140"/>
      <c r="W145" s="141">
        <f>IF(W144&gt;=$AH$17,3,(IF(W144&gt;=$AH$16,2,(IF(W144&gt;=$AH$15,1,0)))))</f>
        <v>0</v>
      </c>
      <c r="X145" s="138"/>
      <c r="Y145" s="139"/>
      <c r="Z145" s="140"/>
      <c r="AA145" s="142"/>
      <c r="AB145" s="141">
        <f>IF(AB144&gt;=$AH$17,3,(IF(AB144&gt;=$AH$16,2,(IF(AB144&gt;=$AH$15,1,0)))))</f>
        <v>0</v>
      </c>
      <c r="AC145" s="89"/>
      <c r="AD145" s="58"/>
      <c r="AE145" s="143"/>
      <c r="AR145" s="14"/>
      <c r="AS145" s="14"/>
      <c r="AT145" s="14"/>
    </row>
    <row r="146" ht="15.75" customHeight="1">
      <c r="A146" s="42"/>
      <c r="B146" s="144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  <c r="AB146" s="42"/>
      <c r="AC146" s="42"/>
      <c r="AD146" s="42"/>
      <c r="AE146" s="42"/>
      <c r="AR146" s="14"/>
      <c r="AS146" s="14"/>
      <c r="AT146" s="14"/>
    </row>
    <row r="147" ht="24.0" customHeight="1">
      <c r="A147" s="42"/>
      <c r="E147" s="13"/>
      <c r="I147" s="13"/>
      <c r="P147" s="13"/>
      <c r="T147" s="13"/>
      <c r="X147" s="13"/>
      <c r="Y147" s="13"/>
      <c r="Z147" s="13"/>
      <c r="AA147" s="13"/>
      <c r="AB147" s="42"/>
      <c r="AC147" s="42"/>
      <c r="AD147" s="145"/>
      <c r="AE147" s="145"/>
      <c r="AF147" s="146"/>
      <c r="AS147" s="14"/>
      <c r="AT147" s="14"/>
      <c r="AU147" s="14"/>
    </row>
    <row r="148" ht="27.0" customHeight="1">
      <c r="A148" s="42"/>
      <c r="D148" s="147"/>
      <c r="E148" s="147"/>
      <c r="F148" s="147"/>
      <c r="G148" s="147"/>
      <c r="H148" s="147"/>
      <c r="I148" s="147"/>
      <c r="J148" s="147"/>
      <c r="K148" s="147"/>
      <c r="L148" s="147"/>
      <c r="M148" s="147"/>
      <c r="N148" s="147"/>
      <c r="O148" s="147"/>
      <c r="P148" s="147"/>
      <c r="Q148" s="147"/>
      <c r="R148" s="147"/>
      <c r="S148" s="148"/>
      <c r="T148" s="148"/>
      <c r="U148" s="148"/>
      <c r="V148" s="148"/>
      <c r="W148" s="148"/>
      <c r="X148" s="148"/>
      <c r="Y148" s="148"/>
      <c r="Z148" s="148"/>
      <c r="AA148" s="148"/>
      <c r="AE148" s="149"/>
      <c r="AF148" s="146"/>
      <c r="AS148" s="14"/>
      <c r="AT148" s="14"/>
      <c r="AU148" s="14"/>
    </row>
    <row r="149" ht="17.25" customHeight="1">
      <c r="A149" s="42"/>
      <c r="B149" s="150"/>
      <c r="C149" s="150"/>
      <c r="D149" s="147"/>
      <c r="E149" s="147"/>
      <c r="F149" s="147"/>
      <c r="G149" s="147"/>
      <c r="H149" s="147"/>
      <c r="I149" s="147"/>
      <c r="J149" s="147"/>
      <c r="K149" s="147"/>
      <c r="L149" s="147"/>
      <c r="M149" s="147"/>
      <c r="N149" s="147"/>
      <c r="O149" s="147"/>
      <c r="P149" s="147"/>
      <c r="Q149" s="147"/>
      <c r="R149" s="147"/>
      <c r="S149" s="42"/>
      <c r="T149" s="42"/>
      <c r="U149" s="42"/>
      <c r="V149" s="42"/>
      <c r="W149" s="42"/>
      <c r="X149" s="42"/>
      <c r="Y149" s="42"/>
      <c r="Z149" s="42"/>
      <c r="AA149" s="42"/>
      <c r="AB149" s="42"/>
      <c r="AC149" s="42"/>
      <c r="AD149" s="42"/>
      <c r="AE149" s="149"/>
      <c r="AF149" s="146"/>
      <c r="AS149" s="14"/>
      <c r="AT149" s="14"/>
      <c r="AU149" s="14"/>
    </row>
    <row r="150" ht="15.75" customHeight="1">
      <c r="A150" s="42"/>
      <c r="E150" s="13"/>
      <c r="I150" s="13"/>
      <c r="P150" s="13"/>
      <c r="S150" s="42"/>
      <c r="T150" s="42"/>
      <c r="U150" s="42"/>
      <c r="V150" s="42"/>
      <c r="W150" s="42"/>
      <c r="X150" s="42"/>
      <c r="Y150" s="42"/>
      <c r="Z150" s="42"/>
      <c r="AA150" s="42"/>
      <c r="AB150" s="42"/>
      <c r="AC150" s="42"/>
      <c r="AD150" s="42"/>
      <c r="AE150" s="42"/>
      <c r="AS150" s="14"/>
      <c r="AT150" s="14"/>
      <c r="AU150" s="14"/>
    </row>
    <row r="151" ht="15.0" customHeight="1">
      <c r="A151" s="42"/>
      <c r="E151" s="13"/>
      <c r="I151" s="13"/>
      <c r="P151" s="13"/>
      <c r="S151" s="42"/>
      <c r="T151" s="42"/>
      <c r="U151" s="42"/>
      <c r="V151" s="42"/>
      <c r="W151" s="42"/>
      <c r="X151" s="42"/>
      <c r="Y151" s="42"/>
      <c r="Z151" s="42"/>
      <c r="AA151" s="42"/>
      <c r="AB151" s="42"/>
      <c r="AC151" s="42"/>
      <c r="AD151" s="42"/>
      <c r="AE151" s="42"/>
      <c r="AS151" s="14"/>
      <c r="AT151" s="14"/>
      <c r="AU151" s="14"/>
    </row>
    <row r="152" ht="15.0" customHeight="1">
      <c r="A152" s="42"/>
      <c r="E152" s="13"/>
      <c r="I152" s="13"/>
      <c r="P152" s="13"/>
      <c r="S152" s="42"/>
      <c r="T152" s="42"/>
      <c r="U152" s="42"/>
      <c r="V152" s="42"/>
      <c r="W152" s="42"/>
      <c r="X152" s="42"/>
      <c r="Y152" s="42"/>
      <c r="Z152" s="42"/>
      <c r="AA152" s="42"/>
      <c r="AB152" s="42"/>
      <c r="AC152" s="42"/>
      <c r="AD152" s="42"/>
      <c r="AE152" s="42"/>
      <c r="AS152" s="14"/>
      <c r="AT152" s="14"/>
      <c r="AU152" s="14"/>
    </row>
    <row r="153" ht="15.0" customHeight="1">
      <c r="A153" s="42"/>
      <c r="E153" s="13"/>
      <c r="I153" s="13"/>
      <c r="P153" s="13"/>
      <c r="S153" s="42"/>
      <c r="T153" s="42"/>
      <c r="U153" s="42"/>
      <c r="V153" s="42"/>
      <c r="W153" s="42"/>
      <c r="X153" s="42"/>
      <c r="Y153" s="42"/>
      <c r="Z153" s="42"/>
      <c r="AA153" s="42"/>
      <c r="AB153" s="42"/>
      <c r="AC153" s="42"/>
      <c r="AD153" s="42"/>
      <c r="AE153" s="42"/>
      <c r="AS153" s="14"/>
      <c r="AT153" s="14"/>
      <c r="AU153" s="14"/>
    </row>
    <row r="154" ht="15.75" customHeight="1">
      <c r="A154" s="42"/>
      <c r="E154" s="13"/>
      <c r="I154" s="13"/>
      <c r="P154" s="13"/>
      <c r="S154" s="42"/>
      <c r="T154" s="42"/>
      <c r="U154" s="42"/>
      <c r="V154" s="42"/>
      <c r="W154" s="42"/>
      <c r="X154" s="42"/>
      <c r="Y154" s="42"/>
      <c r="Z154" s="42"/>
      <c r="AA154" s="42"/>
      <c r="AB154" s="42"/>
      <c r="AC154" s="42"/>
      <c r="AD154" s="42"/>
      <c r="AE154" s="42"/>
      <c r="AS154" s="14"/>
      <c r="AT154" s="14"/>
      <c r="AU154" s="14"/>
    </row>
    <row r="155" ht="15.75" customHeight="1">
      <c r="A155" s="42"/>
      <c r="B155" s="144"/>
      <c r="C155" s="42"/>
      <c r="D155" s="42"/>
      <c r="E155" s="42"/>
      <c r="F155" s="42"/>
      <c r="G155" s="42"/>
      <c r="H155" s="151"/>
      <c r="I155" s="151"/>
      <c r="J155" s="151"/>
      <c r="K155" s="41"/>
      <c r="L155" s="41"/>
      <c r="M155" s="41"/>
      <c r="N155" s="41"/>
      <c r="P155" s="13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  <c r="AC155" s="42"/>
      <c r="AD155" s="42"/>
      <c r="AE155" s="42"/>
      <c r="AS155" s="14"/>
      <c r="AT155" s="14"/>
      <c r="AU155" s="14"/>
    </row>
    <row r="156" ht="15.75" customHeight="1">
      <c r="A156" s="42"/>
      <c r="B156" s="152"/>
      <c r="C156" s="152"/>
      <c r="D156" s="147"/>
      <c r="E156" s="147"/>
      <c r="F156" s="147"/>
      <c r="G156" s="147"/>
      <c r="H156" s="147"/>
      <c r="I156" s="147"/>
      <c r="J156" s="147"/>
      <c r="K156" s="147"/>
      <c r="L156" s="147"/>
      <c r="M156" s="147"/>
      <c r="N156" s="147"/>
      <c r="O156" s="147"/>
      <c r="P156" s="147"/>
      <c r="Q156" s="147"/>
      <c r="R156" s="147"/>
      <c r="S156" s="148"/>
      <c r="T156" s="148"/>
      <c r="U156" s="148"/>
      <c r="V156" s="148"/>
      <c r="W156" s="148"/>
      <c r="X156" s="148"/>
      <c r="Y156" s="148"/>
      <c r="Z156" s="148"/>
      <c r="AA156" s="148"/>
      <c r="AD156" s="153"/>
      <c r="AE156" s="148"/>
      <c r="AS156" s="14"/>
      <c r="AT156" s="14"/>
      <c r="AU156" s="14"/>
    </row>
    <row r="157" ht="15.75" customHeight="1">
      <c r="A157" s="42"/>
      <c r="B157" s="152"/>
      <c r="C157" s="152"/>
      <c r="D157" s="147"/>
      <c r="E157" s="147"/>
      <c r="F157" s="147"/>
      <c r="G157" s="147"/>
      <c r="H157" s="147"/>
      <c r="I157" s="147"/>
      <c r="J157" s="147"/>
      <c r="K157" s="147"/>
      <c r="L157" s="147"/>
      <c r="M157" s="147"/>
      <c r="N157" s="147"/>
      <c r="O157" s="147"/>
      <c r="P157" s="147"/>
      <c r="Q157" s="147"/>
      <c r="R157" s="147"/>
      <c r="S157" s="148"/>
      <c r="T157" s="148"/>
      <c r="U157" s="148"/>
      <c r="V157" s="148"/>
      <c r="W157" s="148"/>
      <c r="X157" s="148"/>
      <c r="Y157" s="148"/>
      <c r="Z157" s="148"/>
      <c r="AA157" s="148"/>
      <c r="AD157" s="153"/>
      <c r="AE157" s="148"/>
      <c r="AS157" s="14"/>
      <c r="AT157" s="14"/>
      <c r="AU157" s="14"/>
    </row>
    <row r="158" ht="15.75" customHeight="1">
      <c r="A158" s="42"/>
      <c r="B158" s="152"/>
      <c r="C158" s="152"/>
      <c r="D158" s="147"/>
      <c r="E158" s="147"/>
      <c r="F158" s="147"/>
      <c r="G158" s="147"/>
      <c r="H158" s="147"/>
      <c r="I158" s="147"/>
      <c r="J158" s="147"/>
      <c r="K158" s="147"/>
      <c r="L158" s="147"/>
      <c r="M158" s="147"/>
      <c r="N158" s="147"/>
      <c r="O158" s="147"/>
      <c r="P158" s="147"/>
      <c r="Q158" s="147"/>
      <c r="R158" s="147"/>
      <c r="S158" s="148"/>
      <c r="T158" s="148"/>
      <c r="U158" s="148"/>
      <c r="V158" s="148"/>
      <c r="W158" s="148"/>
      <c r="X158" s="148"/>
      <c r="Y158" s="148"/>
      <c r="Z158" s="148"/>
      <c r="AA158" s="148"/>
      <c r="AD158" s="153"/>
      <c r="AE158" s="148"/>
      <c r="AS158" s="14"/>
      <c r="AT158" s="14"/>
      <c r="AU158" s="14"/>
    </row>
    <row r="159" ht="15.75" customHeight="1">
      <c r="A159" s="42"/>
      <c r="B159" s="152"/>
      <c r="C159" s="152"/>
      <c r="D159" s="147"/>
      <c r="E159" s="147"/>
      <c r="F159" s="147"/>
      <c r="G159" s="147"/>
      <c r="H159" s="147"/>
      <c r="I159" s="147"/>
      <c r="J159" s="147"/>
      <c r="K159" s="147"/>
      <c r="L159" s="147"/>
      <c r="M159" s="147"/>
      <c r="N159" s="147"/>
      <c r="O159" s="147"/>
      <c r="P159" s="147"/>
      <c r="Q159" s="147"/>
      <c r="R159" s="147"/>
      <c r="S159" s="148"/>
      <c r="T159" s="148"/>
      <c r="U159" s="148"/>
      <c r="V159" s="148"/>
      <c r="W159" s="148"/>
      <c r="X159" s="148"/>
      <c r="Y159" s="148"/>
      <c r="Z159" s="148"/>
      <c r="AA159" s="148"/>
      <c r="AD159" s="153"/>
      <c r="AE159" s="148"/>
      <c r="AS159" s="14"/>
      <c r="AT159" s="14"/>
      <c r="AU159" s="14"/>
    </row>
    <row r="160" ht="15.75" customHeight="1">
      <c r="A160" s="42"/>
      <c r="B160" s="152"/>
      <c r="C160" s="152"/>
      <c r="D160" s="147"/>
      <c r="E160" s="147"/>
      <c r="F160" s="147"/>
      <c r="G160" s="147"/>
      <c r="H160" s="147"/>
      <c r="I160" s="147"/>
      <c r="J160" s="147"/>
      <c r="K160" s="147"/>
      <c r="L160" s="147"/>
      <c r="M160" s="147"/>
      <c r="N160" s="147"/>
      <c r="O160" s="147"/>
      <c r="P160" s="147"/>
      <c r="Q160" s="147"/>
      <c r="R160" s="147"/>
      <c r="S160" s="148"/>
      <c r="T160" s="148"/>
      <c r="U160" s="148"/>
      <c r="V160" s="148"/>
      <c r="W160" s="148"/>
      <c r="X160" s="148"/>
      <c r="Y160" s="148"/>
      <c r="Z160" s="148"/>
      <c r="AA160" s="148"/>
      <c r="AD160" s="153"/>
      <c r="AE160" s="148"/>
      <c r="AS160" s="14"/>
      <c r="AT160" s="14"/>
      <c r="AU160" s="14"/>
    </row>
    <row r="161" ht="15.75" customHeight="1">
      <c r="A161" s="42"/>
      <c r="B161" s="152"/>
      <c r="C161" s="152"/>
      <c r="D161" s="147"/>
      <c r="E161" s="147"/>
      <c r="F161" s="147"/>
      <c r="G161" s="147"/>
      <c r="H161" s="147"/>
      <c r="I161" s="147"/>
      <c r="J161" s="147"/>
      <c r="K161" s="147"/>
      <c r="L161" s="147"/>
      <c r="M161" s="147"/>
      <c r="N161" s="147"/>
      <c r="O161" s="147"/>
      <c r="P161" s="147"/>
      <c r="Q161" s="147"/>
      <c r="R161" s="147"/>
      <c r="S161" s="148"/>
      <c r="T161" s="148"/>
      <c r="U161" s="148"/>
      <c r="V161" s="148"/>
      <c r="W161" s="148"/>
      <c r="X161" s="148"/>
      <c r="Y161" s="148"/>
      <c r="Z161" s="148"/>
      <c r="AA161" s="148"/>
      <c r="AD161" s="153"/>
      <c r="AE161" s="148"/>
      <c r="AS161" s="14"/>
      <c r="AT161" s="14"/>
      <c r="AU161" s="14"/>
    </row>
    <row r="162" ht="15.75" customHeight="1">
      <c r="A162" s="42"/>
      <c r="E162" s="13"/>
      <c r="I162" s="13"/>
      <c r="P162" s="13"/>
      <c r="T162" s="13"/>
      <c r="X162" s="13"/>
      <c r="Y162" s="13"/>
      <c r="Z162" s="13"/>
      <c r="AA162" s="13"/>
      <c r="AE162" s="148"/>
      <c r="AS162" s="14"/>
      <c r="AT162" s="14"/>
      <c r="AU162" s="14"/>
    </row>
    <row r="163" ht="15.0" customHeight="1">
      <c r="A163" s="42"/>
      <c r="E163" s="13"/>
      <c r="I163" s="13"/>
      <c r="P163" s="13"/>
      <c r="T163" s="13"/>
      <c r="X163" s="13"/>
      <c r="Y163" s="13"/>
      <c r="Z163" s="13"/>
      <c r="AA163" s="13"/>
      <c r="AE163" s="42"/>
      <c r="AS163" s="14"/>
      <c r="AT163" s="14"/>
      <c r="AU163" s="14"/>
    </row>
    <row r="164" ht="15.75" customHeight="1">
      <c r="A164" s="42"/>
      <c r="B164" s="154" t="s">
        <v>59</v>
      </c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  <c r="AB164" s="42"/>
      <c r="AC164" s="42"/>
      <c r="AD164" s="42"/>
      <c r="AE164" s="42"/>
      <c r="AS164" s="14"/>
      <c r="AT164" s="14"/>
      <c r="AU164" s="14"/>
    </row>
    <row r="165" ht="15.75" customHeight="1">
      <c r="A165" s="42"/>
      <c r="B165" s="144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  <c r="AA165" s="42"/>
      <c r="AB165" s="42"/>
      <c r="AC165" s="42"/>
      <c r="AD165" s="42"/>
      <c r="AE165" s="42"/>
      <c r="AS165" s="14"/>
      <c r="AT165" s="14"/>
      <c r="AU165" s="14"/>
    </row>
    <row r="166" ht="15.75" customHeight="1">
      <c r="A166" s="42"/>
      <c r="B166" s="41"/>
      <c r="C166" s="41"/>
      <c r="D166" s="155"/>
      <c r="E166" s="155"/>
      <c r="F166" s="155"/>
      <c r="G166" s="155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  <c r="AB166" s="42"/>
      <c r="AC166" s="42"/>
      <c r="AD166" s="42"/>
      <c r="AE166" s="42"/>
      <c r="AS166" s="14"/>
      <c r="AT166" s="14"/>
      <c r="AU166" s="14"/>
    </row>
    <row r="167" ht="15.75" customHeight="1">
      <c r="A167" s="42"/>
      <c r="B167" s="156"/>
      <c r="C167" s="156"/>
      <c r="D167" s="2"/>
      <c r="E167" s="2"/>
      <c r="F167" s="2"/>
      <c r="G167" s="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  <c r="AA167" s="42"/>
      <c r="AB167" s="42"/>
      <c r="AC167" s="42"/>
      <c r="AD167" s="42"/>
      <c r="AE167" s="42"/>
      <c r="AS167" s="14"/>
      <c r="AT167" s="14"/>
      <c r="AU167" s="14"/>
    </row>
    <row r="168" ht="15.75" customHeight="1">
      <c r="A168" s="42"/>
      <c r="B168" s="156"/>
      <c r="C168" s="156"/>
      <c r="D168" s="2"/>
      <c r="E168" s="2"/>
      <c r="F168" s="2"/>
      <c r="G168" s="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  <c r="AB168" s="42"/>
      <c r="AC168" s="42"/>
      <c r="AD168" s="42"/>
      <c r="AE168" s="42"/>
      <c r="AS168" s="14"/>
      <c r="AT168" s="14"/>
      <c r="AU168" s="14"/>
    </row>
    <row r="169" ht="15.75" customHeight="1">
      <c r="A169" s="42"/>
      <c r="B169" s="156"/>
      <c r="C169" s="156"/>
      <c r="D169" s="2"/>
      <c r="E169" s="2"/>
      <c r="F169" s="2"/>
      <c r="G169" s="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  <c r="AA169" s="42"/>
      <c r="AB169" s="42"/>
      <c r="AC169" s="42"/>
      <c r="AD169" s="42"/>
      <c r="AE169" s="42"/>
      <c r="AS169" s="14"/>
      <c r="AT169" s="14"/>
      <c r="AU169" s="14"/>
    </row>
    <row r="170" ht="15.75" customHeight="1">
      <c r="A170" s="42"/>
      <c r="B170" s="156"/>
      <c r="C170" s="156"/>
      <c r="D170" s="2"/>
      <c r="E170" s="2"/>
      <c r="F170" s="2"/>
      <c r="G170" s="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2"/>
      <c r="AB170" s="42"/>
      <c r="AC170" s="42"/>
      <c r="AD170" s="42"/>
      <c r="AE170" s="42"/>
      <c r="AS170" s="14"/>
      <c r="AT170" s="14"/>
      <c r="AU170" s="14"/>
    </row>
    <row r="171" ht="15.75" customHeight="1">
      <c r="A171" s="42"/>
      <c r="B171" s="144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  <c r="AA171" s="42"/>
      <c r="AB171" s="42"/>
      <c r="AC171" s="42"/>
      <c r="AD171" s="42"/>
      <c r="AE171" s="42"/>
      <c r="AS171" s="14"/>
      <c r="AT171" s="14"/>
      <c r="AU171" s="14"/>
    </row>
    <row r="172" ht="15.75" customHeight="1">
      <c r="A172" s="42"/>
      <c r="B172" s="41"/>
      <c r="C172" s="41"/>
      <c r="D172" s="155"/>
      <c r="E172" s="155"/>
      <c r="F172" s="155"/>
      <c r="G172" s="155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  <c r="AB172" s="42"/>
      <c r="AC172" s="42"/>
      <c r="AD172" s="42"/>
      <c r="AE172" s="42"/>
      <c r="AS172" s="14"/>
      <c r="AT172" s="14"/>
      <c r="AU172" s="14"/>
    </row>
    <row r="173" ht="15.75" customHeight="1">
      <c r="A173" s="42"/>
      <c r="B173" s="156"/>
      <c r="C173" s="156"/>
      <c r="D173" s="2"/>
      <c r="E173" s="2"/>
      <c r="F173" s="2"/>
      <c r="G173" s="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  <c r="AA173" s="42"/>
      <c r="AB173" s="42"/>
      <c r="AC173" s="42"/>
      <c r="AD173" s="42"/>
      <c r="AE173" s="42"/>
      <c r="AS173" s="14"/>
      <c r="AT173" s="14"/>
      <c r="AU173" s="14"/>
    </row>
    <row r="174" ht="15.75" customHeight="1">
      <c r="A174" s="42"/>
      <c r="B174" s="156"/>
      <c r="C174" s="156"/>
      <c r="D174" s="2"/>
      <c r="E174" s="2"/>
      <c r="F174" s="2"/>
      <c r="G174" s="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2"/>
      <c r="AB174" s="42"/>
      <c r="AC174" s="42"/>
      <c r="AD174" s="42"/>
      <c r="AE174" s="42"/>
      <c r="AS174" s="14"/>
      <c r="AT174" s="14"/>
      <c r="AU174" s="14"/>
    </row>
    <row r="175" ht="15.75" customHeight="1">
      <c r="A175" s="42"/>
      <c r="B175" s="156"/>
      <c r="C175" s="156"/>
      <c r="D175" s="2"/>
      <c r="E175" s="2"/>
      <c r="F175" s="2"/>
      <c r="G175" s="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  <c r="AA175" s="42"/>
      <c r="AB175" s="42"/>
      <c r="AC175" s="42"/>
      <c r="AD175" s="42"/>
      <c r="AE175" s="42"/>
      <c r="AS175" s="14"/>
      <c r="AT175" s="14"/>
      <c r="AU175" s="14"/>
    </row>
    <row r="176" ht="15.75" customHeight="1">
      <c r="A176" s="42"/>
      <c r="B176" s="156"/>
      <c r="C176" s="156"/>
      <c r="D176" s="2"/>
      <c r="E176" s="2"/>
      <c r="F176" s="2"/>
      <c r="G176" s="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2"/>
      <c r="AB176" s="42"/>
      <c r="AC176" s="42"/>
      <c r="AD176" s="42"/>
      <c r="AE176" s="42"/>
      <c r="AS176" s="14"/>
      <c r="AT176" s="14"/>
      <c r="AU176" s="14"/>
    </row>
    <row r="177" ht="15.75" customHeight="1">
      <c r="A177" s="42"/>
      <c r="B177" s="144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S177" s="14"/>
      <c r="AT177" s="14"/>
      <c r="AU177" s="14"/>
    </row>
    <row r="178" ht="15.75" customHeight="1">
      <c r="A178" s="42"/>
      <c r="B178" s="144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  <c r="AB178" s="42"/>
      <c r="AC178" s="42"/>
      <c r="AD178" s="42"/>
      <c r="AE178" s="42"/>
      <c r="AS178" s="14"/>
      <c r="AT178" s="14"/>
      <c r="AU178" s="14"/>
    </row>
    <row r="179" ht="15.75" customHeight="1">
      <c r="A179" s="42"/>
      <c r="B179" s="144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  <c r="AA179" s="42"/>
      <c r="AB179" s="42"/>
      <c r="AC179" s="42"/>
      <c r="AD179" s="42"/>
      <c r="AE179" s="42"/>
      <c r="AS179" s="14"/>
      <c r="AT179" s="14"/>
      <c r="AU179" s="14"/>
    </row>
    <row r="180" ht="15.75" customHeight="1">
      <c r="A180" s="42"/>
      <c r="B180" s="144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S180" s="14"/>
      <c r="AT180" s="14"/>
      <c r="AU180" s="14"/>
    </row>
    <row r="181" ht="15.75" customHeight="1">
      <c r="A181" s="42"/>
      <c r="B181" s="144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  <c r="AA181" s="42"/>
      <c r="AB181" s="42"/>
      <c r="AC181" s="42"/>
      <c r="AD181" s="42"/>
      <c r="AE181" s="42"/>
      <c r="AS181" s="14"/>
      <c r="AT181" s="14"/>
      <c r="AU181" s="14"/>
    </row>
    <row r="182" ht="15.75" customHeight="1">
      <c r="A182" s="42"/>
      <c r="B182" s="144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  <c r="AB182" s="42"/>
      <c r="AC182" s="42"/>
      <c r="AD182" s="42"/>
      <c r="AE182" s="42"/>
      <c r="AS182" s="14"/>
      <c r="AT182" s="14"/>
      <c r="AU182" s="14"/>
    </row>
    <row r="183" ht="15.75" customHeight="1">
      <c r="A183" s="42"/>
      <c r="B183" s="144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  <c r="AA183" s="42"/>
      <c r="AB183" s="42"/>
      <c r="AC183" s="42"/>
      <c r="AD183" s="42"/>
      <c r="AE183" s="42"/>
      <c r="AS183" s="14"/>
      <c r="AT183" s="14"/>
      <c r="AU183" s="14"/>
    </row>
    <row r="184" ht="15.75" customHeight="1">
      <c r="A184" s="42"/>
      <c r="B184" s="157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  <c r="AB184" s="42"/>
      <c r="AC184" s="42"/>
      <c r="AD184" s="42"/>
      <c r="AE184" s="42"/>
      <c r="AS184" s="14"/>
      <c r="AT184" s="14"/>
      <c r="AU184" s="14"/>
    </row>
    <row r="185" ht="15.75" customHeight="1">
      <c r="A185" s="42"/>
      <c r="B185" s="144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  <c r="AA185" s="42"/>
      <c r="AB185" s="42"/>
      <c r="AC185" s="42"/>
      <c r="AD185" s="42"/>
      <c r="AE185" s="42"/>
      <c r="AS185" s="14"/>
      <c r="AT185" s="14"/>
      <c r="AU185" s="14"/>
    </row>
    <row r="186" ht="29.25" customHeight="1">
      <c r="A186" s="42"/>
      <c r="B186" s="157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  <c r="AB186" s="42"/>
      <c r="AC186" s="42"/>
      <c r="AD186" s="42"/>
      <c r="AE186" s="42"/>
      <c r="AS186" s="14"/>
      <c r="AT186" s="14"/>
      <c r="AU186" s="14"/>
    </row>
    <row r="187" ht="29.25" customHeight="1">
      <c r="A187" s="42"/>
      <c r="B187" s="65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  <c r="AB187" s="42"/>
      <c r="AC187" s="42"/>
      <c r="AD187" s="42"/>
      <c r="AE187" s="42"/>
      <c r="AS187" s="14"/>
      <c r="AT187" s="14"/>
      <c r="AU187" s="14"/>
    </row>
    <row r="188" ht="30.0" customHeight="1">
      <c r="A188" s="42"/>
      <c r="B188" s="144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  <c r="AB188" s="42"/>
      <c r="AC188" s="42"/>
      <c r="AD188" s="42"/>
      <c r="AE188" s="42"/>
      <c r="AS188" s="14"/>
      <c r="AT188" s="14"/>
      <c r="AU188" s="14"/>
    </row>
    <row r="189" ht="15.75" customHeight="1">
      <c r="A189" s="42"/>
      <c r="B189" s="65"/>
      <c r="C189" s="42"/>
      <c r="D189" s="145"/>
      <c r="E189" s="145"/>
      <c r="F189" s="145"/>
      <c r="G189" s="145"/>
      <c r="H189" s="145"/>
      <c r="I189" s="145"/>
      <c r="J189" s="145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  <c r="AA189" s="42"/>
      <c r="AB189" s="42"/>
      <c r="AC189" s="42"/>
      <c r="AD189" s="42"/>
      <c r="AE189" s="42"/>
      <c r="AS189" s="14"/>
      <c r="AT189" s="14"/>
      <c r="AU189" s="14"/>
    </row>
    <row r="190" ht="15.75" customHeight="1">
      <c r="A190" s="13"/>
      <c r="B190" s="158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S190" s="14"/>
      <c r="AT190" s="14"/>
      <c r="AU190" s="14"/>
    </row>
    <row r="191" ht="15.75" customHeight="1">
      <c r="A191" s="13"/>
      <c r="B191" s="158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S191" s="14"/>
      <c r="AT191" s="14"/>
      <c r="AU191" s="14"/>
    </row>
    <row r="192" ht="15.75" customHeight="1">
      <c r="B192" s="158"/>
      <c r="E192" s="13"/>
      <c r="I192" s="13"/>
      <c r="P192" s="13"/>
      <c r="T192" s="13"/>
      <c r="X192" s="13"/>
      <c r="Y192" s="13"/>
      <c r="Z192" s="13"/>
      <c r="AA192" s="13"/>
      <c r="AS192" s="14"/>
      <c r="AT192" s="14"/>
      <c r="AU192" s="14"/>
    </row>
    <row r="193" ht="15.75" customHeight="1">
      <c r="B193" s="158"/>
      <c r="E193" s="13"/>
      <c r="I193" s="13"/>
      <c r="P193" s="13"/>
      <c r="T193" s="13"/>
      <c r="X193" s="13"/>
      <c r="Y193" s="13"/>
      <c r="Z193" s="13"/>
      <c r="AA193" s="13"/>
      <c r="AS193" s="14"/>
      <c r="AT193" s="14"/>
      <c r="AU193" s="14"/>
    </row>
    <row r="194" ht="15.75" customHeight="1">
      <c r="B194" s="158"/>
      <c r="E194" s="13"/>
      <c r="I194" s="13"/>
      <c r="P194" s="13"/>
      <c r="T194" s="13"/>
      <c r="X194" s="13"/>
      <c r="Y194" s="13"/>
      <c r="Z194" s="13"/>
      <c r="AA194" s="13"/>
      <c r="AS194" s="14"/>
      <c r="AT194" s="14"/>
      <c r="AU194" s="14"/>
    </row>
    <row r="195" ht="15.75" customHeight="1">
      <c r="B195" s="158"/>
      <c r="E195" s="13"/>
      <c r="I195" s="13"/>
      <c r="P195" s="13"/>
      <c r="T195" s="13"/>
      <c r="X195" s="13"/>
      <c r="Y195" s="13"/>
      <c r="Z195" s="13"/>
      <c r="AA195" s="13"/>
      <c r="AS195" s="14"/>
      <c r="AT195" s="14"/>
      <c r="AU195" s="14"/>
    </row>
    <row r="196" ht="15.75" customHeight="1">
      <c r="B196" s="158"/>
      <c r="E196" s="13"/>
      <c r="I196" s="13"/>
      <c r="P196" s="13"/>
      <c r="T196" s="13"/>
      <c r="X196" s="13"/>
      <c r="Y196" s="13"/>
      <c r="Z196" s="13"/>
      <c r="AA196" s="13"/>
      <c r="AS196" s="14"/>
      <c r="AT196" s="14"/>
      <c r="AU196" s="14"/>
    </row>
    <row r="197" ht="15.75" customHeight="1">
      <c r="B197" s="158"/>
      <c r="E197" s="13"/>
      <c r="I197" s="13"/>
      <c r="P197" s="13"/>
      <c r="T197" s="13"/>
      <c r="X197" s="13"/>
      <c r="Y197" s="13"/>
      <c r="Z197" s="13"/>
      <c r="AA197" s="13"/>
      <c r="AS197" s="14"/>
      <c r="AT197" s="14"/>
      <c r="AU197" s="14"/>
    </row>
    <row r="198" ht="15.75" customHeight="1">
      <c r="B198" s="158"/>
      <c r="E198" s="13"/>
      <c r="I198" s="13"/>
      <c r="P198" s="13"/>
      <c r="T198" s="13"/>
      <c r="X198" s="13"/>
      <c r="Y198" s="13"/>
      <c r="Z198" s="13"/>
      <c r="AA198" s="13"/>
      <c r="AS198" s="14"/>
      <c r="AT198" s="14"/>
      <c r="AU198" s="14"/>
    </row>
    <row r="199" ht="15.75" customHeight="1">
      <c r="B199" s="158"/>
      <c r="E199" s="13"/>
      <c r="I199" s="13"/>
      <c r="P199" s="13"/>
      <c r="T199" s="13"/>
      <c r="X199" s="13"/>
      <c r="Y199" s="13"/>
      <c r="Z199" s="13"/>
      <c r="AA199" s="13"/>
      <c r="AS199" s="14"/>
      <c r="AT199" s="14"/>
      <c r="AU199" s="14"/>
    </row>
    <row r="200" ht="15.75" customHeight="1">
      <c r="B200" s="158"/>
      <c r="E200" s="13"/>
      <c r="I200" s="13"/>
      <c r="P200" s="13"/>
      <c r="T200" s="13"/>
      <c r="X200" s="13"/>
      <c r="Y200" s="13"/>
      <c r="Z200" s="13"/>
      <c r="AA200" s="13"/>
      <c r="AS200" s="14"/>
      <c r="AT200" s="14"/>
      <c r="AU200" s="14"/>
    </row>
    <row r="201" ht="15.75" customHeight="1">
      <c r="B201" s="158"/>
      <c r="E201" s="13"/>
      <c r="I201" s="13"/>
      <c r="P201" s="13"/>
      <c r="T201" s="13"/>
      <c r="X201" s="13"/>
      <c r="Y201" s="13"/>
      <c r="Z201" s="13"/>
      <c r="AA201" s="13"/>
      <c r="AS201" s="14"/>
      <c r="AT201" s="14"/>
      <c r="AU201" s="14"/>
    </row>
    <row r="202" ht="15.75" customHeight="1">
      <c r="B202" s="158"/>
      <c r="E202" s="13"/>
      <c r="I202" s="13"/>
      <c r="P202" s="13"/>
      <c r="T202" s="13"/>
      <c r="X202" s="13"/>
      <c r="Y202" s="13"/>
      <c r="Z202" s="13"/>
      <c r="AA202" s="13"/>
      <c r="AS202" s="14"/>
      <c r="AT202" s="14"/>
      <c r="AU202" s="14"/>
    </row>
    <row r="203" ht="15.75" customHeight="1">
      <c r="B203" s="158"/>
      <c r="E203" s="13"/>
      <c r="I203" s="13"/>
      <c r="P203" s="13"/>
      <c r="T203" s="13"/>
      <c r="X203" s="13"/>
      <c r="Y203" s="13"/>
      <c r="Z203" s="13"/>
      <c r="AA203" s="13"/>
      <c r="AS203" s="14"/>
      <c r="AT203" s="14"/>
      <c r="AU203" s="14"/>
    </row>
    <row r="204" ht="15.75" customHeight="1">
      <c r="B204" s="158"/>
      <c r="E204" s="13"/>
      <c r="I204" s="13"/>
      <c r="P204" s="13"/>
      <c r="T204" s="13"/>
      <c r="X204" s="13"/>
      <c r="Y204" s="13"/>
      <c r="Z204" s="13"/>
      <c r="AA204" s="13"/>
      <c r="AS204" s="14"/>
      <c r="AT204" s="14"/>
      <c r="AU204" s="14"/>
    </row>
    <row r="205" ht="15.75" customHeight="1">
      <c r="B205" s="158"/>
      <c r="E205" s="13"/>
      <c r="I205" s="13"/>
      <c r="P205" s="13"/>
      <c r="T205" s="13"/>
      <c r="X205" s="13"/>
      <c r="Y205" s="13"/>
      <c r="Z205" s="13"/>
      <c r="AA205" s="13"/>
      <c r="AS205" s="14"/>
      <c r="AT205" s="14"/>
      <c r="AU205" s="14"/>
    </row>
    <row r="206" ht="15.75" customHeight="1">
      <c r="B206" s="158"/>
      <c r="E206" s="13"/>
      <c r="I206" s="13"/>
      <c r="P206" s="13"/>
      <c r="T206" s="13"/>
      <c r="X206" s="13"/>
      <c r="Y206" s="13"/>
      <c r="Z206" s="13"/>
      <c r="AA206" s="13"/>
      <c r="AS206" s="14"/>
      <c r="AT206" s="14"/>
      <c r="AU206" s="14"/>
    </row>
    <row r="207" ht="15.75" customHeight="1">
      <c r="B207" s="158"/>
      <c r="E207" s="13"/>
      <c r="I207" s="13"/>
      <c r="P207" s="13"/>
      <c r="T207" s="13"/>
      <c r="X207" s="13"/>
      <c r="Y207" s="13"/>
      <c r="Z207" s="13"/>
      <c r="AA207" s="13"/>
      <c r="AS207" s="14"/>
      <c r="AT207" s="14"/>
      <c r="AU207" s="14"/>
    </row>
    <row r="208" ht="15.75" customHeight="1">
      <c r="B208" s="158"/>
      <c r="E208" s="13"/>
      <c r="I208" s="13"/>
      <c r="P208" s="13"/>
      <c r="T208" s="13"/>
      <c r="X208" s="13"/>
      <c r="Y208" s="13"/>
      <c r="Z208" s="13"/>
      <c r="AA208" s="13"/>
      <c r="AS208" s="14"/>
      <c r="AT208" s="14"/>
      <c r="AU208" s="14"/>
    </row>
    <row r="209" ht="15.75" customHeight="1">
      <c r="B209" s="158"/>
      <c r="E209" s="13"/>
      <c r="I209" s="13"/>
      <c r="P209" s="13"/>
      <c r="T209" s="13"/>
      <c r="X209" s="13"/>
      <c r="Y209" s="13"/>
      <c r="Z209" s="13"/>
      <c r="AA209" s="13"/>
      <c r="AS209" s="14"/>
      <c r="AT209" s="14"/>
      <c r="AU209" s="14"/>
    </row>
    <row r="210" ht="15.75" customHeight="1">
      <c r="B210" s="158"/>
      <c r="E210" s="13"/>
      <c r="I210" s="13"/>
      <c r="P210" s="13"/>
      <c r="T210" s="13"/>
      <c r="X210" s="13"/>
      <c r="Y210" s="13"/>
      <c r="Z210" s="13"/>
      <c r="AA210" s="13"/>
      <c r="AS210" s="14"/>
      <c r="AT210" s="14"/>
      <c r="AU210" s="14"/>
    </row>
    <row r="211" ht="15.75" customHeight="1">
      <c r="B211" s="158"/>
      <c r="E211" s="13"/>
      <c r="I211" s="13"/>
      <c r="P211" s="13"/>
      <c r="T211" s="13"/>
      <c r="X211" s="13"/>
      <c r="Y211" s="13"/>
      <c r="Z211" s="13"/>
      <c r="AA211" s="13"/>
      <c r="AS211" s="14"/>
      <c r="AT211" s="14"/>
      <c r="AU211" s="14"/>
    </row>
    <row r="212" ht="15.75" customHeight="1">
      <c r="B212" s="158"/>
      <c r="E212" s="13"/>
      <c r="I212" s="13"/>
      <c r="P212" s="13"/>
      <c r="T212" s="13"/>
      <c r="X212" s="13"/>
      <c r="Y212" s="13"/>
      <c r="Z212" s="13"/>
      <c r="AA212" s="13"/>
      <c r="AS212" s="14"/>
      <c r="AT212" s="14"/>
      <c r="AU212" s="14"/>
    </row>
    <row r="213" ht="15.75" customHeight="1">
      <c r="B213" s="158"/>
      <c r="E213" s="13"/>
      <c r="I213" s="13"/>
      <c r="P213" s="13"/>
      <c r="T213" s="13"/>
      <c r="X213" s="13"/>
      <c r="Y213" s="13"/>
      <c r="Z213" s="13"/>
      <c r="AA213" s="13"/>
      <c r="AS213" s="14"/>
      <c r="AT213" s="14"/>
      <c r="AU213" s="14"/>
    </row>
    <row r="214" ht="15.75" customHeight="1">
      <c r="B214" s="158"/>
      <c r="E214" s="13"/>
      <c r="I214" s="13"/>
      <c r="P214" s="13"/>
      <c r="T214" s="13"/>
      <c r="X214" s="13"/>
      <c r="Y214" s="13"/>
      <c r="Z214" s="13"/>
      <c r="AA214" s="13"/>
      <c r="AS214" s="14"/>
      <c r="AT214" s="14"/>
      <c r="AU214" s="14"/>
    </row>
    <row r="215" ht="15.75" customHeight="1">
      <c r="B215" s="158"/>
      <c r="E215" s="13"/>
      <c r="I215" s="13"/>
      <c r="P215" s="13"/>
      <c r="T215" s="13"/>
      <c r="X215" s="13"/>
      <c r="Y215" s="13"/>
      <c r="Z215" s="13"/>
      <c r="AA215" s="13"/>
      <c r="AS215" s="14"/>
      <c r="AT215" s="14"/>
      <c r="AU215" s="14"/>
    </row>
    <row r="216" ht="15.75" customHeight="1">
      <c r="B216" s="158"/>
      <c r="E216" s="13"/>
      <c r="I216" s="13"/>
      <c r="P216" s="13"/>
      <c r="T216" s="13"/>
      <c r="X216" s="13"/>
      <c r="Y216" s="13"/>
      <c r="Z216" s="13"/>
      <c r="AA216" s="13"/>
      <c r="AS216" s="14"/>
      <c r="AT216" s="14"/>
      <c r="AU216" s="14"/>
    </row>
    <row r="217" ht="15.75" customHeight="1">
      <c r="B217" s="158"/>
      <c r="E217" s="13"/>
      <c r="I217" s="13"/>
      <c r="P217" s="13"/>
      <c r="T217" s="13"/>
      <c r="X217" s="13"/>
      <c r="Y217" s="13"/>
      <c r="Z217" s="13"/>
      <c r="AA217" s="13"/>
      <c r="AS217" s="14"/>
      <c r="AT217" s="14"/>
      <c r="AU217" s="14"/>
    </row>
    <row r="218" ht="15.75" customHeight="1">
      <c r="B218" s="158"/>
      <c r="E218" s="13"/>
      <c r="I218" s="13"/>
      <c r="P218" s="13"/>
      <c r="T218" s="13"/>
      <c r="X218" s="13"/>
      <c r="Y218" s="13"/>
      <c r="Z218" s="13"/>
      <c r="AA218" s="13"/>
      <c r="AS218" s="14"/>
      <c r="AT218" s="14"/>
      <c r="AU218" s="14"/>
    </row>
    <row r="219" ht="15.75" customHeight="1">
      <c r="B219" s="158"/>
      <c r="E219" s="13"/>
      <c r="I219" s="13"/>
      <c r="P219" s="13"/>
      <c r="T219" s="13"/>
      <c r="X219" s="13"/>
      <c r="Y219" s="13"/>
      <c r="Z219" s="13"/>
      <c r="AA219" s="13"/>
      <c r="AS219" s="14"/>
      <c r="AT219" s="14"/>
      <c r="AU219" s="14"/>
    </row>
    <row r="220" ht="15.75" customHeight="1">
      <c r="B220" s="158"/>
      <c r="E220" s="13"/>
      <c r="I220" s="13"/>
      <c r="P220" s="13"/>
      <c r="T220" s="13"/>
      <c r="X220" s="13"/>
      <c r="Y220" s="13"/>
      <c r="Z220" s="13"/>
      <c r="AA220" s="13"/>
      <c r="AS220" s="14"/>
      <c r="AT220" s="14"/>
      <c r="AU220" s="14"/>
    </row>
    <row r="221" ht="15.75" customHeight="1">
      <c r="B221" s="158"/>
      <c r="E221" s="13"/>
      <c r="I221" s="13"/>
      <c r="P221" s="13"/>
      <c r="T221" s="13"/>
      <c r="X221" s="13"/>
      <c r="Y221" s="13"/>
      <c r="Z221" s="13"/>
      <c r="AA221" s="13"/>
      <c r="AS221" s="14"/>
      <c r="AT221" s="14"/>
      <c r="AU221" s="14"/>
    </row>
    <row r="222" ht="15.75" customHeight="1">
      <c r="B222" s="158"/>
      <c r="E222" s="13"/>
      <c r="I222" s="13"/>
      <c r="P222" s="13"/>
      <c r="T222" s="13"/>
      <c r="X222" s="13"/>
      <c r="Y222" s="13"/>
      <c r="Z222" s="13"/>
      <c r="AA222" s="13"/>
      <c r="AS222" s="14"/>
      <c r="AT222" s="14"/>
      <c r="AU222" s="14"/>
    </row>
    <row r="223" ht="15.75" customHeight="1">
      <c r="B223" s="158"/>
      <c r="E223" s="13"/>
      <c r="I223" s="13"/>
      <c r="P223" s="13"/>
      <c r="T223" s="13"/>
      <c r="X223" s="13"/>
      <c r="Y223" s="13"/>
      <c r="Z223" s="13"/>
      <c r="AA223" s="13"/>
      <c r="AS223" s="14"/>
      <c r="AT223" s="14"/>
      <c r="AU223" s="14"/>
    </row>
    <row r="224" ht="15.75" customHeight="1">
      <c r="B224" s="158"/>
      <c r="E224" s="13"/>
      <c r="I224" s="13"/>
      <c r="P224" s="13"/>
      <c r="T224" s="13"/>
      <c r="X224" s="13"/>
      <c r="Y224" s="13"/>
      <c r="Z224" s="13"/>
      <c r="AA224" s="13"/>
      <c r="AS224" s="14"/>
      <c r="AT224" s="14"/>
      <c r="AU224" s="14"/>
    </row>
    <row r="225" ht="15.75" customHeight="1">
      <c r="B225" s="158"/>
      <c r="E225" s="13"/>
      <c r="I225" s="13"/>
      <c r="P225" s="13"/>
      <c r="T225" s="13"/>
      <c r="X225" s="13"/>
      <c r="Y225" s="13"/>
      <c r="Z225" s="13"/>
      <c r="AA225" s="13"/>
      <c r="AS225" s="14"/>
      <c r="AT225" s="14"/>
      <c r="AU225" s="14"/>
    </row>
    <row r="226" ht="15.75" customHeight="1">
      <c r="B226" s="158"/>
      <c r="E226" s="13"/>
      <c r="I226" s="13"/>
      <c r="P226" s="13"/>
      <c r="T226" s="13"/>
      <c r="X226" s="13"/>
      <c r="Y226" s="13"/>
      <c r="Z226" s="13"/>
      <c r="AA226" s="13"/>
      <c r="AS226" s="14"/>
      <c r="AT226" s="14"/>
      <c r="AU226" s="14"/>
    </row>
    <row r="227" ht="15.75" customHeight="1">
      <c r="B227" s="158"/>
      <c r="E227" s="13"/>
      <c r="I227" s="13"/>
      <c r="P227" s="13"/>
      <c r="T227" s="13"/>
      <c r="X227" s="13"/>
      <c r="Y227" s="13"/>
      <c r="Z227" s="13"/>
      <c r="AA227" s="13"/>
      <c r="AS227" s="14"/>
      <c r="AT227" s="14"/>
      <c r="AU227" s="14"/>
    </row>
    <row r="228" ht="15.75" customHeight="1">
      <c r="B228" s="158"/>
      <c r="E228" s="13"/>
      <c r="I228" s="13"/>
      <c r="P228" s="13"/>
      <c r="T228" s="13"/>
      <c r="X228" s="13"/>
      <c r="Y228" s="13"/>
      <c r="Z228" s="13"/>
      <c r="AA228" s="13"/>
      <c r="AS228" s="14"/>
      <c r="AT228" s="14"/>
      <c r="AU228" s="14"/>
    </row>
    <row r="229" ht="15.75" customHeight="1">
      <c r="B229" s="158"/>
      <c r="E229" s="13"/>
      <c r="I229" s="13"/>
      <c r="P229" s="13"/>
      <c r="T229" s="13"/>
      <c r="X229" s="13"/>
      <c r="Y229" s="13"/>
      <c r="Z229" s="13"/>
      <c r="AA229" s="13"/>
      <c r="AS229" s="14"/>
      <c r="AT229" s="14"/>
      <c r="AU229" s="14"/>
    </row>
    <row r="230" ht="15.75" customHeight="1">
      <c r="B230" s="158"/>
      <c r="E230" s="13"/>
      <c r="I230" s="13"/>
      <c r="P230" s="13"/>
      <c r="T230" s="13"/>
      <c r="X230" s="13"/>
      <c r="Y230" s="13"/>
      <c r="Z230" s="13"/>
      <c r="AA230" s="13"/>
      <c r="AS230" s="14"/>
      <c r="AT230" s="14"/>
      <c r="AU230" s="14"/>
    </row>
    <row r="231" ht="15.75" customHeight="1">
      <c r="B231" s="158"/>
      <c r="E231" s="13"/>
      <c r="I231" s="13"/>
      <c r="P231" s="13"/>
      <c r="T231" s="13"/>
      <c r="X231" s="13"/>
      <c r="Y231" s="13"/>
      <c r="Z231" s="13"/>
      <c r="AA231" s="13"/>
      <c r="AS231" s="14"/>
      <c r="AT231" s="14"/>
      <c r="AU231" s="14"/>
    </row>
    <row r="232" ht="15.75" customHeight="1">
      <c r="B232" s="158"/>
      <c r="E232" s="13"/>
      <c r="I232" s="13"/>
      <c r="P232" s="13"/>
      <c r="T232" s="13"/>
      <c r="X232" s="13"/>
      <c r="Y232" s="13"/>
      <c r="Z232" s="13"/>
      <c r="AA232" s="13"/>
      <c r="AS232" s="14"/>
      <c r="AT232" s="14"/>
      <c r="AU232" s="14"/>
    </row>
    <row r="233" ht="15.75" customHeight="1">
      <c r="B233" s="158"/>
      <c r="E233" s="13"/>
      <c r="I233" s="13"/>
      <c r="P233" s="13"/>
      <c r="T233" s="13"/>
      <c r="X233" s="13"/>
      <c r="Y233" s="13"/>
      <c r="Z233" s="13"/>
      <c r="AA233" s="13"/>
      <c r="AS233" s="14"/>
      <c r="AT233" s="14"/>
      <c r="AU233" s="14"/>
    </row>
    <row r="234" ht="15.75" customHeight="1">
      <c r="B234" s="158"/>
      <c r="E234" s="13"/>
      <c r="I234" s="13"/>
      <c r="P234" s="13"/>
      <c r="T234" s="13"/>
      <c r="X234" s="13"/>
      <c r="Y234" s="13"/>
      <c r="Z234" s="13"/>
      <c r="AA234" s="13"/>
      <c r="AS234" s="14"/>
      <c r="AT234" s="14"/>
      <c r="AU234" s="14"/>
    </row>
    <row r="235" ht="15.75" customHeight="1">
      <c r="B235" s="158"/>
      <c r="E235" s="13"/>
      <c r="I235" s="13"/>
      <c r="P235" s="13"/>
      <c r="T235" s="13"/>
      <c r="X235" s="13"/>
      <c r="Y235" s="13"/>
      <c r="Z235" s="13"/>
      <c r="AA235" s="13"/>
      <c r="AS235" s="14"/>
      <c r="AT235" s="14"/>
      <c r="AU235" s="14"/>
    </row>
    <row r="236" ht="15.75" customHeight="1">
      <c r="B236" s="158"/>
      <c r="E236" s="13"/>
      <c r="I236" s="13"/>
      <c r="P236" s="13"/>
      <c r="T236" s="13"/>
      <c r="X236" s="13"/>
      <c r="Y236" s="13"/>
      <c r="Z236" s="13"/>
      <c r="AA236" s="13"/>
      <c r="AS236" s="14"/>
      <c r="AT236" s="14"/>
      <c r="AU236" s="14"/>
    </row>
    <row r="237" ht="15.75" customHeight="1">
      <c r="B237" s="158"/>
      <c r="E237" s="13"/>
      <c r="I237" s="13"/>
      <c r="P237" s="13"/>
      <c r="T237" s="13"/>
      <c r="X237" s="13"/>
      <c r="Y237" s="13"/>
      <c r="Z237" s="13"/>
      <c r="AA237" s="13"/>
      <c r="AS237" s="14"/>
      <c r="AT237" s="14"/>
      <c r="AU237" s="14"/>
    </row>
    <row r="238" ht="15.75" customHeight="1">
      <c r="B238" s="158"/>
      <c r="E238" s="13"/>
      <c r="I238" s="13"/>
      <c r="P238" s="13"/>
      <c r="T238" s="13"/>
      <c r="X238" s="13"/>
      <c r="Y238" s="13"/>
      <c r="Z238" s="13"/>
      <c r="AA238" s="13"/>
      <c r="AS238" s="14"/>
      <c r="AT238" s="14"/>
      <c r="AU238" s="14"/>
    </row>
    <row r="239" ht="15.75" customHeight="1">
      <c r="B239" s="158"/>
      <c r="E239" s="13"/>
      <c r="I239" s="13"/>
      <c r="P239" s="13"/>
      <c r="T239" s="13"/>
      <c r="X239" s="13"/>
      <c r="Y239" s="13"/>
      <c r="Z239" s="13"/>
      <c r="AA239" s="13"/>
      <c r="AS239" s="14"/>
      <c r="AT239" s="14"/>
      <c r="AU239" s="14"/>
    </row>
    <row r="240" ht="15.75" customHeight="1">
      <c r="B240" s="158"/>
      <c r="E240" s="13"/>
      <c r="I240" s="13"/>
      <c r="P240" s="13"/>
      <c r="T240" s="13"/>
      <c r="X240" s="13"/>
      <c r="Y240" s="13"/>
      <c r="Z240" s="13"/>
      <c r="AA240" s="13"/>
      <c r="AS240" s="14"/>
      <c r="AT240" s="14"/>
      <c r="AU240" s="14"/>
    </row>
    <row r="241" ht="15.75" customHeight="1">
      <c r="B241" s="158"/>
      <c r="E241" s="13"/>
      <c r="I241" s="13"/>
      <c r="P241" s="13"/>
      <c r="T241" s="13"/>
      <c r="X241" s="13"/>
      <c r="Y241" s="13"/>
      <c r="Z241" s="13"/>
      <c r="AA241" s="13"/>
      <c r="AS241" s="14"/>
      <c r="AT241" s="14"/>
      <c r="AU241" s="14"/>
    </row>
    <row r="242" ht="15.75" customHeight="1">
      <c r="B242" s="158"/>
      <c r="E242" s="13"/>
      <c r="I242" s="13"/>
      <c r="P242" s="13"/>
      <c r="T242" s="13"/>
      <c r="X242" s="13"/>
      <c r="Y242" s="13"/>
      <c r="Z242" s="13"/>
      <c r="AA242" s="13"/>
      <c r="AS242" s="14"/>
      <c r="AT242" s="14"/>
      <c r="AU242" s="14"/>
    </row>
    <row r="243" ht="15.75" customHeight="1">
      <c r="B243" s="158"/>
      <c r="E243" s="13"/>
      <c r="I243" s="13"/>
      <c r="P243" s="13"/>
      <c r="T243" s="13"/>
      <c r="X243" s="13"/>
      <c r="Y243" s="13"/>
      <c r="Z243" s="13"/>
      <c r="AA243" s="13"/>
      <c r="AS243" s="14"/>
      <c r="AT243" s="14"/>
      <c r="AU243" s="14"/>
    </row>
    <row r="244" ht="15.75" customHeight="1">
      <c r="B244" s="158"/>
      <c r="E244" s="13"/>
      <c r="I244" s="13"/>
      <c r="P244" s="13"/>
      <c r="T244" s="13"/>
      <c r="X244" s="13"/>
      <c r="Y244" s="13"/>
      <c r="Z244" s="13"/>
      <c r="AA244" s="13"/>
      <c r="AS244" s="14"/>
      <c r="AT244" s="14"/>
      <c r="AU244" s="14"/>
    </row>
    <row r="245" ht="15.75" customHeight="1">
      <c r="B245" s="158"/>
      <c r="E245" s="13"/>
      <c r="I245" s="13"/>
      <c r="P245" s="13"/>
      <c r="T245" s="13"/>
      <c r="X245" s="13"/>
      <c r="Y245" s="13"/>
      <c r="Z245" s="13"/>
      <c r="AA245" s="13"/>
      <c r="AS245" s="14"/>
      <c r="AT245" s="14"/>
      <c r="AU245" s="14"/>
    </row>
    <row r="246" ht="15.75" customHeight="1">
      <c r="B246" s="158"/>
      <c r="E246" s="13"/>
      <c r="I246" s="13"/>
      <c r="P246" s="13"/>
      <c r="T246" s="13"/>
      <c r="X246" s="13"/>
      <c r="Y246" s="13"/>
      <c r="Z246" s="13"/>
      <c r="AA246" s="13"/>
      <c r="AS246" s="14"/>
      <c r="AT246" s="14"/>
      <c r="AU246" s="14"/>
    </row>
    <row r="247" ht="15.75" customHeight="1">
      <c r="B247" s="158"/>
      <c r="E247" s="13"/>
      <c r="I247" s="13"/>
      <c r="P247" s="13"/>
      <c r="T247" s="13"/>
      <c r="X247" s="13"/>
      <c r="Y247" s="13"/>
      <c r="Z247" s="13"/>
      <c r="AA247" s="13"/>
      <c r="AS247" s="14"/>
      <c r="AT247" s="14"/>
      <c r="AU247" s="14"/>
    </row>
    <row r="248" ht="15.75" customHeight="1">
      <c r="B248" s="158"/>
      <c r="E248" s="13"/>
      <c r="I248" s="13"/>
      <c r="P248" s="13"/>
      <c r="T248" s="13"/>
      <c r="X248" s="13"/>
      <c r="Y248" s="13"/>
      <c r="Z248" s="13"/>
      <c r="AA248" s="13"/>
      <c r="AS248" s="14"/>
      <c r="AT248" s="14"/>
      <c r="AU248" s="14"/>
    </row>
    <row r="249" ht="15.75" customHeight="1">
      <c r="B249" s="158"/>
      <c r="E249" s="13"/>
      <c r="I249" s="13"/>
      <c r="P249" s="13"/>
      <c r="T249" s="13"/>
      <c r="X249" s="13"/>
      <c r="Y249" s="13"/>
      <c r="Z249" s="13"/>
      <c r="AA249" s="13"/>
      <c r="AS249" s="14"/>
      <c r="AT249" s="14"/>
      <c r="AU249" s="14"/>
    </row>
    <row r="250" ht="15.75" customHeight="1">
      <c r="B250" s="158"/>
      <c r="E250" s="13"/>
      <c r="I250" s="13"/>
      <c r="P250" s="13"/>
      <c r="T250" s="13"/>
      <c r="X250" s="13"/>
      <c r="Y250" s="13"/>
      <c r="Z250" s="13"/>
      <c r="AA250" s="13"/>
      <c r="AS250" s="14"/>
      <c r="AT250" s="14"/>
      <c r="AU250" s="14"/>
    </row>
    <row r="251" ht="15.75" customHeight="1">
      <c r="B251" s="158"/>
      <c r="E251" s="13"/>
      <c r="I251" s="13"/>
      <c r="P251" s="13"/>
      <c r="T251" s="13"/>
      <c r="X251" s="13"/>
      <c r="Y251" s="13"/>
      <c r="Z251" s="13"/>
      <c r="AA251" s="13"/>
      <c r="AS251" s="14"/>
      <c r="AT251" s="14"/>
      <c r="AU251" s="14"/>
    </row>
    <row r="252" ht="15.75" customHeight="1">
      <c r="B252" s="158"/>
      <c r="E252" s="13"/>
      <c r="I252" s="13"/>
      <c r="P252" s="13"/>
      <c r="T252" s="13"/>
      <c r="X252" s="13"/>
      <c r="Y252" s="13"/>
      <c r="Z252" s="13"/>
      <c r="AA252" s="13"/>
      <c r="AS252" s="14"/>
      <c r="AT252" s="14"/>
      <c r="AU252" s="14"/>
    </row>
    <row r="253" ht="15.75" customHeight="1">
      <c r="B253" s="158"/>
      <c r="E253" s="13"/>
      <c r="I253" s="13"/>
      <c r="P253" s="13"/>
      <c r="T253" s="13"/>
      <c r="X253" s="13"/>
      <c r="Y253" s="13"/>
      <c r="Z253" s="13"/>
      <c r="AA253" s="13"/>
      <c r="AS253" s="14"/>
      <c r="AT253" s="14"/>
      <c r="AU253" s="14"/>
    </row>
    <row r="254" ht="15.75" customHeight="1">
      <c r="B254" s="158"/>
      <c r="E254" s="13"/>
      <c r="I254" s="13"/>
      <c r="P254" s="13"/>
      <c r="T254" s="13"/>
      <c r="X254" s="13"/>
      <c r="Y254" s="13"/>
      <c r="Z254" s="13"/>
      <c r="AA254" s="13"/>
      <c r="AS254" s="14"/>
      <c r="AT254" s="14"/>
      <c r="AU254" s="14"/>
    </row>
    <row r="255" ht="15.75" customHeight="1">
      <c r="B255" s="158"/>
      <c r="E255" s="13"/>
      <c r="I255" s="13"/>
      <c r="P255" s="13"/>
      <c r="T255" s="13"/>
      <c r="X255" s="13"/>
      <c r="Y255" s="13"/>
      <c r="Z255" s="13"/>
      <c r="AA255" s="13"/>
      <c r="AS255" s="14"/>
      <c r="AT255" s="14"/>
      <c r="AU255" s="14"/>
    </row>
    <row r="256" ht="15.75" customHeight="1">
      <c r="B256" s="158"/>
      <c r="E256" s="13"/>
      <c r="I256" s="13"/>
      <c r="P256" s="13"/>
      <c r="T256" s="13"/>
      <c r="X256" s="13"/>
      <c r="Y256" s="13"/>
      <c r="Z256" s="13"/>
      <c r="AA256" s="13"/>
      <c r="AS256" s="14"/>
      <c r="AT256" s="14"/>
      <c r="AU256" s="14"/>
    </row>
    <row r="257" ht="15.75" customHeight="1">
      <c r="B257" s="158"/>
      <c r="E257" s="13"/>
      <c r="I257" s="13"/>
      <c r="P257" s="13"/>
      <c r="T257" s="13"/>
      <c r="X257" s="13"/>
      <c r="Y257" s="13"/>
      <c r="Z257" s="13"/>
      <c r="AA257" s="13"/>
      <c r="AS257" s="14"/>
      <c r="AT257" s="14"/>
      <c r="AU257" s="14"/>
    </row>
    <row r="258" ht="15.75" customHeight="1">
      <c r="B258" s="158"/>
      <c r="E258" s="13"/>
      <c r="I258" s="13"/>
      <c r="P258" s="13"/>
      <c r="T258" s="13"/>
      <c r="X258" s="13"/>
      <c r="Y258" s="13"/>
      <c r="Z258" s="13"/>
      <c r="AA258" s="13"/>
      <c r="AS258" s="14"/>
      <c r="AT258" s="14"/>
      <c r="AU258" s="14"/>
    </row>
    <row r="259" ht="15.75" customHeight="1">
      <c r="B259" s="158"/>
      <c r="E259" s="13"/>
      <c r="I259" s="13"/>
      <c r="P259" s="13"/>
      <c r="T259" s="13"/>
      <c r="X259" s="13"/>
      <c r="Y259" s="13"/>
      <c r="Z259" s="13"/>
      <c r="AA259" s="13"/>
      <c r="AS259" s="14"/>
      <c r="AT259" s="14"/>
      <c r="AU259" s="14"/>
    </row>
    <row r="260" ht="15.75" customHeight="1">
      <c r="B260" s="158"/>
      <c r="E260" s="13"/>
      <c r="I260" s="13"/>
      <c r="P260" s="13"/>
      <c r="T260" s="13"/>
      <c r="X260" s="13"/>
      <c r="Y260" s="13"/>
      <c r="Z260" s="13"/>
      <c r="AA260" s="13"/>
      <c r="AS260" s="14"/>
      <c r="AT260" s="14"/>
      <c r="AU260" s="14"/>
    </row>
    <row r="261" ht="15.75" customHeight="1">
      <c r="B261" s="158"/>
      <c r="E261" s="13"/>
      <c r="I261" s="13"/>
      <c r="P261" s="13"/>
      <c r="T261" s="13"/>
      <c r="X261" s="13"/>
      <c r="Y261" s="13"/>
      <c r="Z261" s="13"/>
      <c r="AA261" s="13"/>
      <c r="AS261" s="14"/>
      <c r="AT261" s="14"/>
      <c r="AU261" s="14"/>
    </row>
    <row r="262" ht="15.75" customHeight="1">
      <c r="B262" s="158"/>
      <c r="E262" s="13"/>
      <c r="I262" s="13"/>
      <c r="P262" s="13"/>
      <c r="T262" s="13"/>
      <c r="X262" s="13"/>
      <c r="Y262" s="13"/>
      <c r="Z262" s="13"/>
      <c r="AA262" s="13"/>
      <c r="AS262" s="14"/>
      <c r="AT262" s="14"/>
      <c r="AU262" s="14"/>
    </row>
    <row r="263" ht="15.75" customHeight="1">
      <c r="B263" s="158"/>
      <c r="E263" s="13"/>
      <c r="I263" s="13"/>
      <c r="P263" s="13"/>
      <c r="T263" s="13"/>
      <c r="X263" s="13"/>
      <c r="Y263" s="13"/>
      <c r="Z263" s="13"/>
      <c r="AA263" s="13"/>
      <c r="AS263" s="14"/>
      <c r="AT263" s="14"/>
      <c r="AU263" s="14"/>
    </row>
    <row r="264" ht="15.75" customHeight="1">
      <c r="B264" s="158"/>
      <c r="E264" s="13"/>
      <c r="I264" s="13"/>
      <c r="P264" s="13"/>
      <c r="T264" s="13"/>
      <c r="X264" s="13"/>
      <c r="Y264" s="13"/>
      <c r="Z264" s="13"/>
      <c r="AA264" s="13"/>
      <c r="AS264" s="14"/>
      <c r="AT264" s="14"/>
      <c r="AU264" s="14"/>
    </row>
    <row r="265" ht="15.75" customHeight="1">
      <c r="B265" s="158"/>
      <c r="E265" s="13"/>
      <c r="I265" s="13"/>
      <c r="P265" s="13"/>
      <c r="T265" s="13"/>
      <c r="X265" s="13"/>
      <c r="Y265" s="13"/>
      <c r="Z265" s="13"/>
      <c r="AA265" s="13"/>
      <c r="AS265" s="14"/>
      <c r="AT265" s="14"/>
      <c r="AU265" s="14"/>
    </row>
    <row r="266" ht="15.75" customHeight="1">
      <c r="B266" s="158"/>
      <c r="E266" s="13"/>
      <c r="I266" s="13"/>
      <c r="P266" s="13"/>
      <c r="T266" s="13"/>
      <c r="X266" s="13"/>
      <c r="Y266" s="13"/>
      <c r="Z266" s="13"/>
      <c r="AA266" s="13"/>
      <c r="AS266" s="14"/>
      <c r="AT266" s="14"/>
      <c r="AU266" s="14"/>
    </row>
    <row r="267" ht="15.75" customHeight="1">
      <c r="B267" s="158"/>
      <c r="E267" s="13"/>
      <c r="I267" s="13"/>
      <c r="P267" s="13"/>
      <c r="T267" s="13"/>
      <c r="X267" s="13"/>
      <c r="Y267" s="13"/>
      <c r="Z267" s="13"/>
      <c r="AA267" s="13"/>
      <c r="AS267" s="14"/>
      <c r="AT267" s="14"/>
      <c r="AU267" s="14"/>
    </row>
    <row r="268" ht="15.75" customHeight="1">
      <c r="B268" s="158"/>
      <c r="E268" s="13"/>
      <c r="I268" s="13"/>
      <c r="P268" s="13"/>
      <c r="T268" s="13"/>
      <c r="X268" s="13"/>
      <c r="Y268" s="13"/>
      <c r="Z268" s="13"/>
      <c r="AA268" s="13"/>
      <c r="AS268" s="14"/>
      <c r="AT268" s="14"/>
      <c r="AU268" s="14"/>
    </row>
    <row r="269" ht="15.75" customHeight="1">
      <c r="B269" s="158"/>
      <c r="E269" s="13"/>
      <c r="I269" s="13"/>
      <c r="P269" s="13"/>
      <c r="T269" s="13"/>
      <c r="X269" s="13"/>
      <c r="Y269" s="13"/>
      <c r="Z269" s="13"/>
      <c r="AA269" s="13"/>
      <c r="AS269" s="14"/>
      <c r="AT269" s="14"/>
      <c r="AU269" s="14"/>
    </row>
    <row r="270" ht="15.75" customHeight="1">
      <c r="B270" s="158"/>
      <c r="E270" s="13"/>
      <c r="I270" s="13"/>
      <c r="P270" s="13"/>
      <c r="T270" s="13"/>
      <c r="X270" s="13"/>
      <c r="Y270" s="13"/>
      <c r="Z270" s="13"/>
      <c r="AA270" s="13"/>
      <c r="AS270" s="14"/>
      <c r="AT270" s="14"/>
      <c r="AU270" s="14"/>
    </row>
    <row r="271" ht="15.75" customHeight="1">
      <c r="B271" s="158"/>
      <c r="E271" s="13"/>
      <c r="I271" s="13"/>
      <c r="P271" s="13"/>
      <c r="T271" s="13"/>
      <c r="X271" s="13"/>
      <c r="Y271" s="13"/>
      <c r="Z271" s="13"/>
      <c r="AA271" s="13"/>
      <c r="AS271" s="14"/>
      <c r="AT271" s="14"/>
      <c r="AU271" s="14"/>
    </row>
    <row r="272" ht="15.75" customHeight="1">
      <c r="B272" s="158"/>
      <c r="E272" s="13"/>
      <c r="I272" s="13"/>
      <c r="P272" s="13"/>
      <c r="T272" s="13"/>
      <c r="X272" s="13"/>
      <c r="Y272" s="13"/>
      <c r="Z272" s="13"/>
      <c r="AA272" s="13"/>
      <c r="AS272" s="14"/>
      <c r="AT272" s="14"/>
      <c r="AU272" s="14"/>
    </row>
    <row r="273" ht="15.75" customHeight="1">
      <c r="B273" s="158"/>
      <c r="E273" s="13"/>
      <c r="I273" s="13"/>
      <c r="P273" s="13"/>
      <c r="T273" s="13"/>
      <c r="X273" s="13"/>
      <c r="Y273" s="13"/>
      <c r="Z273" s="13"/>
      <c r="AA273" s="13"/>
      <c r="AS273" s="14"/>
      <c r="AT273" s="14"/>
      <c r="AU273" s="14"/>
    </row>
    <row r="274" ht="15.75" customHeight="1">
      <c r="B274" s="158"/>
      <c r="E274" s="13"/>
      <c r="I274" s="13"/>
      <c r="P274" s="13"/>
      <c r="T274" s="13"/>
      <c r="X274" s="13"/>
      <c r="Y274" s="13"/>
      <c r="Z274" s="13"/>
      <c r="AA274" s="13"/>
      <c r="AS274" s="14"/>
      <c r="AT274" s="14"/>
      <c r="AU274" s="14"/>
    </row>
    <row r="275" ht="15.75" customHeight="1">
      <c r="B275" s="158"/>
      <c r="E275" s="13"/>
      <c r="I275" s="13"/>
      <c r="P275" s="13"/>
      <c r="T275" s="13"/>
      <c r="X275" s="13"/>
      <c r="Y275" s="13"/>
      <c r="Z275" s="13"/>
      <c r="AA275" s="13"/>
      <c r="AS275" s="14"/>
      <c r="AT275" s="14"/>
      <c r="AU275" s="14"/>
    </row>
    <row r="276" ht="15.75" customHeight="1">
      <c r="B276" s="158"/>
      <c r="E276" s="13"/>
      <c r="I276" s="13"/>
      <c r="P276" s="13"/>
      <c r="T276" s="13"/>
      <c r="X276" s="13"/>
      <c r="Y276" s="13"/>
      <c r="Z276" s="13"/>
      <c r="AA276" s="13"/>
      <c r="AS276" s="14"/>
      <c r="AT276" s="14"/>
      <c r="AU276" s="14"/>
    </row>
    <row r="277" ht="15.75" customHeight="1">
      <c r="B277" s="158"/>
      <c r="E277" s="13"/>
      <c r="I277" s="13"/>
      <c r="P277" s="13"/>
      <c r="T277" s="13"/>
      <c r="X277" s="13"/>
      <c r="Y277" s="13"/>
      <c r="Z277" s="13"/>
      <c r="AA277" s="13"/>
      <c r="AS277" s="14"/>
      <c r="AT277" s="14"/>
      <c r="AU277" s="14"/>
    </row>
    <row r="278" ht="15.75" customHeight="1">
      <c r="B278" s="158"/>
      <c r="E278" s="13"/>
      <c r="I278" s="13"/>
      <c r="P278" s="13"/>
      <c r="T278" s="13"/>
      <c r="X278" s="13"/>
      <c r="Y278" s="13"/>
      <c r="Z278" s="13"/>
      <c r="AA278" s="13"/>
      <c r="AS278" s="14"/>
      <c r="AT278" s="14"/>
      <c r="AU278" s="14"/>
    </row>
    <row r="279" ht="15.75" customHeight="1">
      <c r="B279" s="158"/>
      <c r="E279" s="13"/>
      <c r="I279" s="13"/>
      <c r="P279" s="13"/>
      <c r="T279" s="13"/>
      <c r="X279" s="13"/>
      <c r="Y279" s="13"/>
      <c r="Z279" s="13"/>
      <c r="AA279" s="13"/>
      <c r="AS279" s="14"/>
      <c r="AT279" s="14"/>
      <c r="AU279" s="14"/>
    </row>
    <row r="280" ht="15.75" customHeight="1">
      <c r="B280" s="158"/>
      <c r="E280" s="13"/>
      <c r="I280" s="13"/>
      <c r="P280" s="13"/>
      <c r="T280" s="13"/>
      <c r="X280" s="13"/>
      <c r="Y280" s="13"/>
      <c r="Z280" s="13"/>
      <c r="AA280" s="13"/>
      <c r="AS280" s="14"/>
      <c r="AT280" s="14"/>
      <c r="AU280" s="14"/>
    </row>
    <row r="281" ht="15.75" customHeight="1">
      <c r="B281" s="158"/>
      <c r="E281" s="13"/>
      <c r="I281" s="13"/>
      <c r="P281" s="13"/>
      <c r="T281" s="13"/>
      <c r="X281" s="13"/>
      <c r="Y281" s="13"/>
      <c r="Z281" s="13"/>
      <c r="AA281" s="13"/>
      <c r="AS281" s="14"/>
      <c r="AT281" s="14"/>
      <c r="AU281" s="14"/>
    </row>
    <row r="282" ht="15.75" customHeight="1">
      <c r="B282" s="158"/>
      <c r="E282" s="13"/>
      <c r="I282" s="13"/>
      <c r="P282" s="13"/>
      <c r="T282" s="13"/>
      <c r="X282" s="13"/>
      <c r="Y282" s="13"/>
      <c r="Z282" s="13"/>
      <c r="AA282" s="13"/>
      <c r="AS282" s="14"/>
      <c r="AT282" s="14"/>
      <c r="AU282" s="14"/>
    </row>
    <row r="283" ht="15.75" customHeight="1">
      <c r="B283" s="158"/>
      <c r="E283" s="13"/>
      <c r="I283" s="13"/>
      <c r="P283" s="13"/>
      <c r="T283" s="13"/>
      <c r="X283" s="13"/>
      <c r="Y283" s="13"/>
      <c r="Z283" s="13"/>
      <c r="AA283" s="13"/>
      <c r="AS283" s="14"/>
      <c r="AT283" s="14"/>
      <c r="AU283" s="14"/>
    </row>
    <row r="284" ht="15.75" customHeight="1">
      <c r="B284" s="158"/>
      <c r="E284" s="13"/>
      <c r="I284" s="13"/>
      <c r="P284" s="13"/>
      <c r="T284" s="13"/>
      <c r="X284" s="13"/>
      <c r="Y284" s="13"/>
      <c r="Z284" s="13"/>
      <c r="AA284" s="13"/>
      <c r="AS284" s="14"/>
      <c r="AT284" s="14"/>
      <c r="AU284" s="14"/>
    </row>
    <row r="285" ht="15.75" customHeight="1">
      <c r="B285" s="158"/>
      <c r="E285" s="13"/>
      <c r="I285" s="13"/>
      <c r="P285" s="13"/>
      <c r="T285" s="13"/>
      <c r="X285" s="13"/>
      <c r="Y285" s="13"/>
      <c r="Z285" s="13"/>
      <c r="AA285" s="13"/>
      <c r="AS285" s="14"/>
      <c r="AT285" s="14"/>
      <c r="AU285" s="14"/>
    </row>
    <row r="286" ht="15.75" customHeight="1">
      <c r="B286" s="158"/>
      <c r="E286" s="13"/>
      <c r="I286" s="13"/>
      <c r="P286" s="13"/>
      <c r="T286" s="13"/>
      <c r="X286" s="13"/>
      <c r="Y286" s="13"/>
      <c r="Z286" s="13"/>
      <c r="AA286" s="13"/>
      <c r="AS286" s="14"/>
      <c r="AT286" s="14"/>
      <c r="AU286" s="14"/>
    </row>
    <row r="287" ht="15.75" customHeight="1">
      <c r="B287" s="158"/>
      <c r="E287" s="13"/>
      <c r="I287" s="13"/>
      <c r="P287" s="13"/>
      <c r="T287" s="13"/>
      <c r="X287" s="13"/>
      <c r="Y287" s="13"/>
      <c r="Z287" s="13"/>
      <c r="AA287" s="13"/>
      <c r="AS287" s="14"/>
      <c r="AT287" s="14"/>
      <c r="AU287" s="14"/>
    </row>
    <row r="288" ht="15.75" customHeight="1">
      <c r="B288" s="158"/>
      <c r="E288" s="13"/>
      <c r="I288" s="13"/>
      <c r="P288" s="13"/>
      <c r="T288" s="13"/>
      <c r="X288" s="13"/>
      <c r="Y288" s="13"/>
      <c r="Z288" s="13"/>
      <c r="AA288" s="13"/>
      <c r="AS288" s="14"/>
      <c r="AT288" s="14"/>
      <c r="AU288" s="14"/>
    </row>
    <row r="289" ht="15.75" customHeight="1">
      <c r="B289" s="158"/>
      <c r="E289" s="13"/>
      <c r="I289" s="13"/>
      <c r="P289" s="13"/>
      <c r="T289" s="13"/>
      <c r="X289" s="13"/>
      <c r="Y289" s="13"/>
      <c r="Z289" s="13"/>
      <c r="AA289" s="13"/>
      <c r="AS289" s="14"/>
      <c r="AT289" s="14"/>
      <c r="AU289" s="14"/>
    </row>
    <row r="290" ht="15.75" customHeight="1">
      <c r="B290" s="158"/>
      <c r="E290" s="13"/>
      <c r="I290" s="13"/>
      <c r="P290" s="13"/>
      <c r="T290" s="13"/>
      <c r="X290" s="13"/>
      <c r="Y290" s="13"/>
      <c r="Z290" s="13"/>
      <c r="AA290" s="13"/>
      <c r="AS290" s="14"/>
      <c r="AT290" s="14"/>
      <c r="AU290" s="14"/>
    </row>
    <row r="291" ht="15.75" customHeight="1">
      <c r="B291" s="158"/>
      <c r="E291" s="13"/>
      <c r="I291" s="13"/>
      <c r="P291" s="13"/>
      <c r="T291" s="13"/>
      <c r="X291" s="13"/>
      <c r="Y291" s="13"/>
      <c r="Z291" s="13"/>
      <c r="AA291" s="13"/>
      <c r="AS291" s="14"/>
      <c r="AT291" s="14"/>
      <c r="AU291" s="14"/>
    </row>
    <row r="292" ht="15.75" customHeight="1">
      <c r="B292" s="158"/>
      <c r="E292" s="13"/>
      <c r="I292" s="13"/>
      <c r="P292" s="13"/>
      <c r="T292" s="13"/>
      <c r="X292" s="13"/>
      <c r="Y292" s="13"/>
      <c r="Z292" s="13"/>
      <c r="AA292" s="13"/>
      <c r="AS292" s="14"/>
      <c r="AT292" s="14"/>
      <c r="AU292" s="14"/>
    </row>
    <row r="293" ht="15.75" customHeight="1">
      <c r="B293" s="158"/>
      <c r="E293" s="13"/>
      <c r="I293" s="13"/>
      <c r="P293" s="13"/>
      <c r="T293" s="13"/>
      <c r="X293" s="13"/>
      <c r="Y293" s="13"/>
      <c r="Z293" s="13"/>
      <c r="AA293" s="13"/>
      <c r="AS293" s="14"/>
      <c r="AT293" s="14"/>
      <c r="AU293" s="14"/>
    </row>
    <row r="294" ht="15.75" customHeight="1">
      <c r="B294" s="158"/>
      <c r="E294" s="13"/>
      <c r="I294" s="13"/>
      <c r="P294" s="13"/>
      <c r="T294" s="13"/>
      <c r="X294" s="13"/>
      <c r="Y294" s="13"/>
      <c r="Z294" s="13"/>
      <c r="AA294" s="13"/>
      <c r="AS294" s="14"/>
      <c r="AT294" s="14"/>
      <c r="AU294" s="14"/>
    </row>
    <row r="295" ht="15.75" customHeight="1">
      <c r="B295" s="158"/>
      <c r="E295" s="13"/>
      <c r="I295" s="13"/>
      <c r="P295" s="13"/>
      <c r="T295" s="13"/>
      <c r="X295" s="13"/>
      <c r="Y295" s="13"/>
      <c r="Z295" s="13"/>
      <c r="AA295" s="13"/>
      <c r="AS295" s="14"/>
      <c r="AT295" s="14"/>
      <c r="AU295" s="14"/>
    </row>
    <row r="296" ht="15.75" customHeight="1">
      <c r="B296" s="158"/>
      <c r="E296" s="13"/>
      <c r="I296" s="13"/>
      <c r="P296" s="13"/>
      <c r="T296" s="13"/>
      <c r="X296" s="13"/>
      <c r="Y296" s="13"/>
      <c r="Z296" s="13"/>
      <c r="AA296" s="13"/>
      <c r="AS296" s="14"/>
      <c r="AT296" s="14"/>
      <c r="AU296" s="14"/>
    </row>
    <row r="297" ht="15.75" customHeight="1">
      <c r="B297" s="158"/>
      <c r="E297" s="13"/>
      <c r="I297" s="13"/>
      <c r="P297" s="13"/>
      <c r="T297" s="13"/>
      <c r="X297" s="13"/>
      <c r="Y297" s="13"/>
      <c r="Z297" s="13"/>
      <c r="AA297" s="13"/>
      <c r="AS297" s="14"/>
      <c r="AT297" s="14"/>
      <c r="AU297" s="14"/>
    </row>
    <row r="298" ht="15.75" customHeight="1">
      <c r="B298" s="158"/>
      <c r="E298" s="13"/>
      <c r="I298" s="13"/>
      <c r="P298" s="13"/>
      <c r="T298" s="13"/>
      <c r="X298" s="13"/>
      <c r="Y298" s="13"/>
      <c r="Z298" s="13"/>
      <c r="AA298" s="13"/>
      <c r="AS298" s="14"/>
      <c r="AT298" s="14"/>
      <c r="AU298" s="14"/>
    </row>
    <row r="299" ht="15.75" customHeight="1">
      <c r="B299" s="158"/>
      <c r="E299" s="13"/>
      <c r="I299" s="13"/>
      <c r="P299" s="13"/>
      <c r="T299" s="13"/>
      <c r="X299" s="13"/>
      <c r="Y299" s="13"/>
      <c r="Z299" s="13"/>
      <c r="AA299" s="13"/>
      <c r="AS299" s="14"/>
      <c r="AT299" s="14"/>
      <c r="AU299" s="14"/>
    </row>
    <row r="300" ht="15.75" customHeight="1">
      <c r="B300" s="158"/>
      <c r="E300" s="13"/>
      <c r="I300" s="13"/>
      <c r="P300" s="13"/>
      <c r="T300" s="13"/>
      <c r="X300" s="13"/>
      <c r="Y300" s="13"/>
      <c r="Z300" s="13"/>
      <c r="AA300" s="13"/>
      <c r="AS300" s="14"/>
      <c r="AT300" s="14"/>
      <c r="AU300" s="14"/>
    </row>
    <row r="301" ht="15.75" customHeight="1">
      <c r="B301" s="158"/>
      <c r="E301" s="13"/>
      <c r="I301" s="13"/>
      <c r="P301" s="13"/>
      <c r="T301" s="13"/>
      <c r="X301" s="13"/>
      <c r="Y301" s="13"/>
      <c r="Z301" s="13"/>
      <c r="AA301" s="13"/>
      <c r="AS301" s="14"/>
      <c r="AT301" s="14"/>
      <c r="AU301" s="14"/>
    </row>
    <row r="302" ht="15.75" customHeight="1">
      <c r="B302" s="158"/>
      <c r="E302" s="13"/>
      <c r="I302" s="13"/>
      <c r="P302" s="13"/>
      <c r="T302" s="13"/>
      <c r="X302" s="13"/>
      <c r="Y302" s="13"/>
      <c r="Z302" s="13"/>
      <c r="AA302" s="13"/>
      <c r="AS302" s="14"/>
      <c r="AT302" s="14"/>
      <c r="AU302" s="14"/>
    </row>
    <row r="303" ht="15.75" customHeight="1">
      <c r="B303" s="158"/>
      <c r="E303" s="13"/>
      <c r="I303" s="13"/>
      <c r="P303" s="13"/>
      <c r="T303" s="13"/>
      <c r="X303" s="13"/>
      <c r="Y303" s="13"/>
      <c r="Z303" s="13"/>
      <c r="AA303" s="13"/>
      <c r="AS303" s="14"/>
      <c r="AT303" s="14"/>
      <c r="AU303" s="14"/>
    </row>
    <row r="304" ht="15.75" customHeight="1">
      <c r="B304" s="158"/>
      <c r="E304" s="13"/>
      <c r="I304" s="13"/>
      <c r="P304" s="13"/>
      <c r="T304" s="13"/>
      <c r="X304" s="13"/>
      <c r="Y304" s="13"/>
      <c r="Z304" s="13"/>
      <c r="AA304" s="13"/>
      <c r="AS304" s="14"/>
      <c r="AT304" s="14"/>
      <c r="AU304" s="14"/>
    </row>
    <row r="305" ht="15.75" customHeight="1">
      <c r="B305" s="158"/>
      <c r="E305" s="13"/>
      <c r="I305" s="13"/>
      <c r="P305" s="13"/>
      <c r="T305" s="13"/>
      <c r="X305" s="13"/>
      <c r="Y305" s="13"/>
      <c r="Z305" s="13"/>
      <c r="AA305" s="13"/>
      <c r="AS305" s="14"/>
      <c r="AT305" s="14"/>
      <c r="AU305" s="14"/>
    </row>
    <row r="306" ht="15.75" customHeight="1">
      <c r="B306" s="158"/>
      <c r="E306" s="13"/>
      <c r="I306" s="13"/>
      <c r="P306" s="13"/>
      <c r="T306" s="13"/>
      <c r="X306" s="13"/>
      <c r="Y306" s="13"/>
      <c r="Z306" s="13"/>
      <c r="AA306" s="13"/>
      <c r="AS306" s="14"/>
      <c r="AT306" s="14"/>
      <c r="AU306" s="14"/>
    </row>
    <row r="307" ht="15.75" customHeight="1">
      <c r="B307" s="158"/>
      <c r="E307" s="13"/>
      <c r="I307" s="13"/>
      <c r="P307" s="13"/>
      <c r="T307" s="13"/>
      <c r="X307" s="13"/>
      <c r="Y307" s="13"/>
      <c r="Z307" s="13"/>
      <c r="AA307" s="13"/>
      <c r="AS307" s="14"/>
      <c r="AT307" s="14"/>
      <c r="AU307" s="14"/>
    </row>
    <row r="308" ht="15.75" customHeight="1">
      <c r="B308" s="158"/>
      <c r="E308" s="13"/>
      <c r="I308" s="13"/>
      <c r="P308" s="13"/>
      <c r="T308" s="13"/>
      <c r="X308" s="13"/>
      <c r="Y308" s="13"/>
      <c r="Z308" s="13"/>
      <c r="AA308" s="13"/>
      <c r="AS308" s="14"/>
      <c r="AT308" s="14"/>
      <c r="AU308" s="14"/>
    </row>
    <row r="309" ht="15.75" customHeight="1">
      <c r="B309" s="158"/>
      <c r="E309" s="13"/>
      <c r="I309" s="13"/>
      <c r="P309" s="13"/>
      <c r="T309" s="13"/>
      <c r="X309" s="13"/>
      <c r="Y309" s="13"/>
      <c r="Z309" s="13"/>
      <c r="AA309" s="13"/>
      <c r="AS309" s="14"/>
      <c r="AT309" s="14"/>
      <c r="AU309" s="14"/>
    </row>
    <row r="310" ht="15.75" customHeight="1">
      <c r="B310" s="158"/>
      <c r="E310" s="13"/>
      <c r="I310" s="13"/>
      <c r="P310" s="13"/>
      <c r="T310" s="13"/>
      <c r="X310" s="13"/>
      <c r="Y310" s="13"/>
      <c r="Z310" s="13"/>
      <c r="AA310" s="13"/>
      <c r="AS310" s="14"/>
      <c r="AT310" s="14"/>
      <c r="AU310" s="14"/>
    </row>
    <row r="311" ht="15.75" customHeight="1">
      <c r="B311" s="158"/>
      <c r="E311" s="13"/>
      <c r="I311" s="13"/>
      <c r="P311" s="13"/>
      <c r="T311" s="13"/>
      <c r="X311" s="13"/>
      <c r="Y311" s="13"/>
      <c r="Z311" s="13"/>
      <c r="AA311" s="13"/>
      <c r="AS311" s="14"/>
      <c r="AT311" s="14"/>
      <c r="AU311" s="14"/>
    </row>
    <row r="312" ht="15.75" customHeight="1">
      <c r="B312" s="158"/>
      <c r="E312" s="13"/>
      <c r="I312" s="13"/>
      <c r="P312" s="13"/>
      <c r="T312" s="13"/>
      <c r="X312" s="13"/>
      <c r="Y312" s="13"/>
      <c r="Z312" s="13"/>
      <c r="AA312" s="13"/>
      <c r="AS312" s="14"/>
      <c r="AT312" s="14"/>
      <c r="AU312" s="14"/>
    </row>
    <row r="313" ht="15.75" customHeight="1">
      <c r="B313" s="158"/>
      <c r="E313" s="13"/>
      <c r="I313" s="13"/>
      <c r="P313" s="13"/>
      <c r="T313" s="13"/>
      <c r="X313" s="13"/>
      <c r="Y313" s="13"/>
      <c r="Z313" s="13"/>
      <c r="AA313" s="13"/>
      <c r="AS313" s="14"/>
      <c r="AT313" s="14"/>
      <c r="AU313" s="14"/>
    </row>
    <row r="314" ht="15.75" customHeight="1">
      <c r="B314" s="158"/>
      <c r="E314" s="13"/>
      <c r="I314" s="13"/>
      <c r="P314" s="13"/>
      <c r="T314" s="13"/>
      <c r="X314" s="13"/>
      <c r="Y314" s="13"/>
      <c r="Z314" s="13"/>
      <c r="AA314" s="13"/>
      <c r="AS314" s="14"/>
      <c r="AT314" s="14"/>
      <c r="AU314" s="14"/>
    </row>
    <row r="315" ht="15.75" customHeight="1">
      <c r="B315" s="158"/>
      <c r="E315" s="13"/>
      <c r="I315" s="13"/>
      <c r="P315" s="13"/>
      <c r="T315" s="13"/>
      <c r="X315" s="13"/>
      <c r="Y315" s="13"/>
      <c r="Z315" s="13"/>
      <c r="AA315" s="13"/>
      <c r="AS315" s="14"/>
      <c r="AT315" s="14"/>
      <c r="AU315" s="14"/>
    </row>
    <row r="316" ht="15.75" customHeight="1">
      <c r="B316" s="158"/>
      <c r="E316" s="13"/>
      <c r="I316" s="13"/>
      <c r="P316" s="13"/>
      <c r="T316" s="13"/>
      <c r="X316" s="13"/>
      <c r="Y316" s="13"/>
      <c r="Z316" s="13"/>
      <c r="AA316" s="13"/>
      <c r="AS316" s="14"/>
      <c r="AT316" s="14"/>
      <c r="AU316" s="14"/>
    </row>
    <row r="317" ht="15.75" customHeight="1">
      <c r="B317" s="158"/>
      <c r="E317" s="13"/>
      <c r="I317" s="13"/>
      <c r="P317" s="13"/>
      <c r="T317" s="13"/>
      <c r="X317" s="13"/>
      <c r="Y317" s="13"/>
      <c r="Z317" s="13"/>
      <c r="AA317" s="13"/>
      <c r="AS317" s="14"/>
      <c r="AT317" s="14"/>
      <c r="AU317" s="14"/>
    </row>
    <row r="318" ht="15.75" customHeight="1">
      <c r="B318" s="158"/>
      <c r="E318" s="13"/>
      <c r="I318" s="13"/>
      <c r="P318" s="13"/>
      <c r="T318" s="13"/>
      <c r="X318" s="13"/>
      <c r="Y318" s="13"/>
      <c r="Z318" s="13"/>
      <c r="AA318" s="13"/>
      <c r="AS318" s="14"/>
      <c r="AT318" s="14"/>
      <c r="AU318" s="14"/>
    </row>
    <row r="319" ht="15.75" customHeight="1">
      <c r="B319" s="158"/>
      <c r="E319" s="13"/>
      <c r="I319" s="13"/>
      <c r="P319" s="13"/>
      <c r="T319" s="13"/>
      <c r="X319" s="13"/>
      <c r="Y319" s="13"/>
      <c r="Z319" s="13"/>
      <c r="AA319" s="13"/>
      <c r="AS319" s="14"/>
      <c r="AT319" s="14"/>
      <c r="AU319" s="14"/>
    </row>
    <row r="320" ht="15.75" customHeight="1">
      <c r="B320" s="158"/>
      <c r="E320" s="13"/>
      <c r="I320" s="13"/>
      <c r="P320" s="13"/>
      <c r="T320" s="13"/>
      <c r="X320" s="13"/>
      <c r="Y320" s="13"/>
      <c r="Z320" s="13"/>
      <c r="AA320" s="13"/>
      <c r="AS320" s="14"/>
      <c r="AT320" s="14"/>
      <c r="AU320" s="14"/>
    </row>
    <row r="321" ht="15.75" customHeight="1">
      <c r="B321" s="158"/>
      <c r="E321" s="13"/>
      <c r="I321" s="13"/>
      <c r="P321" s="13"/>
      <c r="T321" s="13"/>
      <c r="X321" s="13"/>
      <c r="Y321" s="13"/>
      <c r="Z321" s="13"/>
      <c r="AA321" s="13"/>
      <c r="AS321" s="14"/>
      <c r="AT321" s="14"/>
      <c r="AU321" s="14"/>
    </row>
    <row r="322" ht="15.75" customHeight="1">
      <c r="B322" s="158"/>
      <c r="E322" s="13"/>
      <c r="I322" s="13"/>
      <c r="P322" s="13"/>
      <c r="T322" s="13"/>
      <c r="X322" s="13"/>
      <c r="Y322" s="13"/>
      <c r="Z322" s="13"/>
      <c r="AA322" s="13"/>
      <c r="AS322" s="14"/>
      <c r="AT322" s="14"/>
      <c r="AU322" s="14"/>
    </row>
    <row r="323" ht="15.75" customHeight="1">
      <c r="B323" s="158"/>
      <c r="E323" s="13"/>
      <c r="I323" s="13"/>
      <c r="P323" s="13"/>
      <c r="T323" s="13"/>
      <c r="X323" s="13"/>
      <c r="Y323" s="13"/>
      <c r="Z323" s="13"/>
      <c r="AA323" s="13"/>
      <c r="AS323" s="14"/>
      <c r="AT323" s="14"/>
      <c r="AU323" s="14"/>
    </row>
    <row r="324" ht="15.75" customHeight="1">
      <c r="B324" s="158"/>
      <c r="E324" s="13"/>
      <c r="I324" s="13"/>
      <c r="P324" s="13"/>
      <c r="T324" s="13"/>
      <c r="X324" s="13"/>
      <c r="Y324" s="13"/>
      <c r="Z324" s="13"/>
      <c r="AA324" s="13"/>
      <c r="AS324" s="14"/>
      <c r="AT324" s="14"/>
      <c r="AU324" s="14"/>
    </row>
    <row r="325" ht="15.75" customHeight="1">
      <c r="B325" s="158"/>
      <c r="E325" s="13"/>
      <c r="I325" s="13"/>
      <c r="P325" s="13"/>
      <c r="T325" s="13"/>
      <c r="X325" s="13"/>
      <c r="Y325" s="13"/>
      <c r="Z325" s="13"/>
      <c r="AA325" s="13"/>
      <c r="AS325" s="14"/>
      <c r="AT325" s="14"/>
      <c r="AU325" s="14"/>
    </row>
    <row r="326" ht="15.75" customHeight="1">
      <c r="B326" s="158"/>
      <c r="E326" s="13"/>
      <c r="I326" s="13"/>
      <c r="P326" s="13"/>
      <c r="T326" s="13"/>
      <c r="X326" s="13"/>
      <c r="Y326" s="13"/>
      <c r="Z326" s="13"/>
      <c r="AA326" s="13"/>
      <c r="AS326" s="14"/>
      <c r="AT326" s="14"/>
      <c r="AU326" s="14"/>
    </row>
    <row r="327" ht="15.75" customHeight="1">
      <c r="B327" s="158"/>
      <c r="E327" s="13"/>
      <c r="I327" s="13"/>
      <c r="P327" s="13"/>
      <c r="T327" s="13"/>
      <c r="X327" s="13"/>
      <c r="Y327" s="13"/>
      <c r="Z327" s="13"/>
      <c r="AA327" s="13"/>
      <c r="AS327" s="14"/>
      <c r="AT327" s="14"/>
      <c r="AU327" s="14"/>
    </row>
    <row r="328" ht="15.75" customHeight="1">
      <c r="B328" s="158"/>
      <c r="E328" s="13"/>
      <c r="I328" s="13"/>
      <c r="P328" s="13"/>
      <c r="T328" s="13"/>
      <c r="X328" s="13"/>
      <c r="Y328" s="13"/>
      <c r="Z328" s="13"/>
      <c r="AA328" s="13"/>
      <c r="AS328" s="14"/>
      <c r="AT328" s="14"/>
      <c r="AU328" s="14"/>
    </row>
    <row r="329" ht="15.75" customHeight="1">
      <c r="B329" s="158"/>
      <c r="E329" s="13"/>
      <c r="I329" s="13"/>
      <c r="P329" s="13"/>
      <c r="T329" s="13"/>
      <c r="X329" s="13"/>
      <c r="Y329" s="13"/>
      <c r="Z329" s="13"/>
      <c r="AA329" s="13"/>
      <c r="AS329" s="14"/>
      <c r="AT329" s="14"/>
      <c r="AU329" s="14"/>
    </row>
    <row r="330" ht="15.75" customHeight="1">
      <c r="B330" s="158"/>
      <c r="E330" s="13"/>
      <c r="I330" s="13"/>
      <c r="P330" s="13"/>
      <c r="T330" s="13"/>
      <c r="X330" s="13"/>
      <c r="Y330" s="13"/>
      <c r="Z330" s="13"/>
      <c r="AA330" s="13"/>
      <c r="AS330" s="14"/>
      <c r="AT330" s="14"/>
      <c r="AU330" s="14"/>
    </row>
    <row r="331" ht="15.75" customHeight="1">
      <c r="B331" s="158"/>
      <c r="E331" s="13"/>
      <c r="I331" s="13"/>
      <c r="P331" s="13"/>
      <c r="T331" s="13"/>
      <c r="X331" s="13"/>
      <c r="Y331" s="13"/>
      <c r="Z331" s="13"/>
      <c r="AA331" s="13"/>
      <c r="AS331" s="14"/>
      <c r="AT331" s="14"/>
      <c r="AU331" s="14"/>
    </row>
    <row r="332" ht="15.75" customHeight="1">
      <c r="B332" s="158"/>
      <c r="E332" s="13"/>
      <c r="I332" s="13"/>
      <c r="P332" s="13"/>
      <c r="T332" s="13"/>
      <c r="X332" s="13"/>
      <c r="Y332" s="13"/>
      <c r="Z332" s="13"/>
      <c r="AA332" s="13"/>
      <c r="AS332" s="14"/>
      <c r="AT332" s="14"/>
      <c r="AU332" s="14"/>
    </row>
    <row r="333" ht="15.75" customHeight="1">
      <c r="B333" s="158"/>
      <c r="E333" s="13"/>
      <c r="I333" s="13"/>
      <c r="P333" s="13"/>
      <c r="T333" s="13"/>
      <c r="X333" s="13"/>
      <c r="Y333" s="13"/>
      <c r="Z333" s="13"/>
      <c r="AA333" s="13"/>
      <c r="AS333" s="14"/>
      <c r="AT333" s="14"/>
      <c r="AU333" s="14"/>
    </row>
    <row r="334" ht="15.75" customHeight="1">
      <c r="B334" s="158"/>
      <c r="E334" s="13"/>
      <c r="I334" s="13"/>
      <c r="P334" s="13"/>
      <c r="T334" s="13"/>
      <c r="X334" s="13"/>
      <c r="Y334" s="13"/>
      <c r="Z334" s="13"/>
      <c r="AA334" s="13"/>
      <c r="AS334" s="14"/>
      <c r="AT334" s="14"/>
      <c r="AU334" s="14"/>
    </row>
    <row r="335" ht="15.75" customHeight="1">
      <c r="B335" s="158"/>
      <c r="E335" s="13"/>
      <c r="I335" s="13"/>
      <c r="P335" s="13"/>
      <c r="T335" s="13"/>
      <c r="X335" s="13"/>
      <c r="Y335" s="13"/>
      <c r="Z335" s="13"/>
      <c r="AA335" s="13"/>
      <c r="AS335" s="14"/>
      <c r="AT335" s="14"/>
      <c r="AU335" s="14"/>
    </row>
    <row r="336" ht="15.75" customHeight="1">
      <c r="B336" s="158"/>
      <c r="E336" s="13"/>
      <c r="I336" s="13"/>
      <c r="P336" s="13"/>
      <c r="T336" s="13"/>
      <c r="X336" s="13"/>
      <c r="Y336" s="13"/>
      <c r="Z336" s="13"/>
      <c r="AA336" s="13"/>
      <c r="AS336" s="14"/>
      <c r="AT336" s="14"/>
      <c r="AU336" s="14"/>
    </row>
    <row r="337" ht="15.75" customHeight="1">
      <c r="B337" s="158"/>
      <c r="E337" s="13"/>
      <c r="I337" s="13"/>
      <c r="P337" s="13"/>
      <c r="T337" s="13"/>
      <c r="X337" s="13"/>
      <c r="Y337" s="13"/>
      <c r="Z337" s="13"/>
      <c r="AA337" s="13"/>
      <c r="AS337" s="14"/>
      <c r="AT337" s="14"/>
      <c r="AU337" s="14"/>
    </row>
    <row r="338" ht="15.75" customHeight="1">
      <c r="B338" s="158"/>
      <c r="E338" s="13"/>
      <c r="I338" s="13"/>
      <c r="P338" s="13"/>
      <c r="T338" s="13"/>
      <c r="X338" s="13"/>
      <c r="Y338" s="13"/>
      <c r="Z338" s="13"/>
      <c r="AA338" s="13"/>
      <c r="AS338" s="14"/>
      <c r="AT338" s="14"/>
      <c r="AU338" s="14"/>
    </row>
    <row r="339" ht="15.75" customHeight="1">
      <c r="B339" s="158"/>
      <c r="E339" s="13"/>
      <c r="I339" s="13"/>
      <c r="P339" s="13"/>
      <c r="T339" s="13"/>
      <c r="X339" s="13"/>
      <c r="Y339" s="13"/>
      <c r="Z339" s="13"/>
      <c r="AA339" s="13"/>
      <c r="AS339" s="14"/>
      <c r="AT339" s="14"/>
      <c r="AU339" s="14"/>
    </row>
    <row r="340" ht="15.75" customHeight="1">
      <c r="B340" s="158"/>
      <c r="E340" s="13"/>
      <c r="I340" s="13"/>
      <c r="P340" s="13"/>
      <c r="T340" s="13"/>
      <c r="X340" s="13"/>
      <c r="Y340" s="13"/>
      <c r="Z340" s="13"/>
      <c r="AA340" s="13"/>
      <c r="AS340" s="14"/>
      <c r="AT340" s="14"/>
      <c r="AU340" s="14"/>
    </row>
    <row r="341" ht="15.75" customHeight="1">
      <c r="B341" s="158"/>
      <c r="E341" s="13"/>
      <c r="I341" s="13"/>
      <c r="P341" s="13"/>
      <c r="T341" s="13"/>
      <c r="X341" s="13"/>
      <c r="Y341" s="13"/>
      <c r="Z341" s="13"/>
      <c r="AA341" s="13"/>
      <c r="AS341" s="14"/>
      <c r="AT341" s="14"/>
      <c r="AU341" s="14"/>
    </row>
    <row r="342" ht="15.75" customHeight="1">
      <c r="B342" s="158"/>
      <c r="E342" s="13"/>
      <c r="I342" s="13"/>
      <c r="P342" s="13"/>
      <c r="T342" s="13"/>
      <c r="X342" s="13"/>
      <c r="Y342" s="13"/>
      <c r="Z342" s="13"/>
      <c r="AA342" s="13"/>
      <c r="AS342" s="14"/>
      <c r="AT342" s="14"/>
      <c r="AU342" s="14"/>
    </row>
    <row r="343" ht="15.75" customHeight="1">
      <c r="B343" s="158"/>
      <c r="E343" s="13"/>
      <c r="I343" s="13"/>
      <c r="P343" s="13"/>
      <c r="T343" s="13"/>
      <c r="X343" s="13"/>
      <c r="Y343" s="13"/>
      <c r="Z343" s="13"/>
      <c r="AA343" s="13"/>
      <c r="AS343" s="14"/>
      <c r="AT343" s="14"/>
      <c r="AU343" s="14"/>
    </row>
    <row r="344" ht="15.75" customHeight="1">
      <c r="B344" s="158"/>
      <c r="E344" s="13"/>
      <c r="I344" s="13"/>
      <c r="P344" s="13"/>
      <c r="T344" s="13"/>
      <c r="X344" s="13"/>
      <c r="Y344" s="13"/>
      <c r="Z344" s="13"/>
      <c r="AA344" s="13"/>
      <c r="AS344" s="14"/>
      <c r="AT344" s="14"/>
      <c r="AU344" s="14"/>
    </row>
    <row r="345" ht="15.75" customHeight="1">
      <c r="B345" s="158"/>
      <c r="E345" s="13"/>
      <c r="I345" s="13"/>
      <c r="P345" s="13"/>
      <c r="T345" s="13"/>
      <c r="X345" s="13"/>
      <c r="Y345" s="13"/>
      <c r="Z345" s="13"/>
      <c r="AA345" s="13"/>
      <c r="AS345" s="14"/>
      <c r="AT345" s="14"/>
      <c r="AU345" s="14"/>
    </row>
    <row r="346" ht="15.75" customHeight="1">
      <c r="B346" s="158"/>
      <c r="E346" s="13"/>
      <c r="I346" s="13"/>
      <c r="P346" s="13"/>
      <c r="T346" s="13"/>
      <c r="X346" s="13"/>
      <c r="Y346" s="13"/>
      <c r="Z346" s="13"/>
      <c r="AA346" s="13"/>
      <c r="AS346" s="14"/>
      <c r="AT346" s="14"/>
      <c r="AU346" s="14"/>
    </row>
    <row r="347" ht="15.75" customHeight="1">
      <c r="B347" s="158"/>
      <c r="E347" s="13"/>
      <c r="I347" s="13"/>
      <c r="P347" s="13"/>
      <c r="T347" s="13"/>
      <c r="X347" s="13"/>
      <c r="Y347" s="13"/>
      <c r="Z347" s="13"/>
      <c r="AA347" s="13"/>
      <c r="AS347" s="14"/>
      <c r="AT347" s="14"/>
      <c r="AU347" s="14"/>
    </row>
    <row r="348" ht="15.75" customHeight="1">
      <c r="B348" s="158"/>
      <c r="E348" s="13"/>
      <c r="I348" s="13"/>
      <c r="P348" s="13"/>
      <c r="T348" s="13"/>
      <c r="X348" s="13"/>
      <c r="Y348" s="13"/>
      <c r="Z348" s="13"/>
      <c r="AA348" s="13"/>
      <c r="AS348" s="14"/>
      <c r="AT348" s="14"/>
      <c r="AU348" s="14"/>
    </row>
    <row r="349" ht="15.75" customHeight="1">
      <c r="B349" s="158"/>
      <c r="E349" s="13"/>
      <c r="I349" s="13"/>
      <c r="P349" s="13"/>
      <c r="T349" s="13"/>
      <c r="X349" s="13"/>
      <c r="Y349" s="13"/>
      <c r="Z349" s="13"/>
      <c r="AA349" s="13"/>
      <c r="AS349" s="14"/>
      <c r="AT349" s="14"/>
      <c r="AU349" s="14"/>
    </row>
    <row r="350" ht="15.75" customHeight="1">
      <c r="B350" s="158"/>
      <c r="E350" s="13"/>
      <c r="I350" s="13"/>
      <c r="P350" s="13"/>
      <c r="T350" s="13"/>
      <c r="X350" s="13"/>
      <c r="Y350" s="13"/>
      <c r="Z350" s="13"/>
      <c r="AA350" s="13"/>
      <c r="AS350" s="14"/>
      <c r="AT350" s="14"/>
      <c r="AU350" s="14"/>
    </row>
    <row r="351" ht="15.75" customHeight="1">
      <c r="B351" s="158"/>
      <c r="E351" s="13"/>
      <c r="I351" s="13"/>
      <c r="P351" s="13"/>
      <c r="T351" s="13"/>
      <c r="X351" s="13"/>
      <c r="Y351" s="13"/>
      <c r="Z351" s="13"/>
      <c r="AA351" s="13"/>
      <c r="AS351" s="14"/>
      <c r="AT351" s="14"/>
      <c r="AU351" s="14"/>
    </row>
    <row r="352" ht="15.75" customHeight="1">
      <c r="B352" s="158"/>
      <c r="E352" s="13"/>
      <c r="I352" s="13"/>
      <c r="P352" s="13"/>
      <c r="T352" s="13"/>
      <c r="X352" s="13"/>
      <c r="Y352" s="13"/>
      <c r="Z352" s="13"/>
      <c r="AA352" s="13"/>
      <c r="AS352" s="14"/>
      <c r="AT352" s="14"/>
      <c r="AU352" s="14"/>
    </row>
    <row r="353" ht="15.75" customHeight="1">
      <c r="B353" s="158"/>
      <c r="E353" s="13"/>
      <c r="I353" s="13"/>
      <c r="P353" s="13"/>
      <c r="T353" s="13"/>
      <c r="X353" s="13"/>
      <c r="Y353" s="13"/>
      <c r="Z353" s="13"/>
      <c r="AA353" s="13"/>
      <c r="AS353" s="14"/>
      <c r="AT353" s="14"/>
      <c r="AU353" s="14"/>
    </row>
    <row r="354" ht="15.75" customHeight="1">
      <c r="B354" s="158"/>
      <c r="E354" s="13"/>
      <c r="I354" s="13"/>
      <c r="P354" s="13"/>
      <c r="T354" s="13"/>
      <c r="X354" s="13"/>
      <c r="Y354" s="13"/>
      <c r="Z354" s="13"/>
      <c r="AA354" s="13"/>
      <c r="AS354" s="14"/>
      <c r="AT354" s="14"/>
      <c r="AU354" s="14"/>
    </row>
    <row r="355" ht="15.75" customHeight="1">
      <c r="B355" s="158"/>
      <c r="E355" s="13"/>
      <c r="I355" s="13"/>
      <c r="P355" s="13"/>
      <c r="T355" s="13"/>
      <c r="X355" s="13"/>
      <c r="Y355" s="13"/>
      <c r="Z355" s="13"/>
      <c r="AA355" s="13"/>
      <c r="AS355" s="14"/>
      <c r="AT355" s="14"/>
      <c r="AU355" s="14"/>
    </row>
    <row r="356" ht="15.75" customHeight="1">
      <c r="B356" s="158"/>
      <c r="E356" s="13"/>
      <c r="I356" s="13"/>
      <c r="P356" s="13"/>
      <c r="T356" s="13"/>
      <c r="X356" s="13"/>
      <c r="Y356" s="13"/>
      <c r="Z356" s="13"/>
      <c r="AA356" s="13"/>
      <c r="AS356" s="14"/>
      <c r="AT356" s="14"/>
      <c r="AU356" s="14"/>
    </row>
    <row r="357" ht="15.75" customHeight="1">
      <c r="B357" s="158"/>
      <c r="E357" s="13"/>
      <c r="I357" s="13"/>
      <c r="P357" s="13"/>
      <c r="T357" s="13"/>
      <c r="X357" s="13"/>
      <c r="Y357" s="13"/>
      <c r="Z357" s="13"/>
      <c r="AA357" s="13"/>
      <c r="AS357" s="14"/>
      <c r="AT357" s="14"/>
      <c r="AU357" s="14"/>
    </row>
    <row r="358" ht="15.75" customHeight="1">
      <c r="B358" s="158"/>
      <c r="E358" s="13"/>
      <c r="I358" s="13"/>
      <c r="P358" s="13"/>
      <c r="T358" s="13"/>
      <c r="X358" s="13"/>
      <c r="Y358" s="13"/>
      <c r="Z358" s="13"/>
      <c r="AA358" s="13"/>
      <c r="AS358" s="14"/>
      <c r="AT358" s="14"/>
      <c r="AU358" s="14"/>
    </row>
    <row r="359" ht="15.75" customHeight="1">
      <c r="B359" s="158"/>
      <c r="E359" s="13"/>
      <c r="I359" s="13"/>
      <c r="P359" s="13"/>
      <c r="T359" s="13"/>
      <c r="X359" s="13"/>
      <c r="Y359" s="13"/>
      <c r="Z359" s="13"/>
      <c r="AA359" s="13"/>
      <c r="AS359" s="14"/>
      <c r="AT359" s="14"/>
      <c r="AU359" s="14"/>
    </row>
    <row r="360" ht="15.75" customHeight="1">
      <c r="B360" s="158"/>
      <c r="E360" s="13"/>
      <c r="I360" s="13"/>
      <c r="P360" s="13"/>
      <c r="T360" s="13"/>
      <c r="X360" s="13"/>
      <c r="Y360" s="13"/>
      <c r="Z360" s="13"/>
      <c r="AA360" s="13"/>
      <c r="AS360" s="14"/>
      <c r="AT360" s="14"/>
      <c r="AU360" s="14"/>
    </row>
    <row r="361" ht="15.75" customHeight="1">
      <c r="B361" s="158"/>
      <c r="E361" s="13"/>
      <c r="I361" s="13"/>
      <c r="P361" s="13"/>
      <c r="T361" s="13"/>
      <c r="X361" s="13"/>
      <c r="Y361" s="13"/>
      <c r="Z361" s="13"/>
      <c r="AA361" s="13"/>
      <c r="AS361" s="14"/>
      <c r="AT361" s="14"/>
      <c r="AU361" s="14"/>
    </row>
    <row r="362" ht="15.75" customHeight="1">
      <c r="B362" s="158"/>
      <c r="E362" s="13"/>
      <c r="I362" s="13"/>
      <c r="P362" s="13"/>
      <c r="T362" s="13"/>
      <c r="X362" s="13"/>
      <c r="Y362" s="13"/>
      <c r="Z362" s="13"/>
      <c r="AA362" s="13"/>
      <c r="AS362" s="14"/>
      <c r="AT362" s="14"/>
      <c r="AU362" s="14"/>
    </row>
    <row r="363" ht="15.75" customHeight="1">
      <c r="B363" s="158"/>
      <c r="E363" s="13"/>
      <c r="I363" s="13"/>
      <c r="P363" s="13"/>
      <c r="T363" s="13"/>
      <c r="X363" s="13"/>
      <c r="Y363" s="13"/>
      <c r="Z363" s="13"/>
      <c r="AA363" s="13"/>
      <c r="AS363" s="14"/>
      <c r="AT363" s="14"/>
      <c r="AU363" s="14"/>
    </row>
    <row r="364" ht="15.75" customHeight="1">
      <c r="B364" s="158"/>
      <c r="E364" s="13"/>
      <c r="I364" s="13"/>
      <c r="P364" s="13"/>
      <c r="T364" s="13"/>
      <c r="X364" s="13"/>
      <c r="Y364" s="13"/>
      <c r="Z364" s="13"/>
      <c r="AA364" s="13"/>
      <c r="AS364" s="14"/>
      <c r="AT364" s="14"/>
      <c r="AU364" s="14"/>
    </row>
    <row r="365" ht="15.75" customHeight="1">
      <c r="B365" s="158"/>
      <c r="E365" s="13"/>
      <c r="I365" s="13"/>
      <c r="P365" s="13"/>
      <c r="T365" s="13"/>
      <c r="X365" s="13"/>
      <c r="Y365" s="13"/>
      <c r="Z365" s="13"/>
      <c r="AA365" s="13"/>
      <c r="AS365" s="14"/>
      <c r="AT365" s="14"/>
      <c r="AU365" s="14"/>
    </row>
    <row r="366" ht="15.75" customHeight="1">
      <c r="B366" s="158"/>
      <c r="E366" s="13"/>
      <c r="I366" s="13"/>
      <c r="P366" s="13"/>
      <c r="T366" s="13"/>
      <c r="X366" s="13"/>
      <c r="Y366" s="13"/>
      <c r="Z366" s="13"/>
      <c r="AA366" s="13"/>
      <c r="AS366" s="14"/>
      <c r="AT366" s="14"/>
      <c r="AU366" s="14"/>
    </row>
    <row r="367" ht="15.75" customHeight="1">
      <c r="B367" s="158"/>
      <c r="E367" s="13"/>
      <c r="I367" s="13"/>
      <c r="P367" s="13"/>
      <c r="T367" s="13"/>
      <c r="X367" s="13"/>
      <c r="Y367" s="13"/>
      <c r="Z367" s="13"/>
      <c r="AA367" s="13"/>
      <c r="AS367" s="14"/>
      <c r="AT367" s="14"/>
      <c r="AU367" s="14"/>
    </row>
    <row r="368" ht="15.75" customHeight="1">
      <c r="B368" s="158"/>
      <c r="E368" s="13"/>
      <c r="I368" s="13"/>
      <c r="P368" s="13"/>
      <c r="T368" s="13"/>
      <c r="X368" s="13"/>
      <c r="Y368" s="13"/>
      <c r="Z368" s="13"/>
      <c r="AA368" s="13"/>
      <c r="AS368" s="14"/>
      <c r="AT368" s="14"/>
      <c r="AU368" s="14"/>
    </row>
    <row r="369" ht="15.75" customHeight="1">
      <c r="B369" s="158"/>
      <c r="E369" s="13"/>
      <c r="I369" s="13"/>
      <c r="P369" s="13"/>
      <c r="T369" s="13"/>
      <c r="X369" s="13"/>
      <c r="Y369" s="13"/>
      <c r="Z369" s="13"/>
      <c r="AA369" s="13"/>
      <c r="AS369" s="14"/>
      <c r="AT369" s="14"/>
      <c r="AU369" s="14"/>
    </row>
    <row r="370" ht="15.75" customHeight="1">
      <c r="B370" s="158"/>
      <c r="E370" s="13"/>
      <c r="I370" s="13"/>
      <c r="P370" s="13"/>
      <c r="T370" s="13"/>
      <c r="X370" s="13"/>
      <c r="Y370" s="13"/>
      <c r="Z370" s="13"/>
      <c r="AA370" s="13"/>
      <c r="AS370" s="14"/>
      <c r="AT370" s="14"/>
      <c r="AU370" s="14"/>
    </row>
    <row r="371" ht="15.75" customHeight="1">
      <c r="B371" s="158"/>
      <c r="E371" s="13"/>
      <c r="I371" s="13"/>
      <c r="P371" s="13"/>
      <c r="T371" s="13"/>
      <c r="X371" s="13"/>
      <c r="Y371" s="13"/>
      <c r="Z371" s="13"/>
      <c r="AA371" s="13"/>
      <c r="AS371" s="14"/>
      <c r="AT371" s="14"/>
      <c r="AU371" s="14"/>
    </row>
    <row r="372" ht="15.75" customHeight="1">
      <c r="B372" s="158"/>
      <c r="E372" s="13"/>
      <c r="I372" s="13"/>
      <c r="P372" s="13"/>
      <c r="T372" s="13"/>
      <c r="X372" s="13"/>
      <c r="Y372" s="13"/>
      <c r="Z372" s="13"/>
      <c r="AA372" s="13"/>
      <c r="AS372" s="14"/>
      <c r="AT372" s="14"/>
      <c r="AU372" s="14"/>
    </row>
    <row r="373" ht="15.75" customHeight="1">
      <c r="B373" s="158"/>
      <c r="E373" s="13"/>
      <c r="I373" s="13"/>
      <c r="P373" s="13"/>
      <c r="T373" s="13"/>
      <c r="X373" s="13"/>
      <c r="Y373" s="13"/>
      <c r="Z373" s="13"/>
      <c r="AA373" s="13"/>
      <c r="AS373" s="14"/>
      <c r="AT373" s="14"/>
      <c r="AU373" s="14"/>
    </row>
    <row r="374" ht="15.75" customHeight="1">
      <c r="B374" s="158"/>
      <c r="E374" s="13"/>
      <c r="I374" s="13"/>
      <c r="P374" s="13"/>
      <c r="T374" s="13"/>
      <c r="X374" s="13"/>
      <c r="Y374" s="13"/>
      <c r="Z374" s="13"/>
      <c r="AA374" s="13"/>
      <c r="AS374" s="14"/>
      <c r="AT374" s="14"/>
      <c r="AU374" s="14"/>
    </row>
    <row r="375" ht="15.75" customHeight="1">
      <c r="B375" s="158"/>
      <c r="E375" s="13"/>
      <c r="I375" s="13"/>
      <c r="P375" s="13"/>
      <c r="T375" s="13"/>
      <c r="X375" s="13"/>
      <c r="Y375" s="13"/>
      <c r="Z375" s="13"/>
      <c r="AA375" s="13"/>
      <c r="AS375" s="14"/>
      <c r="AT375" s="14"/>
      <c r="AU375" s="14"/>
    </row>
    <row r="376" ht="15.75" customHeight="1">
      <c r="B376" s="158"/>
      <c r="E376" s="13"/>
      <c r="I376" s="13"/>
      <c r="P376" s="13"/>
      <c r="T376" s="13"/>
      <c r="X376" s="13"/>
      <c r="Y376" s="13"/>
      <c r="Z376" s="13"/>
      <c r="AA376" s="13"/>
      <c r="AS376" s="14"/>
      <c r="AT376" s="14"/>
      <c r="AU376" s="14"/>
    </row>
    <row r="377" ht="15.75" customHeight="1">
      <c r="B377" s="158"/>
      <c r="E377" s="13"/>
      <c r="I377" s="13"/>
      <c r="P377" s="13"/>
      <c r="T377" s="13"/>
      <c r="X377" s="13"/>
      <c r="Y377" s="13"/>
      <c r="Z377" s="13"/>
      <c r="AA377" s="13"/>
      <c r="AS377" s="14"/>
      <c r="AT377" s="14"/>
      <c r="AU377" s="14"/>
    </row>
    <row r="378" ht="15.75" customHeight="1">
      <c r="B378" s="158"/>
      <c r="E378" s="13"/>
      <c r="I378" s="13"/>
      <c r="P378" s="13"/>
      <c r="T378" s="13"/>
      <c r="X378" s="13"/>
      <c r="Y378" s="13"/>
      <c r="Z378" s="13"/>
      <c r="AA378" s="13"/>
      <c r="AS378" s="14"/>
      <c r="AT378" s="14"/>
      <c r="AU378" s="14"/>
    </row>
    <row r="379" ht="15.75" customHeight="1">
      <c r="B379" s="158"/>
      <c r="E379" s="13"/>
      <c r="I379" s="13"/>
      <c r="P379" s="13"/>
      <c r="T379" s="13"/>
      <c r="X379" s="13"/>
      <c r="Y379" s="13"/>
      <c r="Z379" s="13"/>
      <c r="AA379" s="13"/>
      <c r="AS379" s="14"/>
      <c r="AT379" s="14"/>
      <c r="AU379" s="14"/>
    </row>
    <row r="380" ht="15.75" customHeight="1">
      <c r="B380" s="158"/>
      <c r="E380" s="13"/>
      <c r="I380" s="13"/>
      <c r="P380" s="13"/>
      <c r="T380" s="13"/>
      <c r="X380" s="13"/>
      <c r="Y380" s="13"/>
      <c r="Z380" s="13"/>
      <c r="AA380" s="13"/>
      <c r="AS380" s="14"/>
      <c r="AT380" s="14"/>
      <c r="AU380" s="14"/>
    </row>
    <row r="381" ht="15.75" customHeight="1">
      <c r="B381" s="158"/>
      <c r="E381" s="13"/>
      <c r="I381" s="13"/>
      <c r="P381" s="13"/>
      <c r="T381" s="13"/>
      <c r="X381" s="13"/>
      <c r="Y381" s="13"/>
      <c r="Z381" s="13"/>
      <c r="AA381" s="13"/>
      <c r="AS381" s="14"/>
      <c r="AT381" s="14"/>
      <c r="AU381" s="14"/>
    </row>
    <row r="382" ht="15.75" customHeight="1">
      <c r="B382" s="158"/>
      <c r="E382" s="13"/>
      <c r="I382" s="13"/>
      <c r="P382" s="13"/>
      <c r="T382" s="13"/>
      <c r="X382" s="13"/>
      <c r="Y382" s="13"/>
      <c r="Z382" s="13"/>
      <c r="AA382" s="13"/>
      <c r="AS382" s="14"/>
      <c r="AT382" s="14"/>
      <c r="AU382" s="14"/>
    </row>
    <row r="383" ht="15.75" customHeight="1">
      <c r="B383" s="158"/>
      <c r="E383" s="13"/>
      <c r="I383" s="13"/>
      <c r="P383" s="13"/>
      <c r="T383" s="13"/>
      <c r="X383" s="13"/>
      <c r="Y383" s="13"/>
      <c r="Z383" s="13"/>
      <c r="AA383" s="13"/>
      <c r="AS383" s="14"/>
      <c r="AT383" s="14"/>
      <c r="AU383" s="14"/>
    </row>
    <row r="384" ht="15.75" customHeight="1">
      <c r="B384" s="158"/>
      <c r="E384" s="13"/>
      <c r="I384" s="13"/>
      <c r="P384" s="13"/>
      <c r="T384" s="13"/>
      <c r="X384" s="13"/>
      <c r="Y384" s="13"/>
      <c r="Z384" s="13"/>
      <c r="AA384" s="13"/>
      <c r="AS384" s="14"/>
      <c r="AT384" s="14"/>
      <c r="AU384" s="14"/>
    </row>
    <row r="385" ht="15.75" customHeight="1">
      <c r="B385" s="158"/>
      <c r="E385" s="13"/>
      <c r="I385" s="13"/>
      <c r="P385" s="13"/>
      <c r="T385" s="13"/>
      <c r="X385" s="13"/>
      <c r="Y385" s="13"/>
      <c r="Z385" s="13"/>
      <c r="AA385" s="13"/>
      <c r="AS385" s="14"/>
      <c r="AT385" s="14"/>
      <c r="AU385" s="14"/>
    </row>
    <row r="386" ht="15.75" customHeight="1">
      <c r="B386" s="158"/>
      <c r="E386" s="13"/>
      <c r="I386" s="13"/>
      <c r="P386" s="13"/>
      <c r="T386" s="13"/>
      <c r="X386" s="13"/>
      <c r="Y386" s="13"/>
      <c r="Z386" s="13"/>
      <c r="AA386" s="13"/>
      <c r="AS386" s="14"/>
      <c r="AT386" s="14"/>
      <c r="AU386" s="14"/>
    </row>
    <row r="387" ht="15.75" customHeight="1">
      <c r="B387" s="158"/>
      <c r="E387" s="13"/>
      <c r="I387" s="13"/>
      <c r="P387" s="13"/>
      <c r="T387" s="13"/>
      <c r="X387" s="13"/>
      <c r="Y387" s="13"/>
      <c r="Z387" s="13"/>
      <c r="AA387" s="13"/>
      <c r="AS387" s="14"/>
      <c r="AT387" s="14"/>
      <c r="AU387" s="14"/>
    </row>
    <row r="388" ht="15.75" customHeight="1">
      <c r="B388" s="158"/>
      <c r="E388" s="13"/>
      <c r="I388" s="13"/>
      <c r="P388" s="13"/>
      <c r="T388" s="13"/>
      <c r="X388" s="13"/>
      <c r="Y388" s="13"/>
      <c r="Z388" s="13"/>
      <c r="AA388" s="13"/>
      <c r="AS388" s="14"/>
      <c r="AT388" s="14"/>
      <c r="AU388" s="14"/>
    </row>
    <row r="389" ht="15.75" customHeight="1">
      <c r="B389" s="158"/>
      <c r="E389" s="13"/>
      <c r="I389" s="13"/>
      <c r="P389" s="13"/>
      <c r="T389" s="13"/>
      <c r="X389" s="13"/>
      <c r="Y389" s="13"/>
      <c r="Z389" s="13"/>
      <c r="AA389" s="13"/>
      <c r="AS389" s="14"/>
      <c r="AT389" s="14"/>
      <c r="AU389" s="14"/>
    </row>
    <row r="390" ht="15.75" customHeight="1">
      <c r="B390" s="158"/>
      <c r="E390" s="13"/>
      <c r="I390" s="13"/>
      <c r="P390" s="13"/>
      <c r="T390" s="13"/>
      <c r="X390" s="13"/>
      <c r="Y390" s="13"/>
      <c r="Z390" s="13"/>
      <c r="AA390" s="13"/>
      <c r="AS390" s="14"/>
      <c r="AT390" s="14"/>
      <c r="AU390" s="14"/>
    </row>
    <row r="391" ht="15.75" customHeight="1">
      <c r="B391" s="158"/>
      <c r="E391" s="13"/>
      <c r="I391" s="13"/>
      <c r="P391" s="13"/>
      <c r="T391" s="13"/>
      <c r="X391" s="13"/>
      <c r="Y391" s="13"/>
      <c r="Z391" s="13"/>
      <c r="AA391" s="13"/>
      <c r="AS391" s="14"/>
      <c r="AT391" s="14"/>
      <c r="AU391" s="14"/>
    </row>
    <row r="392" ht="15.75" customHeight="1">
      <c r="B392" s="158"/>
      <c r="E392" s="13"/>
      <c r="I392" s="13"/>
      <c r="P392" s="13"/>
      <c r="T392" s="13"/>
      <c r="X392" s="13"/>
      <c r="Y392" s="13"/>
      <c r="Z392" s="13"/>
      <c r="AA392" s="13"/>
      <c r="AS392" s="14"/>
      <c r="AT392" s="14"/>
      <c r="AU392" s="14"/>
    </row>
    <row r="393" ht="15.75" customHeight="1">
      <c r="B393" s="158"/>
      <c r="E393" s="13"/>
      <c r="I393" s="13"/>
      <c r="P393" s="13"/>
      <c r="T393" s="13"/>
      <c r="X393" s="13"/>
      <c r="Y393" s="13"/>
      <c r="Z393" s="13"/>
      <c r="AA393" s="13"/>
      <c r="AS393" s="14"/>
      <c r="AT393" s="14"/>
      <c r="AU393" s="14"/>
    </row>
    <row r="394" ht="15.75" customHeight="1">
      <c r="B394" s="158"/>
      <c r="E394" s="13"/>
      <c r="I394" s="13"/>
      <c r="P394" s="13"/>
      <c r="T394" s="13"/>
      <c r="X394" s="13"/>
      <c r="Y394" s="13"/>
      <c r="Z394" s="13"/>
      <c r="AA394" s="13"/>
      <c r="AS394" s="14"/>
      <c r="AT394" s="14"/>
      <c r="AU394" s="14"/>
    </row>
    <row r="395" ht="15.75" customHeight="1">
      <c r="B395" s="158"/>
      <c r="E395" s="13"/>
      <c r="I395" s="13"/>
      <c r="P395" s="13"/>
      <c r="T395" s="13"/>
      <c r="X395" s="13"/>
      <c r="Y395" s="13"/>
      <c r="Z395" s="13"/>
      <c r="AA395" s="13"/>
      <c r="AS395" s="14"/>
      <c r="AT395" s="14"/>
      <c r="AU395" s="14"/>
    </row>
    <row r="396" ht="15.75" customHeight="1">
      <c r="B396" s="158"/>
      <c r="E396" s="13"/>
      <c r="I396" s="13"/>
      <c r="P396" s="13"/>
      <c r="T396" s="13"/>
      <c r="X396" s="13"/>
      <c r="Y396" s="13"/>
      <c r="Z396" s="13"/>
      <c r="AA396" s="13"/>
      <c r="AS396" s="14"/>
      <c r="AT396" s="14"/>
      <c r="AU396" s="14"/>
    </row>
    <row r="397" ht="15.75" customHeight="1">
      <c r="B397" s="158"/>
      <c r="E397" s="13"/>
      <c r="I397" s="13"/>
      <c r="P397" s="13"/>
      <c r="T397" s="13"/>
      <c r="X397" s="13"/>
      <c r="Y397" s="13"/>
      <c r="Z397" s="13"/>
      <c r="AA397" s="13"/>
      <c r="AS397" s="14"/>
      <c r="AT397" s="14"/>
      <c r="AU397" s="14"/>
    </row>
    <row r="398" ht="15.75" customHeight="1">
      <c r="B398" s="158"/>
      <c r="E398" s="13"/>
      <c r="I398" s="13"/>
      <c r="P398" s="13"/>
      <c r="T398" s="13"/>
      <c r="X398" s="13"/>
      <c r="Y398" s="13"/>
      <c r="Z398" s="13"/>
      <c r="AA398" s="13"/>
      <c r="AS398" s="14"/>
      <c r="AT398" s="14"/>
      <c r="AU398" s="14"/>
    </row>
    <row r="399" ht="15.75" customHeight="1">
      <c r="B399" s="158"/>
      <c r="E399" s="13"/>
      <c r="I399" s="13"/>
      <c r="P399" s="13"/>
      <c r="T399" s="13"/>
      <c r="X399" s="13"/>
      <c r="Y399" s="13"/>
      <c r="Z399" s="13"/>
      <c r="AA399" s="13"/>
      <c r="AS399" s="14"/>
      <c r="AT399" s="14"/>
      <c r="AU399" s="14"/>
    </row>
    <row r="400" ht="15.75" customHeight="1">
      <c r="B400" s="158"/>
      <c r="E400" s="13"/>
      <c r="I400" s="13"/>
      <c r="P400" s="13"/>
      <c r="T400" s="13"/>
      <c r="X400" s="13"/>
      <c r="Y400" s="13"/>
      <c r="Z400" s="13"/>
      <c r="AA400" s="13"/>
      <c r="AS400" s="14"/>
      <c r="AT400" s="14"/>
      <c r="AU400" s="14"/>
    </row>
    <row r="401" ht="15.75" customHeight="1">
      <c r="B401" s="158"/>
      <c r="E401" s="13"/>
      <c r="I401" s="13"/>
      <c r="P401" s="13"/>
      <c r="T401" s="13"/>
      <c r="X401" s="13"/>
      <c r="Y401" s="13"/>
      <c r="Z401" s="13"/>
      <c r="AA401" s="13"/>
      <c r="AS401" s="14"/>
      <c r="AT401" s="14"/>
      <c r="AU401" s="14"/>
    </row>
    <row r="402" ht="15.75" customHeight="1">
      <c r="B402" s="158"/>
      <c r="E402" s="13"/>
      <c r="I402" s="13"/>
      <c r="P402" s="13"/>
      <c r="T402" s="13"/>
      <c r="X402" s="13"/>
      <c r="Y402" s="13"/>
      <c r="Z402" s="13"/>
      <c r="AA402" s="13"/>
      <c r="AS402" s="14"/>
      <c r="AT402" s="14"/>
      <c r="AU402" s="14"/>
    </row>
    <row r="403" ht="15.75" customHeight="1">
      <c r="B403" s="158"/>
      <c r="E403" s="13"/>
      <c r="I403" s="13"/>
      <c r="P403" s="13"/>
      <c r="T403" s="13"/>
      <c r="X403" s="13"/>
      <c r="Y403" s="13"/>
      <c r="Z403" s="13"/>
      <c r="AA403" s="13"/>
      <c r="AS403" s="14"/>
      <c r="AT403" s="14"/>
      <c r="AU403" s="14"/>
    </row>
    <row r="404" ht="15.75" customHeight="1">
      <c r="B404" s="158"/>
      <c r="E404" s="13"/>
      <c r="I404" s="13"/>
      <c r="P404" s="13"/>
      <c r="T404" s="13"/>
      <c r="X404" s="13"/>
      <c r="Y404" s="13"/>
      <c r="Z404" s="13"/>
      <c r="AA404" s="13"/>
      <c r="AS404" s="14"/>
      <c r="AT404" s="14"/>
      <c r="AU404" s="14"/>
    </row>
    <row r="405" ht="15.75" customHeight="1">
      <c r="B405" s="158"/>
      <c r="E405" s="13"/>
      <c r="I405" s="13"/>
      <c r="P405" s="13"/>
      <c r="T405" s="13"/>
      <c r="X405" s="13"/>
      <c r="Y405" s="13"/>
      <c r="Z405" s="13"/>
      <c r="AA405" s="13"/>
      <c r="AS405" s="14"/>
      <c r="AT405" s="14"/>
      <c r="AU405" s="14"/>
    </row>
    <row r="406" ht="15.75" customHeight="1">
      <c r="B406" s="158"/>
      <c r="E406" s="13"/>
      <c r="I406" s="13"/>
      <c r="P406" s="13"/>
      <c r="T406" s="13"/>
      <c r="X406" s="13"/>
      <c r="Y406" s="13"/>
      <c r="Z406" s="13"/>
      <c r="AA406" s="13"/>
      <c r="AS406" s="14"/>
      <c r="AT406" s="14"/>
      <c r="AU406" s="14"/>
    </row>
    <row r="407" ht="15.75" customHeight="1">
      <c r="B407" s="158"/>
      <c r="E407" s="13"/>
      <c r="I407" s="13"/>
      <c r="P407" s="13"/>
      <c r="T407" s="13"/>
      <c r="X407" s="13"/>
      <c r="Y407" s="13"/>
      <c r="Z407" s="13"/>
      <c r="AA407" s="13"/>
      <c r="AS407" s="14"/>
      <c r="AT407" s="14"/>
      <c r="AU407" s="14"/>
    </row>
    <row r="408" ht="15.75" customHeight="1">
      <c r="B408" s="158"/>
      <c r="E408" s="13"/>
      <c r="I408" s="13"/>
      <c r="P408" s="13"/>
      <c r="T408" s="13"/>
      <c r="X408" s="13"/>
      <c r="Y408" s="13"/>
      <c r="Z408" s="13"/>
      <c r="AA408" s="13"/>
      <c r="AS408" s="14"/>
      <c r="AT408" s="14"/>
      <c r="AU408" s="14"/>
    </row>
    <row r="409" ht="15.75" customHeight="1">
      <c r="B409" s="158"/>
      <c r="E409" s="13"/>
      <c r="I409" s="13"/>
      <c r="P409" s="13"/>
      <c r="T409" s="13"/>
      <c r="X409" s="13"/>
      <c r="Y409" s="13"/>
      <c r="Z409" s="13"/>
      <c r="AA409" s="13"/>
      <c r="AS409" s="14"/>
      <c r="AT409" s="14"/>
      <c r="AU409" s="14"/>
    </row>
    <row r="410" ht="15.75" customHeight="1">
      <c r="B410" s="158"/>
      <c r="E410" s="13"/>
      <c r="I410" s="13"/>
      <c r="P410" s="13"/>
      <c r="T410" s="13"/>
      <c r="X410" s="13"/>
      <c r="Y410" s="13"/>
      <c r="Z410" s="13"/>
      <c r="AA410" s="13"/>
      <c r="AS410" s="14"/>
      <c r="AT410" s="14"/>
      <c r="AU410" s="14"/>
    </row>
    <row r="411" ht="15.75" customHeight="1">
      <c r="B411" s="158"/>
      <c r="E411" s="13"/>
      <c r="I411" s="13"/>
      <c r="P411" s="13"/>
      <c r="T411" s="13"/>
      <c r="X411" s="13"/>
      <c r="Y411" s="13"/>
      <c r="Z411" s="13"/>
      <c r="AA411" s="13"/>
      <c r="AS411" s="14"/>
      <c r="AT411" s="14"/>
      <c r="AU411" s="14"/>
    </row>
    <row r="412" ht="15.75" customHeight="1">
      <c r="B412" s="158"/>
      <c r="E412" s="13"/>
      <c r="I412" s="13"/>
      <c r="P412" s="13"/>
      <c r="T412" s="13"/>
      <c r="X412" s="13"/>
      <c r="Y412" s="13"/>
      <c r="Z412" s="13"/>
      <c r="AA412" s="13"/>
      <c r="AS412" s="14"/>
      <c r="AT412" s="14"/>
      <c r="AU412" s="14"/>
    </row>
    <row r="413" ht="15.75" customHeight="1">
      <c r="B413" s="158"/>
      <c r="E413" s="13"/>
      <c r="I413" s="13"/>
      <c r="P413" s="13"/>
      <c r="T413" s="13"/>
      <c r="X413" s="13"/>
      <c r="Y413" s="13"/>
      <c r="Z413" s="13"/>
      <c r="AA413" s="13"/>
      <c r="AS413" s="14"/>
      <c r="AT413" s="14"/>
      <c r="AU413" s="14"/>
    </row>
    <row r="414" ht="15.75" customHeight="1">
      <c r="B414" s="158"/>
      <c r="E414" s="13"/>
      <c r="I414" s="13"/>
      <c r="P414" s="13"/>
      <c r="T414" s="13"/>
      <c r="X414" s="13"/>
      <c r="Y414" s="13"/>
      <c r="Z414" s="13"/>
      <c r="AA414" s="13"/>
      <c r="AS414" s="14"/>
      <c r="AT414" s="14"/>
      <c r="AU414" s="14"/>
    </row>
    <row r="415" ht="15.75" customHeight="1">
      <c r="B415" s="158"/>
      <c r="E415" s="13"/>
      <c r="I415" s="13"/>
      <c r="P415" s="13"/>
      <c r="T415" s="13"/>
      <c r="X415" s="13"/>
      <c r="Y415" s="13"/>
      <c r="Z415" s="13"/>
      <c r="AA415" s="13"/>
      <c r="AS415" s="14"/>
      <c r="AT415" s="14"/>
      <c r="AU415" s="14"/>
    </row>
    <row r="416" ht="15.75" customHeight="1">
      <c r="B416" s="158"/>
      <c r="E416" s="13"/>
      <c r="I416" s="13"/>
      <c r="P416" s="13"/>
      <c r="T416" s="13"/>
      <c r="X416" s="13"/>
      <c r="Y416" s="13"/>
      <c r="Z416" s="13"/>
      <c r="AA416" s="13"/>
      <c r="AS416" s="14"/>
      <c r="AT416" s="14"/>
      <c r="AU416" s="14"/>
    </row>
    <row r="417" ht="15.75" customHeight="1">
      <c r="B417" s="158"/>
      <c r="E417" s="13"/>
      <c r="I417" s="13"/>
      <c r="P417" s="13"/>
      <c r="T417" s="13"/>
      <c r="X417" s="13"/>
      <c r="Y417" s="13"/>
      <c r="Z417" s="13"/>
      <c r="AA417" s="13"/>
      <c r="AS417" s="14"/>
      <c r="AT417" s="14"/>
      <c r="AU417" s="14"/>
    </row>
    <row r="418" ht="15.75" customHeight="1">
      <c r="B418" s="158"/>
      <c r="E418" s="13"/>
      <c r="I418" s="13"/>
      <c r="P418" s="13"/>
      <c r="T418" s="13"/>
      <c r="X418" s="13"/>
      <c r="Y418" s="13"/>
      <c r="Z418" s="13"/>
      <c r="AA418" s="13"/>
      <c r="AS418" s="14"/>
      <c r="AT418" s="14"/>
      <c r="AU418" s="14"/>
    </row>
    <row r="419" ht="15.75" customHeight="1">
      <c r="B419" s="158"/>
      <c r="E419" s="13"/>
      <c r="I419" s="13"/>
      <c r="P419" s="13"/>
      <c r="T419" s="13"/>
      <c r="X419" s="13"/>
      <c r="Y419" s="13"/>
      <c r="Z419" s="13"/>
      <c r="AA419" s="13"/>
      <c r="AS419" s="14"/>
      <c r="AT419" s="14"/>
      <c r="AU419" s="14"/>
    </row>
    <row r="420" ht="15.75" customHeight="1">
      <c r="B420" s="158"/>
      <c r="E420" s="13"/>
      <c r="I420" s="13"/>
      <c r="P420" s="13"/>
      <c r="T420" s="13"/>
      <c r="X420" s="13"/>
      <c r="Y420" s="13"/>
      <c r="Z420" s="13"/>
      <c r="AA420" s="13"/>
      <c r="AS420" s="14"/>
      <c r="AT420" s="14"/>
      <c r="AU420" s="14"/>
    </row>
    <row r="421" ht="15.75" customHeight="1">
      <c r="B421" s="158"/>
      <c r="E421" s="13"/>
      <c r="I421" s="13"/>
      <c r="P421" s="13"/>
      <c r="T421" s="13"/>
      <c r="X421" s="13"/>
      <c r="Y421" s="13"/>
      <c r="Z421" s="13"/>
      <c r="AA421" s="13"/>
      <c r="AS421" s="14"/>
      <c r="AT421" s="14"/>
      <c r="AU421" s="14"/>
    </row>
    <row r="422" ht="15.75" customHeight="1">
      <c r="B422" s="158"/>
      <c r="E422" s="13"/>
      <c r="I422" s="13"/>
      <c r="P422" s="13"/>
      <c r="T422" s="13"/>
      <c r="X422" s="13"/>
      <c r="Y422" s="13"/>
      <c r="Z422" s="13"/>
      <c r="AA422" s="13"/>
      <c r="AS422" s="14"/>
      <c r="AT422" s="14"/>
      <c r="AU422" s="14"/>
    </row>
    <row r="423" ht="15.75" customHeight="1">
      <c r="B423" s="158"/>
      <c r="E423" s="13"/>
      <c r="I423" s="13"/>
      <c r="P423" s="13"/>
      <c r="T423" s="13"/>
      <c r="X423" s="13"/>
      <c r="Y423" s="13"/>
      <c r="Z423" s="13"/>
      <c r="AA423" s="13"/>
      <c r="AS423" s="14"/>
      <c r="AT423" s="14"/>
      <c r="AU423" s="14"/>
    </row>
    <row r="424" ht="15.75" customHeight="1">
      <c r="B424" s="158"/>
      <c r="E424" s="13"/>
      <c r="I424" s="13"/>
      <c r="P424" s="13"/>
      <c r="T424" s="13"/>
      <c r="X424" s="13"/>
      <c r="Y424" s="13"/>
      <c r="Z424" s="13"/>
      <c r="AA424" s="13"/>
      <c r="AS424" s="14"/>
      <c r="AT424" s="14"/>
      <c r="AU424" s="14"/>
    </row>
    <row r="425" ht="15.75" customHeight="1">
      <c r="B425" s="158"/>
      <c r="E425" s="13"/>
      <c r="I425" s="13"/>
      <c r="P425" s="13"/>
      <c r="T425" s="13"/>
      <c r="X425" s="13"/>
      <c r="Y425" s="13"/>
      <c r="Z425" s="13"/>
      <c r="AA425" s="13"/>
      <c r="AS425" s="14"/>
      <c r="AT425" s="14"/>
      <c r="AU425" s="14"/>
    </row>
    <row r="426" ht="15.75" customHeight="1">
      <c r="B426" s="158"/>
      <c r="E426" s="13"/>
      <c r="I426" s="13"/>
      <c r="P426" s="13"/>
      <c r="T426" s="13"/>
      <c r="X426" s="13"/>
      <c r="Y426" s="13"/>
      <c r="Z426" s="13"/>
      <c r="AA426" s="13"/>
      <c r="AS426" s="14"/>
      <c r="AT426" s="14"/>
      <c r="AU426" s="14"/>
    </row>
    <row r="427" ht="15.75" customHeight="1">
      <c r="B427" s="158"/>
      <c r="E427" s="13"/>
      <c r="I427" s="13"/>
      <c r="P427" s="13"/>
      <c r="T427" s="13"/>
      <c r="X427" s="13"/>
      <c r="Y427" s="13"/>
      <c r="Z427" s="13"/>
      <c r="AA427" s="13"/>
      <c r="AS427" s="14"/>
      <c r="AT427" s="14"/>
      <c r="AU427" s="14"/>
    </row>
    <row r="428" ht="15.75" customHeight="1">
      <c r="B428" s="158"/>
      <c r="E428" s="13"/>
      <c r="I428" s="13"/>
      <c r="P428" s="13"/>
      <c r="T428" s="13"/>
      <c r="X428" s="13"/>
      <c r="Y428" s="13"/>
      <c r="Z428" s="13"/>
      <c r="AA428" s="13"/>
      <c r="AS428" s="14"/>
      <c r="AT428" s="14"/>
      <c r="AU428" s="14"/>
    </row>
    <row r="429" ht="15.75" customHeight="1">
      <c r="B429" s="158"/>
      <c r="E429" s="13"/>
      <c r="I429" s="13"/>
      <c r="P429" s="13"/>
      <c r="T429" s="13"/>
      <c r="X429" s="13"/>
      <c r="Y429" s="13"/>
      <c r="Z429" s="13"/>
      <c r="AA429" s="13"/>
      <c r="AS429" s="14"/>
      <c r="AT429" s="14"/>
      <c r="AU429" s="14"/>
    </row>
    <row r="430" ht="15.75" customHeight="1">
      <c r="B430" s="158"/>
      <c r="E430" s="13"/>
      <c r="I430" s="13"/>
      <c r="P430" s="13"/>
      <c r="T430" s="13"/>
      <c r="X430" s="13"/>
      <c r="Y430" s="13"/>
      <c r="Z430" s="13"/>
      <c r="AA430" s="13"/>
      <c r="AS430" s="14"/>
      <c r="AT430" s="14"/>
      <c r="AU430" s="14"/>
    </row>
    <row r="431" ht="15.75" customHeight="1">
      <c r="B431" s="158"/>
      <c r="E431" s="13"/>
      <c r="I431" s="13"/>
      <c r="P431" s="13"/>
      <c r="T431" s="13"/>
      <c r="X431" s="13"/>
      <c r="Y431" s="13"/>
      <c r="Z431" s="13"/>
      <c r="AA431" s="13"/>
      <c r="AS431" s="14"/>
      <c r="AT431" s="14"/>
      <c r="AU431" s="14"/>
    </row>
    <row r="432" ht="15.75" customHeight="1">
      <c r="B432" s="158"/>
      <c r="E432" s="13"/>
      <c r="I432" s="13"/>
      <c r="P432" s="13"/>
      <c r="T432" s="13"/>
      <c r="X432" s="13"/>
      <c r="Y432" s="13"/>
      <c r="Z432" s="13"/>
      <c r="AA432" s="13"/>
      <c r="AS432" s="14"/>
      <c r="AT432" s="14"/>
      <c r="AU432" s="14"/>
    </row>
    <row r="433" ht="15.75" customHeight="1">
      <c r="B433" s="158"/>
      <c r="E433" s="13"/>
      <c r="I433" s="13"/>
      <c r="P433" s="13"/>
      <c r="T433" s="13"/>
      <c r="X433" s="13"/>
      <c r="Y433" s="13"/>
      <c r="Z433" s="13"/>
      <c r="AA433" s="13"/>
      <c r="AS433" s="14"/>
      <c r="AT433" s="14"/>
      <c r="AU433" s="14"/>
    </row>
    <row r="434" ht="15.75" customHeight="1">
      <c r="B434" s="158"/>
      <c r="E434" s="13"/>
      <c r="I434" s="13"/>
      <c r="P434" s="13"/>
      <c r="T434" s="13"/>
      <c r="X434" s="13"/>
      <c r="Y434" s="13"/>
      <c r="Z434" s="13"/>
      <c r="AA434" s="13"/>
      <c r="AS434" s="14"/>
      <c r="AT434" s="14"/>
      <c r="AU434" s="14"/>
    </row>
    <row r="435" ht="15.75" customHeight="1">
      <c r="B435" s="158"/>
      <c r="E435" s="13"/>
      <c r="I435" s="13"/>
      <c r="P435" s="13"/>
      <c r="T435" s="13"/>
      <c r="X435" s="13"/>
      <c r="Y435" s="13"/>
      <c r="Z435" s="13"/>
      <c r="AA435" s="13"/>
      <c r="AS435" s="14"/>
      <c r="AT435" s="14"/>
      <c r="AU435" s="14"/>
    </row>
    <row r="436" ht="15.75" customHeight="1">
      <c r="B436" s="158"/>
      <c r="E436" s="13"/>
      <c r="I436" s="13"/>
      <c r="P436" s="13"/>
      <c r="T436" s="13"/>
      <c r="X436" s="13"/>
      <c r="Y436" s="13"/>
      <c r="Z436" s="13"/>
      <c r="AA436" s="13"/>
      <c r="AS436" s="14"/>
      <c r="AT436" s="14"/>
      <c r="AU436" s="14"/>
    </row>
    <row r="437" ht="15.75" customHeight="1">
      <c r="B437" s="158"/>
      <c r="E437" s="13"/>
      <c r="I437" s="13"/>
      <c r="P437" s="13"/>
      <c r="T437" s="13"/>
      <c r="X437" s="13"/>
      <c r="Y437" s="13"/>
      <c r="Z437" s="13"/>
      <c r="AA437" s="13"/>
      <c r="AS437" s="14"/>
      <c r="AT437" s="14"/>
      <c r="AU437" s="14"/>
    </row>
    <row r="438" ht="15.75" customHeight="1">
      <c r="B438" s="158"/>
      <c r="E438" s="13"/>
      <c r="I438" s="13"/>
      <c r="P438" s="13"/>
      <c r="T438" s="13"/>
      <c r="X438" s="13"/>
      <c r="Y438" s="13"/>
      <c r="Z438" s="13"/>
      <c r="AA438" s="13"/>
      <c r="AS438" s="14"/>
      <c r="AT438" s="14"/>
      <c r="AU438" s="14"/>
    </row>
    <row r="439" ht="15.75" customHeight="1">
      <c r="B439" s="158"/>
      <c r="E439" s="13"/>
      <c r="I439" s="13"/>
      <c r="P439" s="13"/>
      <c r="T439" s="13"/>
      <c r="X439" s="13"/>
      <c r="Y439" s="13"/>
      <c r="Z439" s="13"/>
      <c r="AA439" s="13"/>
      <c r="AS439" s="14"/>
      <c r="AT439" s="14"/>
      <c r="AU439" s="14"/>
    </row>
    <row r="440" ht="15.75" customHeight="1">
      <c r="B440" s="158"/>
      <c r="E440" s="13"/>
      <c r="I440" s="13"/>
      <c r="P440" s="13"/>
      <c r="T440" s="13"/>
      <c r="X440" s="13"/>
      <c r="Y440" s="13"/>
      <c r="Z440" s="13"/>
      <c r="AA440" s="13"/>
      <c r="AS440" s="14"/>
      <c r="AT440" s="14"/>
      <c r="AU440" s="14"/>
    </row>
    <row r="441" ht="15.75" customHeight="1">
      <c r="B441" s="158"/>
      <c r="E441" s="13"/>
      <c r="I441" s="13"/>
      <c r="P441" s="13"/>
      <c r="T441" s="13"/>
      <c r="X441" s="13"/>
      <c r="Y441" s="13"/>
      <c r="Z441" s="13"/>
      <c r="AA441" s="13"/>
      <c r="AS441" s="14"/>
      <c r="AT441" s="14"/>
      <c r="AU441" s="14"/>
    </row>
    <row r="442" ht="15.75" customHeight="1">
      <c r="B442" s="158"/>
      <c r="E442" s="13"/>
      <c r="I442" s="13"/>
      <c r="P442" s="13"/>
      <c r="T442" s="13"/>
      <c r="X442" s="13"/>
      <c r="Y442" s="13"/>
      <c r="Z442" s="13"/>
      <c r="AA442" s="13"/>
      <c r="AS442" s="14"/>
      <c r="AT442" s="14"/>
      <c r="AU442" s="14"/>
    </row>
    <row r="443" ht="15.75" customHeight="1">
      <c r="B443" s="158"/>
      <c r="E443" s="13"/>
      <c r="I443" s="13"/>
      <c r="P443" s="13"/>
      <c r="T443" s="13"/>
      <c r="X443" s="13"/>
      <c r="Y443" s="13"/>
      <c r="Z443" s="13"/>
      <c r="AA443" s="13"/>
      <c r="AS443" s="14"/>
      <c r="AT443" s="14"/>
      <c r="AU443" s="14"/>
    </row>
    <row r="444" ht="15.75" customHeight="1">
      <c r="B444" s="158"/>
      <c r="E444" s="13"/>
      <c r="I444" s="13"/>
      <c r="P444" s="13"/>
      <c r="T444" s="13"/>
      <c r="X444" s="13"/>
      <c r="Y444" s="13"/>
      <c r="Z444" s="13"/>
      <c r="AA444" s="13"/>
      <c r="AS444" s="14"/>
      <c r="AT444" s="14"/>
      <c r="AU444" s="14"/>
    </row>
    <row r="445" ht="15.75" customHeight="1">
      <c r="B445" s="158"/>
      <c r="E445" s="13"/>
      <c r="I445" s="13"/>
      <c r="P445" s="13"/>
      <c r="T445" s="13"/>
      <c r="X445" s="13"/>
      <c r="Y445" s="13"/>
      <c r="Z445" s="13"/>
      <c r="AA445" s="13"/>
      <c r="AS445" s="14"/>
      <c r="AT445" s="14"/>
      <c r="AU445" s="14"/>
    </row>
    <row r="446" ht="15.75" customHeight="1">
      <c r="B446" s="158"/>
      <c r="E446" s="13"/>
      <c r="I446" s="13"/>
      <c r="P446" s="13"/>
      <c r="T446" s="13"/>
      <c r="X446" s="13"/>
      <c r="Y446" s="13"/>
      <c r="Z446" s="13"/>
      <c r="AA446" s="13"/>
      <c r="AS446" s="14"/>
      <c r="AT446" s="14"/>
      <c r="AU446" s="14"/>
    </row>
    <row r="447" ht="15.75" customHeight="1">
      <c r="B447" s="158"/>
      <c r="E447" s="13"/>
      <c r="I447" s="13"/>
      <c r="P447" s="13"/>
      <c r="T447" s="13"/>
      <c r="X447" s="13"/>
      <c r="Y447" s="13"/>
      <c r="Z447" s="13"/>
      <c r="AA447" s="13"/>
      <c r="AS447" s="14"/>
      <c r="AT447" s="14"/>
      <c r="AU447" s="14"/>
    </row>
    <row r="448" ht="15.75" customHeight="1">
      <c r="B448" s="158"/>
      <c r="E448" s="13"/>
      <c r="I448" s="13"/>
      <c r="P448" s="13"/>
      <c r="T448" s="13"/>
      <c r="X448" s="13"/>
      <c r="Y448" s="13"/>
      <c r="Z448" s="13"/>
      <c r="AA448" s="13"/>
      <c r="AS448" s="14"/>
      <c r="AT448" s="14"/>
      <c r="AU448" s="14"/>
    </row>
    <row r="449" ht="15.75" customHeight="1">
      <c r="B449" s="158"/>
      <c r="E449" s="13"/>
      <c r="I449" s="13"/>
      <c r="P449" s="13"/>
      <c r="T449" s="13"/>
      <c r="X449" s="13"/>
      <c r="Y449" s="13"/>
      <c r="Z449" s="13"/>
      <c r="AA449" s="13"/>
      <c r="AS449" s="14"/>
      <c r="AT449" s="14"/>
      <c r="AU449" s="14"/>
    </row>
    <row r="450" ht="15.75" customHeight="1">
      <c r="B450" s="158"/>
      <c r="E450" s="13"/>
      <c r="I450" s="13"/>
      <c r="P450" s="13"/>
      <c r="T450" s="13"/>
      <c r="X450" s="13"/>
      <c r="Y450" s="13"/>
      <c r="Z450" s="13"/>
      <c r="AA450" s="13"/>
      <c r="AS450" s="14"/>
      <c r="AT450" s="14"/>
      <c r="AU450" s="14"/>
    </row>
    <row r="451" ht="15.75" customHeight="1">
      <c r="B451" s="158"/>
      <c r="E451" s="13"/>
      <c r="I451" s="13"/>
      <c r="P451" s="13"/>
      <c r="T451" s="13"/>
      <c r="X451" s="13"/>
      <c r="Y451" s="13"/>
      <c r="Z451" s="13"/>
      <c r="AA451" s="13"/>
      <c r="AS451" s="14"/>
      <c r="AT451" s="14"/>
      <c r="AU451" s="14"/>
    </row>
    <row r="452" ht="15.75" customHeight="1">
      <c r="B452" s="158"/>
      <c r="E452" s="13"/>
      <c r="I452" s="13"/>
      <c r="P452" s="13"/>
      <c r="T452" s="13"/>
      <c r="X452" s="13"/>
      <c r="Y452" s="13"/>
      <c r="Z452" s="13"/>
      <c r="AA452" s="13"/>
      <c r="AS452" s="14"/>
      <c r="AT452" s="14"/>
      <c r="AU452" s="14"/>
    </row>
    <row r="453" ht="15.75" customHeight="1">
      <c r="B453" s="158"/>
      <c r="E453" s="13"/>
      <c r="I453" s="13"/>
      <c r="P453" s="13"/>
      <c r="T453" s="13"/>
      <c r="X453" s="13"/>
      <c r="Y453" s="13"/>
      <c r="Z453" s="13"/>
      <c r="AA453" s="13"/>
      <c r="AS453" s="14"/>
      <c r="AT453" s="14"/>
      <c r="AU453" s="14"/>
    </row>
    <row r="454" ht="15.75" customHeight="1">
      <c r="B454" s="158"/>
      <c r="E454" s="13"/>
      <c r="I454" s="13"/>
      <c r="P454" s="13"/>
      <c r="T454" s="13"/>
      <c r="X454" s="13"/>
      <c r="Y454" s="13"/>
      <c r="Z454" s="13"/>
      <c r="AA454" s="13"/>
      <c r="AS454" s="14"/>
      <c r="AT454" s="14"/>
      <c r="AU454" s="14"/>
    </row>
    <row r="455" ht="15.75" customHeight="1">
      <c r="B455" s="158"/>
      <c r="E455" s="13"/>
      <c r="I455" s="13"/>
      <c r="P455" s="13"/>
      <c r="T455" s="13"/>
      <c r="X455" s="13"/>
      <c r="Y455" s="13"/>
      <c r="Z455" s="13"/>
      <c r="AA455" s="13"/>
      <c r="AS455" s="14"/>
      <c r="AT455" s="14"/>
      <c r="AU455" s="14"/>
    </row>
    <row r="456" ht="15.75" customHeight="1">
      <c r="B456" s="158"/>
      <c r="E456" s="13"/>
      <c r="I456" s="13"/>
      <c r="P456" s="13"/>
      <c r="T456" s="13"/>
      <c r="X456" s="13"/>
      <c r="Y456" s="13"/>
      <c r="Z456" s="13"/>
      <c r="AA456" s="13"/>
      <c r="AS456" s="14"/>
      <c r="AT456" s="14"/>
      <c r="AU456" s="14"/>
    </row>
    <row r="457" ht="15.75" customHeight="1">
      <c r="B457" s="158"/>
      <c r="E457" s="13"/>
      <c r="I457" s="13"/>
      <c r="P457" s="13"/>
      <c r="T457" s="13"/>
      <c r="X457" s="13"/>
      <c r="Y457" s="13"/>
      <c r="Z457" s="13"/>
      <c r="AA457" s="13"/>
      <c r="AS457" s="14"/>
      <c r="AT457" s="14"/>
      <c r="AU457" s="14"/>
    </row>
    <row r="458" ht="15.75" customHeight="1">
      <c r="B458" s="158"/>
      <c r="E458" s="13"/>
      <c r="I458" s="13"/>
      <c r="P458" s="13"/>
      <c r="T458" s="13"/>
      <c r="X458" s="13"/>
      <c r="Y458" s="13"/>
      <c r="Z458" s="13"/>
      <c r="AA458" s="13"/>
      <c r="AS458" s="14"/>
      <c r="AT458" s="14"/>
      <c r="AU458" s="14"/>
    </row>
    <row r="459" ht="15.75" customHeight="1">
      <c r="B459" s="158"/>
      <c r="E459" s="13"/>
      <c r="I459" s="13"/>
      <c r="P459" s="13"/>
      <c r="T459" s="13"/>
      <c r="X459" s="13"/>
      <c r="Y459" s="13"/>
      <c r="Z459" s="13"/>
      <c r="AA459" s="13"/>
      <c r="AS459" s="14"/>
      <c r="AT459" s="14"/>
      <c r="AU459" s="14"/>
    </row>
    <row r="460" ht="15.75" customHeight="1">
      <c r="B460" s="158"/>
      <c r="E460" s="13"/>
      <c r="I460" s="13"/>
      <c r="P460" s="13"/>
      <c r="T460" s="13"/>
      <c r="X460" s="13"/>
      <c r="Y460" s="13"/>
      <c r="Z460" s="13"/>
      <c r="AA460" s="13"/>
      <c r="AS460" s="14"/>
      <c r="AT460" s="14"/>
      <c r="AU460" s="14"/>
    </row>
    <row r="461" ht="15.75" customHeight="1">
      <c r="B461" s="158"/>
      <c r="E461" s="13"/>
      <c r="I461" s="13"/>
      <c r="P461" s="13"/>
      <c r="T461" s="13"/>
      <c r="X461" s="13"/>
      <c r="Y461" s="13"/>
      <c r="Z461" s="13"/>
      <c r="AA461" s="13"/>
      <c r="AS461" s="14"/>
      <c r="AT461" s="14"/>
      <c r="AU461" s="14"/>
    </row>
    <row r="462" ht="15.75" customHeight="1">
      <c r="B462" s="158"/>
      <c r="E462" s="13"/>
      <c r="I462" s="13"/>
      <c r="P462" s="13"/>
      <c r="T462" s="13"/>
      <c r="X462" s="13"/>
      <c r="Y462" s="13"/>
      <c r="Z462" s="13"/>
      <c r="AA462" s="13"/>
      <c r="AS462" s="14"/>
      <c r="AT462" s="14"/>
      <c r="AU462" s="14"/>
    </row>
    <row r="463" ht="15.75" customHeight="1">
      <c r="B463" s="158"/>
      <c r="E463" s="13"/>
      <c r="I463" s="13"/>
      <c r="P463" s="13"/>
      <c r="T463" s="13"/>
      <c r="X463" s="13"/>
      <c r="Y463" s="13"/>
      <c r="Z463" s="13"/>
      <c r="AA463" s="13"/>
      <c r="AS463" s="14"/>
      <c r="AT463" s="14"/>
      <c r="AU463" s="14"/>
    </row>
    <row r="464" ht="15.75" customHeight="1">
      <c r="B464" s="158"/>
      <c r="E464" s="13"/>
      <c r="I464" s="13"/>
      <c r="P464" s="13"/>
      <c r="T464" s="13"/>
      <c r="X464" s="13"/>
      <c r="Y464" s="13"/>
      <c r="Z464" s="13"/>
      <c r="AA464" s="13"/>
      <c r="AS464" s="14"/>
      <c r="AT464" s="14"/>
      <c r="AU464" s="14"/>
    </row>
    <row r="465" ht="15.75" customHeight="1">
      <c r="B465" s="158"/>
      <c r="E465" s="13"/>
      <c r="I465" s="13"/>
      <c r="P465" s="13"/>
      <c r="T465" s="13"/>
      <c r="X465" s="13"/>
      <c r="Y465" s="13"/>
      <c r="Z465" s="13"/>
      <c r="AA465" s="13"/>
      <c r="AS465" s="14"/>
      <c r="AT465" s="14"/>
      <c r="AU465" s="14"/>
    </row>
    <row r="466" ht="15.75" customHeight="1">
      <c r="B466" s="158"/>
      <c r="E466" s="13"/>
      <c r="I466" s="13"/>
      <c r="P466" s="13"/>
      <c r="T466" s="13"/>
      <c r="X466" s="13"/>
      <c r="Y466" s="13"/>
      <c r="Z466" s="13"/>
      <c r="AA466" s="13"/>
      <c r="AS466" s="14"/>
      <c r="AT466" s="14"/>
      <c r="AU466" s="14"/>
    </row>
    <row r="467" ht="15.75" customHeight="1">
      <c r="B467" s="158"/>
      <c r="E467" s="13"/>
      <c r="I467" s="13"/>
      <c r="P467" s="13"/>
      <c r="T467" s="13"/>
      <c r="X467" s="13"/>
      <c r="Y467" s="13"/>
      <c r="Z467" s="13"/>
      <c r="AA467" s="13"/>
      <c r="AS467" s="14"/>
      <c r="AT467" s="14"/>
      <c r="AU467" s="14"/>
    </row>
    <row r="468" ht="15.75" customHeight="1">
      <c r="B468" s="158"/>
      <c r="E468" s="13"/>
      <c r="I468" s="13"/>
      <c r="P468" s="13"/>
      <c r="T468" s="13"/>
      <c r="X468" s="13"/>
      <c r="Y468" s="13"/>
      <c r="Z468" s="13"/>
      <c r="AA468" s="13"/>
      <c r="AS468" s="14"/>
      <c r="AT468" s="14"/>
      <c r="AU468" s="14"/>
    </row>
    <row r="469" ht="15.75" customHeight="1">
      <c r="B469" s="158"/>
      <c r="E469" s="13"/>
      <c r="I469" s="13"/>
      <c r="P469" s="13"/>
      <c r="T469" s="13"/>
      <c r="X469" s="13"/>
      <c r="Y469" s="13"/>
      <c r="Z469" s="13"/>
      <c r="AA469" s="13"/>
      <c r="AS469" s="14"/>
      <c r="AT469" s="14"/>
      <c r="AU469" s="14"/>
    </row>
    <row r="470" ht="15.75" customHeight="1">
      <c r="B470" s="158"/>
      <c r="E470" s="13"/>
      <c r="I470" s="13"/>
      <c r="P470" s="13"/>
      <c r="T470" s="13"/>
      <c r="X470" s="13"/>
      <c r="Y470" s="13"/>
      <c r="Z470" s="13"/>
      <c r="AA470" s="13"/>
      <c r="AS470" s="14"/>
      <c r="AT470" s="14"/>
      <c r="AU470" s="14"/>
    </row>
    <row r="471" ht="15.75" customHeight="1">
      <c r="B471" s="158"/>
      <c r="E471" s="13"/>
      <c r="I471" s="13"/>
      <c r="P471" s="13"/>
      <c r="T471" s="13"/>
      <c r="X471" s="13"/>
      <c r="Y471" s="13"/>
      <c r="Z471" s="13"/>
      <c r="AA471" s="13"/>
      <c r="AS471" s="14"/>
      <c r="AT471" s="14"/>
      <c r="AU471" s="14"/>
    </row>
    <row r="472" ht="15.75" customHeight="1">
      <c r="B472" s="158"/>
      <c r="E472" s="13"/>
      <c r="I472" s="13"/>
      <c r="P472" s="13"/>
      <c r="T472" s="13"/>
      <c r="X472" s="13"/>
      <c r="Y472" s="13"/>
      <c r="Z472" s="13"/>
      <c r="AA472" s="13"/>
      <c r="AS472" s="14"/>
      <c r="AT472" s="14"/>
      <c r="AU472" s="14"/>
    </row>
    <row r="473" ht="15.75" customHeight="1">
      <c r="B473" s="158"/>
      <c r="E473" s="13"/>
      <c r="I473" s="13"/>
      <c r="P473" s="13"/>
      <c r="T473" s="13"/>
      <c r="X473" s="13"/>
      <c r="Y473" s="13"/>
      <c r="Z473" s="13"/>
      <c r="AA473" s="13"/>
      <c r="AS473" s="14"/>
      <c r="AT473" s="14"/>
      <c r="AU473" s="14"/>
    </row>
    <row r="474" ht="15.75" customHeight="1">
      <c r="B474" s="158"/>
      <c r="E474" s="13"/>
      <c r="I474" s="13"/>
      <c r="P474" s="13"/>
      <c r="T474" s="13"/>
      <c r="X474" s="13"/>
      <c r="Y474" s="13"/>
      <c r="Z474" s="13"/>
      <c r="AA474" s="13"/>
      <c r="AS474" s="14"/>
      <c r="AT474" s="14"/>
      <c r="AU474" s="14"/>
    </row>
    <row r="475" ht="15.75" customHeight="1">
      <c r="B475" s="158"/>
      <c r="E475" s="13"/>
      <c r="I475" s="13"/>
      <c r="P475" s="13"/>
      <c r="T475" s="13"/>
      <c r="X475" s="13"/>
      <c r="Y475" s="13"/>
      <c r="Z475" s="13"/>
      <c r="AA475" s="13"/>
      <c r="AS475" s="14"/>
      <c r="AT475" s="14"/>
      <c r="AU475" s="14"/>
    </row>
    <row r="476" ht="15.75" customHeight="1">
      <c r="B476" s="158"/>
      <c r="E476" s="13"/>
      <c r="I476" s="13"/>
      <c r="P476" s="13"/>
      <c r="T476" s="13"/>
      <c r="X476" s="13"/>
      <c r="Y476" s="13"/>
      <c r="Z476" s="13"/>
      <c r="AA476" s="13"/>
      <c r="AS476" s="14"/>
      <c r="AT476" s="14"/>
      <c r="AU476" s="14"/>
    </row>
    <row r="477" ht="15.75" customHeight="1">
      <c r="B477" s="158"/>
      <c r="E477" s="13"/>
      <c r="I477" s="13"/>
      <c r="P477" s="13"/>
      <c r="T477" s="13"/>
      <c r="X477" s="13"/>
      <c r="Y477" s="13"/>
      <c r="Z477" s="13"/>
      <c r="AA477" s="13"/>
      <c r="AS477" s="14"/>
      <c r="AT477" s="14"/>
      <c r="AU477" s="14"/>
    </row>
    <row r="478" ht="15.75" customHeight="1">
      <c r="B478" s="158"/>
      <c r="E478" s="13"/>
      <c r="I478" s="13"/>
      <c r="P478" s="13"/>
      <c r="T478" s="13"/>
      <c r="X478" s="13"/>
      <c r="Y478" s="13"/>
      <c r="Z478" s="13"/>
      <c r="AA478" s="13"/>
      <c r="AS478" s="14"/>
      <c r="AT478" s="14"/>
      <c r="AU478" s="14"/>
    </row>
    <row r="479" ht="15.75" customHeight="1">
      <c r="B479" s="158"/>
      <c r="E479" s="13"/>
      <c r="I479" s="13"/>
      <c r="P479" s="13"/>
      <c r="T479" s="13"/>
      <c r="X479" s="13"/>
      <c r="Y479" s="13"/>
      <c r="Z479" s="13"/>
      <c r="AA479" s="13"/>
      <c r="AS479" s="14"/>
      <c r="AT479" s="14"/>
      <c r="AU479" s="14"/>
    </row>
    <row r="480" ht="15.75" customHeight="1">
      <c r="B480" s="158"/>
      <c r="E480" s="13"/>
      <c r="I480" s="13"/>
      <c r="P480" s="13"/>
      <c r="T480" s="13"/>
      <c r="X480" s="13"/>
      <c r="Y480" s="13"/>
      <c r="Z480" s="13"/>
      <c r="AA480" s="13"/>
      <c r="AS480" s="14"/>
      <c r="AT480" s="14"/>
      <c r="AU480" s="14"/>
    </row>
    <row r="481" ht="15.75" customHeight="1">
      <c r="B481" s="158"/>
      <c r="E481" s="13"/>
      <c r="I481" s="13"/>
      <c r="P481" s="13"/>
      <c r="T481" s="13"/>
      <c r="X481" s="13"/>
      <c r="Y481" s="13"/>
      <c r="Z481" s="13"/>
      <c r="AA481" s="13"/>
      <c r="AS481" s="14"/>
      <c r="AT481" s="14"/>
      <c r="AU481" s="14"/>
    </row>
    <row r="482" ht="15.75" customHeight="1">
      <c r="B482" s="158"/>
      <c r="E482" s="13"/>
      <c r="I482" s="13"/>
      <c r="P482" s="13"/>
      <c r="T482" s="13"/>
      <c r="X482" s="13"/>
      <c r="Y482" s="13"/>
      <c r="Z482" s="13"/>
      <c r="AA482" s="13"/>
      <c r="AS482" s="14"/>
      <c r="AT482" s="14"/>
      <c r="AU482" s="14"/>
    </row>
    <row r="483" ht="15.75" customHeight="1">
      <c r="B483" s="158"/>
      <c r="E483" s="13"/>
      <c r="I483" s="13"/>
      <c r="P483" s="13"/>
      <c r="T483" s="13"/>
      <c r="X483" s="13"/>
      <c r="Y483" s="13"/>
      <c r="Z483" s="13"/>
      <c r="AA483" s="13"/>
      <c r="AS483" s="14"/>
      <c r="AT483" s="14"/>
      <c r="AU483" s="14"/>
    </row>
    <row r="484" ht="15.75" customHeight="1">
      <c r="B484" s="158"/>
      <c r="E484" s="13"/>
      <c r="I484" s="13"/>
      <c r="P484" s="13"/>
      <c r="T484" s="13"/>
      <c r="X484" s="13"/>
      <c r="Y484" s="13"/>
      <c r="Z484" s="13"/>
      <c r="AA484" s="13"/>
      <c r="AS484" s="14"/>
      <c r="AT484" s="14"/>
      <c r="AU484" s="14"/>
    </row>
    <row r="485" ht="15.75" customHeight="1">
      <c r="B485" s="158"/>
      <c r="E485" s="13"/>
      <c r="I485" s="13"/>
      <c r="P485" s="13"/>
      <c r="T485" s="13"/>
      <c r="X485" s="13"/>
      <c r="Y485" s="13"/>
      <c r="Z485" s="13"/>
      <c r="AA485" s="13"/>
      <c r="AS485" s="14"/>
      <c r="AT485" s="14"/>
      <c r="AU485" s="14"/>
    </row>
    <row r="486" ht="15.75" customHeight="1">
      <c r="B486" s="158"/>
      <c r="E486" s="13"/>
      <c r="I486" s="13"/>
      <c r="P486" s="13"/>
      <c r="T486" s="13"/>
      <c r="X486" s="13"/>
      <c r="Y486" s="13"/>
      <c r="Z486" s="13"/>
      <c r="AA486" s="13"/>
      <c r="AS486" s="14"/>
      <c r="AT486" s="14"/>
      <c r="AU486" s="14"/>
    </row>
    <row r="487" ht="15.75" customHeight="1">
      <c r="B487" s="158"/>
      <c r="E487" s="13"/>
      <c r="I487" s="13"/>
      <c r="P487" s="13"/>
      <c r="T487" s="13"/>
      <c r="X487" s="13"/>
      <c r="Y487" s="13"/>
      <c r="Z487" s="13"/>
      <c r="AA487" s="13"/>
      <c r="AS487" s="14"/>
      <c r="AT487" s="14"/>
      <c r="AU487" s="14"/>
    </row>
    <row r="488" ht="15.75" customHeight="1">
      <c r="B488" s="158"/>
      <c r="E488" s="13"/>
      <c r="I488" s="13"/>
      <c r="P488" s="13"/>
      <c r="T488" s="13"/>
      <c r="X488" s="13"/>
      <c r="Y488" s="13"/>
      <c r="Z488" s="13"/>
      <c r="AA488" s="13"/>
      <c r="AS488" s="14"/>
      <c r="AT488" s="14"/>
      <c r="AU488" s="14"/>
    </row>
    <row r="489" ht="15.75" customHeight="1">
      <c r="B489" s="158"/>
      <c r="E489" s="13"/>
      <c r="I489" s="13"/>
      <c r="P489" s="13"/>
      <c r="T489" s="13"/>
      <c r="X489" s="13"/>
      <c r="Y489" s="13"/>
      <c r="Z489" s="13"/>
      <c r="AA489" s="13"/>
      <c r="AS489" s="14"/>
      <c r="AT489" s="14"/>
      <c r="AU489" s="14"/>
    </row>
    <row r="490" ht="15.75" customHeight="1">
      <c r="B490" s="158"/>
      <c r="E490" s="13"/>
      <c r="I490" s="13"/>
      <c r="P490" s="13"/>
      <c r="T490" s="13"/>
      <c r="X490" s="13"/>
      <c r="Y490" s="13"/>
      <c r="Z490" s="13"/>
      <c r="AA490" s="13"/>
      <c r="AS490" s="14"/>
      <c r="AT490" s="14"/>
      <c r="AU490" s="14"/>
    </row>
    <row r="491" ht="15.75" customHeight="1">
      <c r="B491" s="158"/>
      <c r="E491" s="13"/>
      <c r="I491" s="13"/>
      <c r="P491" s="13"/>
      <c r="T491" s="13"/>
      <c r="X491" s="13"/>
      <c r="Y491" s="13"/>
      <c r="Z491" s="13"/>
      <c r="AA491" s="13"/>
      <c r="AS491" s="14"/>
      <c r="AT491" s="14"/>
      <c r="AU491" s="14"/>
    </row>
    <row r="492" ht="15.75" customHeight="1">
      <c r="B492" s="158"/>
      <c r="E492" s="13"/>
      <c r="I492" s="13"/>
      <c r="P492" s="13"/>
      <c r="T492" s="13"/>
      <c r="X492" s="13"/>
      <c r="Y492" s="13"/>
      <c r="Z492" s="13"/>
      <c r="AA492" s="13"/>
      <c r="AS492" s="14"/>
      <c r="AT492" s="14"/>
      <c r="AU492" s="14"/>
    </row>
    <row r="493" ht="15.75" customHeight="1">
      <c r="B493" s="158"/>
      <c r="E493" s="13"/>
      <c r="I493" s="13"/>
      <c r="P493" s="13"/>
      <c r="T493" s="13"/>
      <c r="X493" s="13"/>
      <c r="Y493" s="13"/>
      <c r="Z493" s="13"/>
      <c r="AA493" s="13"/>
      <c r="AS493" s="14"/>
      <c r="AT493" s="14"/>
      <c r="AU493" s="14"/>
    </row>
    <row r="494" ht="15.75" customHeight="1">
      <c r="B494" s="158"/>
      <c r="E494" s="13"/>
      <c r="I494" s="13"/>
      <c r="P494" s="13"/>
      <c r="T494" s="13"/>
      <c r="X494" s="13"/>
      <c r="Y494" s="13"/>
      <c r="Z494" s="13"/>
      <c r="AA494" s="13"/>
      <c r="AS494" s="14"/>
      <c r="AT494" s="14"/>
      <c r="AU494" s="14"/>
    </row>
    <row r="495" ht="15.75" customHeight="1">
      <c r="B495" s="158"/>
      <c r="E495" s="13"/>
      <c r="I495" s="13"/>
      <c r="P495" s="13"/>
      <c r="T495" s="13"/>
      <c r="X495" s="13"/>
      <c r="Y495" s="13"/>
      <c r="Z495" s="13"/>
      <c r="AA495" s="13"/>
      <c r="AS495" s="14"/>
      <c r="AT495" s="14"/>
      <c r="AU495" s="14"/>
    </row>
    <row r="496" ht="15.75" customHeight="1">
      <c r="B496" s="158"/>
      <c r="E496" s="13"/>
      <c r="I496" s="13"/>
      <c r="P496" s="13"/>
      <c r="T496" s="13"/>
      <c r="X496" s="13"/>
      <c r="Y496" s="13"/>
      <c r="Z496" s="13"/>
      <c r="AA496" s="13"/>
      <c r="AS496" s="14"/>
      <c r="AT496" s="14"/>
      <c r="AU496" s="14"/>
    </row>
    <row r="497" ht="15.75" customHeight="1">
      <c r="B497" s="158"/>
      <c r="E497" s="13"/>
      <c r="I497" s="13"/>
      <c r="P497" s="13"/>
      <c r="T497" s="13"/>
      <c r="X497" s="13"/>
      <c r="Y497" s="13"/>
      <c r="Z497" s="13"/>
      <c r="AA497" s="13"/>
      <c r="AS497" s="14"/>
      <c r="AT497" s="14"/>
      <c r="AU497" s="14"/>
    </row>
    <row r="498" ht="15.75" customHeight="1">
      <c r="B498" s="158"/>
      <c r="E498" s="13"/>
      <c r="I498" s="13"/>
      <c r="P498" s="13"/>
      <c r="T498" s="13"/>
      <c r="X498" s="13"/>
      <c r="Y498" s="13"/>
      <c r="Z498" s="13"/>
      <c r="AA498" s="13"/>
      <c r="AS498" s="14"/>
      <c r="AT498" s="14"/>
      <c r="AU498" s="14"/>
    </row>
    <row r="499" ht="15.75" customHeight="1">
      <c r="B499" s="158"/>
      <c r="E499" s="13"/>
      <c r="I499" s="13"/>
      <c r="P499" s="13"/>
      <c r="T499" s="13"/>
      <c r="X499" s="13"/>
      <c r="Y499" s="13"/>
      <c r="Z499" s="13"/>
      <c r="AA499" s="13"/>
      <c r="AS499" s="14"/>
      <c r="AT499" s="14"/>
      <c r="AU499" s="14"/>
    </row>
    <row r="500" ht="15.75" customHeight="1">
      <c r="B500" s="158"/>
      <c r="E500" s="13"/>
      <c r="I500" s="13"/>
      <c r="P500" s="13"/>
      <c r="T500" s="13"/>
      <c r="X500" s="13"/>
      <c r="Y500" s="13"/>
      <c r="Z500" s="13"/>
      <c r="AA500" s="13"/>
      <c r="AS500" s="14"/>
      <c r="AT500" s="14"/>
      <c r="AU500" s="14"/>
    </row>
    <row r="501" ht="15.75" customHeight="1">
      <c r="B501" s="158"/>
      <c r="E501" s="13"/>
      <c r="I501" s="13"/>
      <c r="P501" s="13"/>
      <c r="T501" s="13"/>
      <c r="X501" s="13"/>
      <c r="Y501" s="13"/>
      <c r="Z501" s="13"/>
      <c r="AA501" s="13"/>
      <c r="AS501" s="14"/>
      <c r="AT501" s="14"/>
      <c r="AU501" s="14"/>
    </row>
    <row r="502" ht="15.75" customHeight="1">
      <c r="B502" s="158"/>
      <c r="E502" s="13"/>
      <c r="I502" s="13"/>
      <c r="P502" s="13"/>
      <c r="T502" s="13"/>
      <c r="X502" s="13"/>
      <c r="Y502" s="13"/>
      <c r="Z502" s="13"/>
      <c r="AA502" s="13"/>
      <c r="AS502" s="14"/>
      <c r="AT502" s="14"/>
      <c r="AU502" s="14"/>
    </row>
    <row r="503" ht="15.75" customHeight="1">
      <c r="B503" s="158"/>
      <c r="E503" s="13"/>
      <c r="I503" s="13"/>
      <c r="P503" s="13"/>
      <c r="T503" s="13"/>
      <c r="X503" s="13"/>
      <c r="Y503" s="13"/>
      <c r="Z503" s="13"/>
      <c r="AA503" s="13"/>
      <c r="AS503" s="14"/>
      <c r="AT503" s="14"/>
      <c r="AU503" s="14"/>
    </row>
    <row r="504" ht="15.75" customHeight="1">
      <c r="B504" s="158"/>
      <c r="E504" s="13"/>
      <c r="I504" s="13"/>
      <c r="P504" s="13"/>
      <c r="T504" s="13"/>
      <c r="X504" s="13"/>
      <c r="Y504" s="13"/>
      <c r="Z504" s="13"/>
      <c r="AA504" s="13"/>
      <c r="AS504" s="14"/>
      <c r="AT504" s="14"/>
      <c r="AU504" s="14"/>
    </row>
    <row r="505" ht="15.75" customHeight="1">
      <c r="B505" s="158"/>
      <c r="E505" s="13"/>
      <c r="I505" s="13"/>
      <c r="P505" s="13"/>
      <c r="T505" s="13"/>
      <c r="X505" s="13"/>
      <c r="Y505" s="13"/>
      <c r="Z505" s="13"/>
      <c r="AA505" s="13"/>
      <c r="AS505" s="14"/>
      <c r="AT505" s="14"/>
      <c r="AU505" s="14"/>
    </row>
    <row r="506" ht="15.75" customHeight="1">
      <c r="B506" s="158"/>
      <c r="E506" s="13"/>
      <c r="I506" s="13"/>
      <c r="P506" s="13"/>
      <c r="T506" s="13"/>
      <c r="X506" s="13"/>
      <c r="Y506" s="13"/>
      <c r="Z506" s="13"/>
      <c r="AA506" s="13"/>
      <c r="AS506" s="14"/>
      <c r="AT506" s="14"/>
      <c r="AU506" s="14"/>
    </row>
    <row r="507" ht="15.75" customHeight="1">
      <c r="B507" s="158"/>
      <c r="E507" s="13"/>
      <c r="I507" s="13"/>
      <c r="P507" s="13"/>
      <c r="T507" s="13"/>
      <c r="X507" s="13"/>
      <c r="Y507" s="13"/>
      <c r="Z507" s="13"/>
      <c r="AA507" s="13"/>
      <c r="AS507" s="14"/>
      <c r="AT507" s="14"/>
      <c r="AU507" s="14"/>
    </row>
    <row r="508" ht="15.75" customHeight="1">
      <c r="B508" s="158"/>
      <c r="E508" s="13"/>
      <c r="I508" s="13"/>
      <c r="P508" s="13"/>
      <c r="T508" s="13"/>
      <c r="X508" s="13"/>
      <c r="Y508" s="13"/>
      <c r="Z508" s="13"/>
      <c r="AA508" s="13"/>
      <c r="AS508" s="14"/>
      <c r="AT508" s="14"/>
      <c r="AU508" s="14"/>
    </row>
    <row r="509" ht="15.75" customHeight="1">
      <c r="B509" s="158"/>
      <c r="E509" s="13"/>
      <c r="I509" s="13"/>
      <c r="P509" s="13"/>
      <c r="T509" s="13"/>
      <c r="X509" s="13"/>
      <c r="Y509" s="13"/>
      <c r="Z509" s="13"/>
      <c r="AA509" s="13"/>
      <c r="AS509" s="14"/>
      <c r="AT509" s="14"/>
      <c r="AU509" s="14"/>
    </row>
    <row r="510" ht="15.75" customHeight="1">
      <c r="B510" s="158"/>
      <c r="E510" s="13"/>
      <c r="I510" s="13"/>
      <c r="P510" s="13"/>
      <c r="T510" s="13"/>
      <c r="X510" s="13"/>
      <c r="Y510" s="13"/>
      <c r="Z510" s="13"/>
      <c r="AA510" s="13"/>
      <c r="AS510" s="14"/>
      <c r="AT510" s="14"/>
      <c r="AU510" s="14"/>
    </row>
    <row r="511" ht="15.75" customHeight="1">
      <c r="B511" s="158"/>
      <c r="E511" s="13"/>
      <c r="I511" s="13"/>
      <c r="P511" s="13"/>
      <c r="T511" s="13"/>
      <c r="X511" s="13"/>
      <c r="Y511" s="13"/>
      <c r="Z511" s="13"/>
      <c r="AA511" s="13"/>
      <c r="AS511" s="14"/>
      <c r="AT511" s="14"/>
      <c r="AU511" s="14"/>
    </row>
    <row r="512" ht="15.75" customHeight="1">
      <c r="B512" s="158"/>
      <c r="E512" s="13"/>
      <c r="I512" s="13"/>
      <c r="P512" s="13"/>
      <c r="T512" s="13"/>
      <c r="X512" s="13"/>
      <c r="Y512" s="13"/>
      <c r="Z512" s="13"/>
      <c r="AA512" s="13"/>
      <c r="AS512" s="14"/>
      <c r="AT512" s="14"/>
      <c r="AU512" s="14"/>
    </row>
    <row r="513" ht="15.75" customHeight="1">
      <c r="B513" s="158"/>
      <c r="E513" s="13"/>
      <c r="I513" s="13"/>
      <c r="P513" s="13"/>
      <c r="T513" s="13"/>
      <c r="X513" s="13"/>
      <c r="Y513" s="13"/>
      <c r="Z513" s="13"/>
      <c r="AA513" s="13"/>
      <c r="AS513" s="14"/>
      <c r="AT513" s="14"/>
      <c r="AU513" s="14"/>
    </row>
    <row r="514" ht="15.75" customHeight="1">
      <c r="B514" s="158"/>
      <c r="E514" s="13"/>
      <c r="I514" s="13"/>
      <c r="P514" s="13"/>
      <c r="T514" s="13"/>
      <c r="X514" s="13"/>
      <c r="Y514" s="13"/>
      <c r="Z514" s="13"/>
      <c r="AA514" s="13"/>
      <c r="AS514" s="14"/>
      <c r="AT514" s="14"/>
      <c r="AU514" s="14"/>
    </row>
    <row r="515" ht="15.75" customHeight="1">
      <c r="B515" s="158"/>
      <c r="E515" s="13"/>
      <c r="I515" s="13"/>
      <c r="P515" s="13"/>
      <c r="T515" s="13"/>
      <c r="X515" s="13"/>
      <c r="Y515" s="13"/>
      <c r="Z515" s="13"/>
      <c r="AA515" s="13"/>
      <c r="AS515" s="14"/>
      <c r="AT515" s="14"/>
      <c r="AU515" s="14"/>
    </row>
    <row r="516" ht="15.75" customHeight="1">
      <c r="B516" s="158"/>
      <c r="E516" s="13"/>
      <c r="I516" s="13"/>
      <c r="P516" s="13"/>
      <c r="T516" s="13"/>
      <c r="X516" s="13"/>
      <c r="Y516" s="13"/>
      <c r="Z516" s="13"/>
      <c r="AA516" s="13"/>
      <c r="AS516" s="14"/>
      <c r="AT516" s="14"/>
      <c r="AU516" s="14"/>
    </row>
    <row r="517" ht="15.75" customHeight="1">
      <c r="B517" s="158"/>
      <c r="E517" s="13"/>
      <c r="I517" s="13"/>
      <c r="P517" s="13"/>
      <c r="T517" s="13"/>
      <c r="X517" s="13"/>
      <c r="Y517" s="13"/>
      <c r="Z517" s="13"/>
      <c r="AA517" s="13"/>
      <c r="AS517" s="14"/>
      <c r="AT517" s="14"/>
      <c r="AU517" s="14"/>
    </row>
    <row r="518" ht="15.75" customHeight="1">
      <c r="B518" s="158"/>
      <c r="E518" s="13"/>
      <c r="I518" s="13"/>
      <c r="P518" s="13"/>
      <c r="T518" s="13"/>
      <c r="X518" s="13"/>
      <c r="Y518" s="13"/>
      <c r="Z518" s="13"/>
      <c r="AA518" s="13"/>
      <c r="AS518" s="14"/>
      <c r="AT518" s="14"/>
      <c r="AU518" s="14"/>
    </row>
    <row r="519" ht="15.75" customHeight="1">
      <c r="B519" s="158"/>
      <c r="E519" s="13"/>
      <c r="I519" s="13"/>
      <c r="P519" s="13"/>
      <c r="T519" s="13"/>
      <c r="X519" s="13"/>
      <c r="Y519" s="13"/>
      <c r="Z519" s="13"/>
      <c r="AA519" s="13"/>
      <c r="AS519" s="14"/>
      <c r="AT519" s="14"/>
      <c r="AU519" s="14"/>
    </row>
    <row r="520" ht="15.75" customHeight="1">
      <c r="B520" s="158"/>
      <c r="E520" s="13"/>
      <c r="I520" s="13"/>
      <c r="P520" s="13"/>
      <c r="T520" s="13"/>
      <c r="X520" s="13"/>
      <c r="Y520" s="13"/>
      <c r="Z520" s="13"/>
      <c r="AA520" s="13"/>
      <c r="AS520" s="14"/>
      <c r="AT520" s="14"/>
      <c r="AU520" s="14"/>
    </row>
    <row r="521" ht="15.75" customHeight="1">
      <c r="B521" s="158"/>
      <c r="E521" s="13"/>
      <c r="I521" s="13"/>
      <c r="P521" s="13"/>
      <c r="T521" s="13"/>
      <c r="X521" s="13"/>
      <c r="Y521" s="13"/>
      <c r="Z521" s="13"/>
      <c r="AA521" s="13"/>
      <c r="AS521" s="14"/>
      <c r="AT521" s="14"/>
      <c r="AU521" s="14"/>
    </row>
    <row r="522" ht="15.75" customHeight="1">
      <c r="B522" s="158"/>
      <c r="E522" s="13"/>
      <c r="I522" s="13"/>
      <c r="P522" s="13"/>
      <c r="T522" s="13"/>
      <c r="X522" s="13"/>
      <c r="Y522" s="13"/>
      <c r="Z522" s="13"/>
      <c r="AA522" s="13"/>
      <c r="AS522" s="14"/>
      <c r="AT522" s="14"/>
      <c r="AU522" s="14"/>
    </row>
    <row r="523" ht="15.75" customHeight="1">
      <c r="B523" s="158"/>
      <c r="E523" s="13"/>
      <c r="I523" s="13"/>
      <c r="P523" s="13"/>
      <c r="T523" s="13"/>
      <c r="X523" s="13"/>
      <c r="Y523" s="13"/>
      <c r="Z523" s="13"/>
      <c r="AA523" s="13"/>
      <c r="AS523" s="14"/>
      <c r="AT523" s="14"/>
      <c r="AU523" s="14"/>
    </row>
    <row r="524" ht="15.75" customHeight="1">
      <c r="B524" s="158"/>
      <c r="E524" s="13"/>
      <c r="I524" s="13"/>
      <c r="P524" s="13"/>
      <c r="T524" s="13"/>
      <c r="X524" s="13"/>
      <c r="Y524" s="13"/>
      <c r="Z524" s="13"/>
      <c r="AA524" s="13"/>
      <c r="AS524" s="14"/>
      <c r="AT524" s="14"/>
      <c r="AU524" s="14"/>
    </row>
    <row r="525" ht="15.75" customHeight="1">
      <c r="B525" s="158"/>
      <c r="E525" s="13"/>
      <c r="I525" s="13"/>
      <c r="P525" s="13"/>
      <c r="T525" s="13"/>
      <c r="X525" s="13"/>
      <c r="Y525" s="13"/>
      <c r="Z525" s="13"/>
      <c r="AA525" s="13"/>
      <c r="AS525" s="14"/>
      <c r="AT525" s="14"/>
      <c r="AU525" s="14"/>
    </row>
    <row r="526" ht="15.75" customHeight="1">
      <c r="B526" s="158"/>
      <c r="E526" s="13"/>
      <c r="I526" s="13"/>
      <c r="P526" s="13"/>
      <c r="T526" s="13"/>
      <c r="X526" s="13"/>
      <c r="Y526" s="13"/>
      <c r="Z526" s="13"/>
      <c r="AA526" s="13"/>
      <c r="AS526" s="14"/>
      <c r="AT526" s="14"/>
      <c r="AU526" s="14"/>
    </row>
    <row r="527" ht="15.75" customHeight="1">
      <c r="B527" s="158"/>
      <c r="E527" s="13"/>
      <c r="I527" s="13"/>
      <c r="P527" s="13"/>
      <c r="T527" s="13"/>
      <c r="X527" s="13"/>
      <c r="Y527" s="13"/>
      <c r="Z527" s="13"/>
      <c r="AA527" s="13"/>
      <c r="AS527" s="14"/>
      <c r="AT527" s="14"/>
      <c r="AU527" s="14"/>
    </row>
    <row r="528" ht="15.75" customHeight="1">
      <c r="B528" s="158"/>
      <c r="E528" s="13"/>
      <c r="I528" s="13"/>
      <c r="P528" s="13"/>
      <c r="T528" s="13"/>
      <c r="X528" s="13"/>
      <c r="Y528" s="13"/>
      <c r="Z528" s="13"/>
      <c r="AA528" s="13"/>
      <c r="AS528" s="14"/>
      <c r="AT528" s="14"/>
      <c r="AU528" s="14"/>
    </row>
    <row r="529" ht="15.75" customHeight="1">
      <c r="B529" s="158"/>
      <c r="E529" s="13"/>
      <c r="I529" s="13"/>
      <c r="P529" s="13"/>
      <c r="T529" s="13"/>
      <c r="X529" s="13"/>
      <c r="Y529" s="13"/>
      <c r="Z529" s="13"/>
      <c r="AA529" s="13"/>
      <c r="AS529" s="14"/>
      <c r="AT529" s="14"/>
      <c r="AU529" s="14"/>
    </row>
    <row r="530" ht="15.75" customHeight="1">
      <c r="B530" s="158"/>
      <c r="E530" s="13"/>
      <c r="I530" s="13"/>
      <c r="P530" s="13"/>
      <c r="T530" s="13"/>
      <c r="X530" s="13"/>
      <c r="Y530" s="13"/>
      <c r="Z530" s="13"/>
      <c r="AA530" s="13"/>
      <c r="AS530" s="14"/>
      <c r="AT530" s="14"/>
      <c r="AU530" s="14"/>
    </row>
    <row r="531" ht="15.75" customHeight="1">
      <c r="B531" s="158"/>
      <c r="E531" s="13"/>
      <c r="I531" s="13"/>
      <c r="P531" s="13"/>
      <c r="T531" s="13"/>
      <c r="X531" s="13"/>
      <c r="Y531" s="13"/>
      <c r="Z531" s="13"/>
      <c r="AA531" s="13"/>
      <c r="AS531" s="14"/>
      <c r="AT531" s="14"/>
      <c r="AU531" s="14"/>
    </row>
    <row r="532" ht="15.75" customHeight="1">
      <c r="B532" s="158"/>
      <c r="E532" s="13"/>
      <c r="I532" s="13"/>
      <c r="P532" s="13"/>
      <c r="T532" s="13"/>
      <c r="X532" s="13"/>
      <c r="Y532" s="13"/>
      <c r="Z532" s="13"/>
      <c r="AA532" s="13"/>
      <c r="AS532" s="14"/>
      <c r="AT532" s="14"/>
      <c r="AU532" s="14"/>
    </row>
    <row r="533" ht="15.75" customHeight="1">
      <c r="B533" s="158"/>
      <c r="E533" s="13"/>
      <c r="I533" s="13"/>
      <c r="P533" s="13"/>
      <c r="T533" s="13"/>
      <c r="X533" s="13"/>
      <c r="Y533" s="13"/>
      <c r="Z533" s="13"/>
      <c r="AA533" s="13"/>
      <c r="AS533" s="14"/>
      <c r="AT533" s="14"/>
      <c r="AU533" s="14"/>
    </row>
    <row r="534" ht="15.75" customHeight="1">
      <c r="B534" s="158"/>
      <c r="E534" s="13"/>
      <c r="I534" s="13"/>
      <c r="P534" s="13"/>
      <c r="T534" s="13"/>
      <c r="X534" s="13"/>
      <c r="Y534" s="13"/>
      <c r="Z534" s="13"/>
      <c r="AA534" s="13"/>
      <c r="AS534" s="14"/>
      <c r="AT534" s="14"/>
      <c r="AU534" s="14"/>
    </row>
    <row r="535" ht="15.75" customHeight="1">
      <c r="B535" s="158"/>
      <c r="E535" s="13"/>
      <c r="I535" s="13"/>
      <c r="P535" s="13"/>
      <c r="T535" s="13"/>
      <c r="X535" s="13"/>
      <c r="Y535" s="13"/>
      <c r="Z535" s="13"/>
      <c r="AA535" s="13"/>
      <c r="AS535" s="14"/>
      <c r="AT535" s="14"/>
      <c r="AU535" s="14"/>
    </row>
    <row r="536" ht="15.75" customHeight="1">
      <c r="B536" s="158"/>
      <c r="E536" s="13"/>
      <c r="I536" s="13"/>
      <c r="P536" s="13"/>
      <c r="T536" s="13"/>
      <c r="X536" s="13"/>
      <c r="Y536" s="13"/>
      <c r="Z536" s="13"/>
      <c r="AA536" s="13"/>
      <c r="AS536" s="14"/>
      <c r="AT536" s="14"/>
      <c r="AU536" s="14"/>
    </row>
    <row r="537" ht="15.75" customHeight="1">
      <c r="B537" s="158"/>
      <c r="E537" s="13"/>
      <c r="I537" s="13"/>
      <c r="P537" s="13"/>
      <c r="T537" s="13"/>
      <c r="X537" s="13"/>
      <c r="Y537" s="13"/>
      <c r="Z537" s="13"/>
      <c r="AA537" s="13"/>
      <c r="AS537" s="14"/>
      <c r="AT537" s="14"/>
      <c r="AU537" s="14"/>
    </row>
    <row r="538" ht="15.75" customHeight="1">
      <c r="B538" s="158"/>
      <c r="E538" s="13"/>
      <c r="I538" s="13"/>
      <c r="P538" s="13"/>
      <c r="T538" s="13"/>
      <c r="X538" s="13"/>
      <c r="Y538" s="13"/>
      <c r="Z538" s="13"/>
      <c r="AA538" s="13"/>
      <c r="AS538" s="14"/>
      <c r="AT538" s="14"/>
      <c r="AU538" s="14"/>
    </row>
    <row r="539" ht="15.75" customHeight="1">
      <c r="B539" s="158"/>
      <c r="E539" s="13"/>
      <c r="I539" s="13"/>
      <c r="P539" s="13"/>
      <c r="T539" s="13"/>
      <c r="X539" s="13"/>
      <c r="Y539" s="13"/>
      <c r="Z539" s="13"/>
      <c r="AA539" s="13"/>
      <c r="AS539" s="14"/>
      <c r="AT539" s="14"/>
      <c r="AU539" s="14"/>
    </row>
    <row r="540" ht="15.75" customHeight="1">
      <c r="B540" s="158"/>
      <c r="E540" s="13"/>
      <c r="I540" s="13"/>
      <c r="P540" s="13"/>
      <c r="T540" s="13"/>
      <c r="X540" s="13"/>
      <c r="Y540" s="13"/>
      <c r="Z540" s="13"/>
      <c r="AA540" s="13"/>
      <c r="AS540" s="14"/>
      <c r="AT540" s="14"/>
      <c r="AU540" s="14"/>
    </row>
    <row r="541" ht="15.75" customHeight="1">
      <c r="B541" s="158"/>
      <c r="E541" s="13"/>
      <c r="I541" s="13"/>
      <c r="P541" s="13"/>
      <c r="T541" s="13"/>
      <c r="X541" s="13"/>
      <c r="Y541" s="13"/>
      <c r="Z541" s="13"/>
      <c r="AA541" s="13"/>
      <c r="AS541" s="14"/>
      <c r="AT541" s="14"/>
      <c r="AU541" s="14"/>
    </row>
    <row r="542" ht="15.75" customHeight="1">
      <c r="B542" s="158"/>
      <c r="E542" s="13"/>
      <c r="I542" s="13"/>
      <c r="P542" s="13"/>
      <c r="T542" s="13"/>
      <c r="X542" s="13"/>
      <c r="Y542" s="13"/>
      <c r="Z542" s="13"/>
      <c r="AA542" s="13"/>
      <c r="AS542" s="14"/>
      <c r="AT542" s="14"/>
      <c r="AU542" s="14"/>
    </row>
    <row r="543" ht="15.75" customHeight="1">
      <c r="B543" s="158"/>
      <c r="E543" s="13"/>
      <c r="I543" s="13"/>
      <c r="P543" s="13"/>
      <c r="T543" s="13"/>
      <c r="X543" s="13"/>
      <c r="Y543" s="13"/>
      <c r="Z543" s="13"/>
      <c r="AA543" s="13"/>
      <c r="AS543" s="14"/>
      <c r="AT543" s="14"/>
      <c r="AU543" s="14"/>
    </row>
    <row r="544" ht="15.75" customHeight="1">
      <c r="B544" s="158"/>
      <c r="E544" s="13"/>
      <c r="I544" s="13"/>
      <c r="P544" s="13"/>
      <c r="T544" s="13"/>
      <c r="X544" s="13"/>
      <c r="Y544" s="13"/>
      <c r="Z544" s="13"/>
      <c r="AA544" s="13"/>
      <c r="AS544" s="14"/>
      <c r="AT544" s="14"/>
      <c r="AU544" s="14"/>
    </row>
    <row r="545" ht="15.75" customHeight="1">
      <c r="B545" s="158"/>
      <c r="E545" s="13"/>
      <c r="I545" s="13"/>
      <c r="P545" s="13"/>
      <c r="T545" s="13"/>
      <c r="X545" s="13"/>
      <c r="Y545" s="13"/>
      <c r="Z545" s="13"/>
      <c r="AA545" s="13"/>
      <c r="AS545" s="14"/>
      <c r="AT545" s="14"/>
      <c r="AU545" s="14"/>
    </row>
    <row r="546" ht="15.75" customHeight="1">
      <c r="B546" s="158"/>
      <c r="E546" s="13"/>
      <c r="I546" s="13"/>
      <c r="P546" s="13"/>
      <c r="T546" s="13"/>
      <c r="X546" s="13"/>
      <c r="Y546" s="13"/>
      <c r="Z546" s="13"/>
      <c r="AA546" s="13"/>
      <c r="AS546" s="14"/>
      <c r="AT546" s="14"/>
      <c r="AU546" s="14"/>
    </row>
    <row r="547" ht="15.75" customHeight="1">
      <c r="B547" s="158"/>
      <c r="E547" s="13"/>
      <c r="I547" s="13"/>
      <c r="P547" s="13"/>
      <c r="T547" s="13"/>
      <c r="X547" s="13"/>
      <c r="Y547" s="13"/>
      <c r="Z547" s="13"/>
      <c r="AA547" s="13"/>
      <c r="AS547" s="14"/>
      <c r="AT547" s="14"/>
      <c r="AU547" s="14"/>
    </row>
    <row r="548" ht="15.75" customHeight="1">
      <c r="B548" s="158"/>
      <c r="E548" s="13"/>
      <c r="I548" s="13"/>
      <c r="P548" s="13"/>
      <c r="T548" s="13"/>
      <c r="X548" s="13"/>
      <c r="Y548" s="13"/>
      <c r="Z548" s="13"/>
      <c r="AA548" s="13"/>
      <c r="AS548" s="14"/>
      <c r="AT548" s="14"/>
      <c r="AU548" s="14"/>
    </row>
    <row r="549" ht="15.75" customHeight="1">
      <c r="B549" s="158"/>
      <c r="E549" s="13"/>
      <c r="I549" s="13"/>
      <c r="P549" s="13"/>
      <c r="T549" s="13"/>
      <c r="X549" s="13"/>
      <c r="Y549" s="13"/>
      <c r="Z549" s="13"/>
      <c r="AA549" s="13"/>
      <c r="AS549" s="14"/>
      <c r="AT549" s="14"/>
      <c r="AU549" s="14"/>
    </row>
    <row r="550" ht="15.75" customHeight="1">
      <c r="B550" s="158"/>
      <c r="E550" s="13"/>
      <c r="I550" s="13"/>
      <c r="P550" s="13"/>
      <c r="T550" s="13"/>
      <c r="X550" s="13"/>
      <c r="Y550" s="13"/>
      <c r="Z550" s="13"/>
      <c r="AA550" s="13"/>
      <c r="AS550" s="14"/>
      <c r="AT550" s="14"/>
      <c r="AU550" s="14"/>
    </row>
    <row r="551" ht="15.75" customHeight="1">
      <c r="B551" s="158"/>
      <c r="E551" s="13"/>
      <c r="I551" s="13"/>
      <c r="P551" s="13"/>
      <c r="T551" s="13"/>
      <c r="X551" s="13"/>
      <c r="Y551" s="13"/>
      <c r="Z551" s="13"/>
      <c r="AA551" s="13"/>
      <c r="AS551" s="14"/>
      <c r="AT551" s="14"/>
      <c r="AU551" s="14"/>
    </row>
    <row r="552" ht="15.75" customHeight="1">
      <c r="B552" s="158"/>
      <c r="E552" s="13"/>
      <c r="I552" s="13"/>
      <c r="P552" s="13"/>
      <c r="T552" s="13"/>
      <c r="X552" s="13"/>
      <c r="Y552" s="13"/>
      <c r="Z552" s="13"/>
      <c r="AA552" s="13"/>
      <c r="AS552" s="14"/>
      <c r="AT552" s="14"/>
      <c r="AU552" s="14"/>
    </row>
    <row r="553" ht="15.75" customHeight="1">
      <c r="B553" s="158"/>
      <c r="E553" s="13"/>
      <c r="I553" s="13"/>
      <c r="P553" s="13"/>
      <c r="T553" s="13"/>
      <c r="X553" s="13"/>
      <c r="Y553" s="13"/>
      <c r="Z553" s="13"/>
      <c r="AA553" s="13"/>
      <c r="AS553" s="14"/>
      <c r="AT553" s="14"/>
      <c r="AU553" s="14"/>
    </row>
    <row r="554" ht="15.75" customHeight="1">
      <c r="B554" s="158"/>
      <c r="E554" s="13"/>
      <c r="I554" s="13"/>
      <c r="P554" s="13"/>
      <c r="T554" s="13"/>
      <c r="X554" s="13"/>
      <c r="Y554" s="13"/>
      <c r="Z554" s="13"/>
      <c r="AA554" s="13"/>
      <c r="AS554" s="14"/>
      <c r="AT554" s="14"/>
      <c r="AU554" s="14"/>
    </row>
    <row r="555" ht="15.75" customHeight="1">
      <c r="B555" s="158"/>
      <c r="E555" s="13"/>
      <c r="I555" s="13"/>
      <c r="P555" s="13"/>
      <c r="T555" s="13"/>
      <c r="X555" s="13"/>
      <c r="Y555" s="13"/>
      <c r="Z555" s="13"/>
      <c r="AA555" s="13"/>
      <c r="AS555" s="14"/>
      <c r="AT555" s="14"/>
      <c r="AU555" s="14"/>
    </row>
    <row r="556" ht="15.75" customHeight="1">
      <c r="B556" s="158"/>
      <c r="E556" s="13"/>
      <c r="I556" s="13"/>
      <c r="P556" s="13"/>
      <c r="T556" s="13"/>
      <c r="X556" s="13"/>
      <c r="Y556" s="13"/>
      <c r="Z556" s="13"/>
      <c r="AA556" s="13"/>
      <c r="AS556" s="14"/>
      <c r="AT556" s="14"/>
      <c r="AU556" s="14"/>
    </row>
    <row r="557" ht="15.75" customHeight="1">
      <c r="B557" s="158"/>
      <c r="E557" s="13"/>
      <c r="I557" s="13"/>
      <c r="P557" s="13"/>
      <c r="T557" s="13"/>
      <c r="X557" s="13"/>
      <c r="Y557" s="13"/>
      <c r="Z557" s="13"/>
      <c r="AA557" s="13"/>
      <c r="AS557" s="14"/>
      <c r="AT557" s="14"/>
      <c r="AU557" s="14"/>
    </row>
    <row r="558" ht="15.75" customHeight="1">
      <c r="B558" s="158"/>
      <c r="E558" s="13"/>
      <c r="I558" s="13"/>
      <c r="P558" s="13"/>
      <c r="T558" s="13"/>
      <c r="X558" s="13"/>
      <c r="Y558" s="13"/>
      <c r="Z558" s="13"/>
      <c r="AA558" s="13"/>
      <c r="AS558" s="14"/>
      <c r="AT558" s="14"/>
      <c r="AU558" s="14"/>
    </row>
    <row r="559" ht="15.75" customHeight="1">
      <c r="B559" s="158"/>
      <c r="E559" s="13"/>
      <c r="I559" s="13"/>
      <c r="P559" s="13"/>
      <c r="T559" s="13"/>
      <c r="X559" s="13"/>
      <c r="Y559" s="13"/>
      <c r="Z559" s="13"/>
      <c r="AA559" s="13"/>
      <c r="AS559" s="14"/>
      <c r="AT559" s="14"/>
      <c r="AU559" s="14"/>
    </row>
    <row r="560" ht="15.75" customHeight="1">
      <c r="B560" s="158"/>
      <c r="E560" s="13"/>
      <c r="I560" s="13"/>
      <c r="P560" s="13"/>
      <c r="T560" s="13"/>
      <c r="X560" s="13"/>
      <c r="Y560" s="13"/>
      <c r="Z560" s="13"/>
      <c r="AA560" s="13"/>
      <c r="AS560" s="14"/>
      <c r="AT560" s="14"/>
      <c r="AU560" s="14"/>
    </row>
    <row r="561" ht="15.75" customHeight="1">
      <c r="B561" s="158"/>
      <c r="E561" s="13"/>
      <c r="I561" s="13"/>
      <c r="P561" s="13"/>
      <c r="T561" s="13"/>
      <c r="X561" s="13"/>
      <c r="Y561" s="13"/>
      <c r="Z561" s="13"/>
      <c r="AA561" s="13"/>
      <c r="AS561" s="14"/>
      <c r="AT561" s="14"/>
      <c r="AU561" s="14"/>
    </row>
    <row r="562" ht="15.75" customHeight="1">
      <c r="B562" s="158"/>
      <c r="E562" s="13"/>
      <c r="I562" s="13"/>
      <c r="P562" s="13"/>
      <c r="T562" s="13"/>
      <c r="X562" s="13"/>
      <c r="Y562" s="13"/>
      <c r="Z562" s="13"/>
      <c r="AA562" s="13"/>
      <c r="AS562" s="14"/>
      <c r="AT562" s="14"/>
      <c r="AU562" s="14"/>
    </row>
    <row r="563" ht="15.75" customHeight="1">
      <c r="B563" s="158"/>
      <c r="E563" s="13"/>
      <c r="I563" s="13"/>
      <c r="P563" s="13"/>
      <c r="T563" s="13"/>
      <c r="X563" s="13"/>
      <c r="Y563" s="13"/>
      <c r="Z563" s="13"/>
      <c r="AA563" s="13"/>
      <c r="AS563" s="14"/>
      <c r="AT563" s="14"/>
      <c r="AU563" s="14"/>
    </row>
    <row r="564" ht="15.75" customHeight="1">
      <c r="B564" s="158"/>
      <c r="E564" s="13"/>
      <c r="I564" s="13"/>
      <c r="P564" s="13"/>
      <c r="T564" s="13"/>
      <c r="X564" s="13"/>
      <c r="Y564" s="13"/>
      <c r="Z564" s="13"/>
      <c r="AA564" s="13"/>
      <c r="AS564" s="14"/>
      <c r="AT564" s="14"/>
      <c r="AU564" s="14"/>
    </row>
    <row r="565" ht="15.75" customHeight="1">
      <c r="B565" s="158"/>
      <c r="E565" s="13"/>
      <c r="I565" s="13"/>
      <c r="P565" s="13"/>
      <c r="T565" s="13"/>
      <c r="X565" s="13"/>
      <c r="Y565" s="13"/>
      <c r="Z565" s="13"/>
      <c r="AA565" s="13"/>
      <c r="AS565" s="14"/>
      <c r="AT565" s="14"/>
      <c r="AU565" s="14"/>
    </row>
    <row r="566" ht="15.75" customHeight="1">
      <c r="B566" s="158"/>
      <c r="E566" s="13"/>
      <c r="I566" s="13"/>
      <c r="P566" s="13"/>
      <c r="T566" s="13"/>
      <c r="X566" s="13"/>
      <c r="Y566" s="13"/>
      <c r="Z566" s="13"/>
      <c r="AA566" s="13"/>
      <c r="AS566" s="14"/>
      <c r="AT566" s="14"/>
      <c r="AU566" s="14"/>
    </row>
    <row r="567" ht="15.75" customHeight="1">
      <c r="B567" s="158"/>
      <c r="E567" s="13"/>
      <c r="I567" s="13"/>
      <c r="P567" s="13"/>
      <c r="T567" s="13"/>
      <c r="X567" s="13"/>
      <c r="Y567" s="13"/>
      <c r="Z567" s="13"/>
      <c r="AA567" s="13"/>
      <c r="AS567" s="14"/>
      <c r="AT567" s="14"/>
      <c r="AU567" s="14"/>
    </row>
    <row r="568" ht="15.75" customHeight="1">
      <c r="B568" s="158"/>
      <c r="E568" s="13"/>
      <c r="I568" s="13"/>
      <c r="P568" s="13"/>
      <c r="T568" s="13"/>
      <c r="X568" s="13"/>
      <c r="Y568" s="13"/>
      <c r="Z568" s="13"/>
      <c r="AA568" s="13"/>
      <c r="AS568" s="14"/>
      <c r="AT568" s="14"/>
      <c r="AU568" s="14"/>
    </row>
    <row r="569" ht="15.75" customHeight="1">
      <c r="B569" s="158"/>
      <c r="E569" s="13"/>
      <c r="I569" s="13"/>
      <c r="P569" s="13"/>
      <c r="T569" s="13"/>
      <c r="X569" s="13"/>
      <c r="Y569" s="13"/>
      <c r="Z569" s="13"/>
      <c r="AA569" s="13"/>
      <c r="AS569" s="14"/>
      <c r="AT569" s="14"/>
      <c r="AU569" s="14"/>
    </row>
    <row r="570" ht="15.75" customHeight="1">
      <c r="B570" s="158"/>
      <c r="E570" s="13"/>
      <c r="I570" s="13"/>
      <c r="P570" s="13"/>
      <c r="T570" s="13"/>
      <c r="X570" s="13"/>
      <c r="Y570" s="13"/>
      <c r="Z570" s="13"/>
      <c r="AA570" s="13"/>
      <c r="AS570" s="14"/>
      <c r="AT570" s="14"/>
      <c r="AU570" s="14"/>
    </row>
    <row r="571" ht="15.75" customHeight="1">
      <c r="B571" s="158"/>
      <c r="E571" s="13"/>
      <c r="I571" s="13"/>
      <c r="P571" s="13"/>
      <c r="T571" s="13"/>
      <c r="X571" s="13"/>
      <c r="Y571" s="13"/>
      <c r="Z571" s="13"/>
      <c r="AA571" s="13"/>
      <c r="AS571" s="14"/>
      <c r="AT571" s="14"/>
      <c r="AU571" s="14"/>
    </row>
    <row r="572" ht="15.75" customHeight="1">
      <c r="B572" s="158"/>
      <c r="E572" s="13"/>
      <c r="I572" s="13"/>
      <c r="P572" s="13"/>
      <c r="T572" s="13"/>
      <c r="X572" s="13"/>
      <c r="Y572" s="13"/>
      <c r="Z572" s="13"/>
      <c r="AA572" s="13"/>
      <c r="AS572" s="14"/>
      <c r="AT572" s="14"/>
      <c r="AU572" s="14"/>
    </row>
    <row r="573" ht="15.75" customHeight="1">
      <c r="B573" s="158"/>
      <c r="E573" s="13"/>
      <c r="I573" s="13"/>
      <c r="P573" s="13"/>
      <c r="T573" s="13"/>
      <c r="X573" s="13"/>
      <c r="Y573" s="13"/>
      <c r="Z573" s="13"/>
      <c r="AA573" s="13"/>
      <c r="AS573" s="14"/>
      <c r="AT573" s="14"/>
      <c r="AU573" s="14"/>
    </row>
    <row r="574" ht="15.75" customHeight="1">
      <c r="B574" s="158"/>
      <c r="E574" s="13"/>
      <c r="I574" s="13"/>
      <c r="P574" s="13"/>
      <c r="T574" s="13"/>
      <c r="X574" s="13"/>
      <c r="Y574" s="13"/>
      <c r="Z574" s="13"/>
      <c r="AA574" s="13"/>
      <c r="AS574" s="14"/>
      <c r="AT574" s="14"/>
      <c r="AU574" s="14"/>
    </row>
    <row r="575" ht="15.75" customHeight="1">
      <c r="B575" s="158"/>
      <c r="E575" s="13"/>
      <c r="I575" s="13"/>
      <c r="P575" s="13"/>
      <c r="T575" s="13"/>
      <c r="X575" s="13"/>
      <c r="Y575" s="13"/>
      <c r="Z575" s="13"/>
      <c r="AA575" s="13"/>
      <c r="AS575" s="14"/>
      <c r="AT575" s="14"/>
      <c r="AU575" s="14"/>
    </row>
    <row r="576" ht="15.75" customHeight="1">
      <c r="B576" s="158"/>
      <c r="E576" s="13"/>
      <c r="I576" s="13"/>
      <c r="P576" s="13"/>
      <c r="T576" s="13"/>
      <c r="X576" s="13"/>
      <c r="Y576" s="13"/>
      <c r="Z576" s="13"/>
      <c r="AA576" s="13"/>
      <c r="AS576" s="14"/>
      <c r="AT576" s="14"/>
      <c r="AU576" s="14"/>
    </row>
    <row r="577" ht="15.75" customHeight="1">
      <c r="B577" s="158"/>
      <c r="E577" s="13"/>
      <c r="I577" s="13"/>
      <c r="P577" s="13"/>
      <c r="T577" s="13"/>
      <c r="X577" s="13"/>
      <c r="Y577" s="13"/>
      <c r="Z577" s="13"/>
      <c r="AA577" s="13"/>
      <c r="AS577" s="14"/>
      <c r="AT577" s="14"/>
      <c r="AU577" s="14"/>
    </row>
    <row r="578" ht="15.75" customHeight="1">
      <c r="B578" s="158"/>
      <c r="E578" s="13"/>
      <c r="I578" s="13"/>
      <c r="P578" s="13"/>
      <c r="T578" s="13"/>
      <c r="X578" s="13"/>
      <c r="Y578" s="13"/>
      <c r="Z578" s="13"/>
      <c r="AA578" s="13"/>
      <c r="AS578" s="14"/>
      <c r="AT578" s="14"/>
      <c r="AU578" s="14"/>
    </row>
    <row r="579" ht="15.75" customHeight="1">
      <c r="B579" s="158"/>
      <c r="E579" s="13"/>
      <c r="I579" s="13"/>
      <c r="P579" s="13"/>
      <c r="T579" s="13"/>
      <c r="X579" s="13"/>
      <c r="Y579" s="13"/>
      <c r="Z579" s="13"/>
      <c r="AA579" s="13"/>
      <c r="AS579" s="14"/>
      <c r="AT579" s="14"/>
      <c r="AU579" s="14"/>
    </row>
    <row r="580" ht="15.75" customHeight="1">
      <c r="B580" s="158"/>
      <c r="E580" s="13"/>
      <c r="I580" s="13"/>
      <c r="P580" s="13"/>
      <c r="T580" s="13"/>
      <c r="X580" s="13"/>
      <c r="Y580" s="13"/>
      <c r="Z580" s="13"/>
      <c r="AA580" s="13"/>
      <c r="AS580" s="14"/>
      <c r="AT580" s="14"/>
      <c r="AU580" s="14"/>
    </row>
    <row r="581" ht="15.75" customHeight="1">
      <c r="B581" s="158"/>
      <c r="E581" s="13"/>
      <c r="I581" s="13"/>
      <c r="P581" s="13"/>
      <c r="T581" s="13"/>
      <c r="X581" s="13"/>
      <c r="Y581" s="13"/>
      <c r="Z581" s="13"/>
      <c r="AA581" s="13"/>
      <c r="AS581" s="14"/>
      <c r="AT581" s="14"/>
      <c r="AU581" s="14"/>
    </row>
    <row r="582" ht="15.75" customHeight="1">
      <c r="B582" s="158"/>
      <c r="E582" s="13"/>
      <c r="I582" s="13"/>
      <c r="P582" s="13"/>
      <c r="T582" s="13"/>
      <c r="X582" s="13"/>
      <c r="Y582" s="13"/>
      <c r="Z582" s="13"/>
      <c r="AA582" s="13"/>
      <c r="AS582" s="14"/>
      <c r="AT582" s="14"/>
      <c r="AU582" s="14"/>
    </row>
    <row r="583" ht="15.75" customHeight="1">
      <c r="B583" s="158"/>
      <c r="E583" s="13"/>
      <c r="I583" s="13"/>
      <c r="P583" s="13"/>
      <c r="T583" s="13"/>
      <c r="X583" s="13"/>
      <c r="Y583" s="13"/>
      <c r="Z583" s="13"/>
      <c r="AA583" s="13"/>
      <c r="AS583" s="14"/>
      <c r="AT583" s="14"/>
      <c r="AU583" s="14"/>
    </row>
    <row r="584" ht="15.75" customHeight="1">
      <c r="B584" s="158"/>
      <c r="E584" s="13"/>
      <c r="I584" s="13"/>
      <c r="P584" s="13"/>
      <c r="T584" s="13"/>
      <c r="X584" s="13"/>
      <c r="Y584" s="13"/>
      <c r="Z584" s="13"/>
      <c r="AA584" s="13"/>
      <c r="AS584" s="14"/>
      <c r="AT584" s="14"/>
      <c r="AU584" s="14"/>
    </row>
    <row r="585" ht="15.75" customHeight="1">
      <c r="B585" s="158"/>
      <c r="E585" s="13"/>
      <c r="I585" s="13"/>
      <c r="P585" s="13"/>
      <c r="T585" s="13"/>
      <c r="X585" s="13"/>
      <c r="Y585" s="13"/>
      <c r="Z585" s="13"/>
      <c r="AA585" s="13"/>
      <c r="AS585" s="14"/>
      <c r="AT585" s="14"/>
      <c r="AU585" s="14"/>
    </row>
    <row r="586" ht="15.75" customHeight="1">
      <c r="B586" s="158"/>
      <c r="E586" s="13"/>
      <c r="I586" s="13"/>
      <c r="P586" s="13"/>
      <c r="T586" s="13"/>
      <c r="X586" s="13"/>
      <c r="Y586" s="13"/>
      <c r="Z586" s="13"/>
      <c r="AA586" s="13"/>
      <c r="AS586" s="14"/>
      <c r="AT586" s="14"/>
      <c r="AU586" s="14"/>
    </row>
    <row r="587" ht="15.75" customHeight="1">
      <c r="B587" s="158"/>
      <c r="E587" s="13"/>
      <c r="I587" s="13"/>
      <c r="P587" s="13"/>
      <c r="T587" s="13"/>
      <c r="X587" s="13"/>
      <c r="Y587" s="13"/>
      <c r="Z587" s="13"/>
      <c r="AA587" s="13"/>
      <c r="AS587" s="14"/>
      <c r="AT587" s="14"/>
      <c r="AU587" s="14"/>
    </row>
    <row r="588" ht="15.75" customHeight="1">
      <c r="B588" s="158"/>
      <c r="E588" s="13"/>
      <c r="I588" s="13"/>
      <c r="P588" s="13"/>
      <c r="T588" s="13"/>
      <c r="X588" s="13"/>
      <c r="Y588" s="13"/>
      <c r="Z588" s="13"/>
      <c r="AA588" s="13"/>
      <c r="AS588" s="14"/>
      <c r="AT588" s="14"/>
      <c r="AU588" s="14"/>
    </row>
    <row r="589" ht="15.75" customHeight="1">
      <c r="B589" s="158"/>
      <c r="E589" s="13"/>
      <c r="I589" s="13"/>
      <c r="P589" s="13"/>
      <c r="T589" s="13"/>
      <c r="X589" s="13"/>
      <c r="Y589" s="13"/>
      <c r="Z589" s="13"/>
      <c r="AA589" s="13"/>
      <c r="AS589" s="14"/>
      <c r="AT589" s="14"/>
      <c r="AU589" s="14"/>
    </row>
    <row r="590" ht="15.75" customHeight="1">
      <c r="B590" s="158"/>
      <c r="E590" s="13"/>
      <c r="I590" s="13"/>
      <c r="P590" s="13"/>
      <c r="T590" s="13"/>
      <c r="X590" s="13"/>
      <c r="Y590" s="13"/>
      <c r="Z590" s="13"/>
      <c r="AA590" s="13"/>
      <c r="AS590" s="14"/>
      <c r="AT590" s="14"/>
      <c r="AU590" s="14"/>
    </row>
    <row r="591" ht="15.75" customHeight="1">
      <c r="B591" s="158"/>
      <c r="E591" s="13"/>
      <c r="I591" s="13"/>
      <c r="P591" s="13"/>
      <c r="T591" s="13"/>
      <c r="X591" s="13"/>
      <c r="Y591" s="13"/>
      <c r="Z591" s="13"/>
      <c r="AA591" s="13"/>
      <c r="AS591" s="14"/>
      <c r="AT591" s="14"/>
      <c r="AU591" s="14"/>
    </row>
    <row r="592" ht="15.75" customHeight="1">
      <c r="B592" s="158"/>
      <c r="E592" s="13"/>
      <c r="I592" s="13"/>
      <c r="P592" s="13"/>
      <c r="T592" s="13"/>
      <c r="X592" s="13"/>
      <c r="Y592" s="13"/>
      <c r="Z592" s="13"/>
      <c r="AA592" s="13"/>
      <c r="AS592" s="14"/>
      <c r="AT592" s="14"/>
      <c r="AU592" s="14"/>
    </row>
    <row r="593" ht="15.75" customHeight="1">
      <c r="B593" s="158"/>
      <c r="E593" s="13"/>
      <c r="I593" s="13"/>
      <c r="P593" s="13"/>
      <c r="T593" s="13"/>
      <c r="X593" s="13"/>
      <c r="Y593" s="13"/>
      <c r="Z593" s="13"/>
      <c r="AA593" s="13"/>
      <c r="AS593" s="14"/>
      <c r="AT593" s="14"/>
      <c r="AU593" s="14"/>
    </row>
    <row r="594" ht="15.75" customHeight="1">
      <c r="B594" s="158"/>
      <c r="E594" s="13"/>
      <c r="I594" s="13"/>
      <c r="P594" s="13"/>
      <c r="T594" s="13"/>
      <c r="X594" s="13"/>
      <c r="Y594" s="13"/>
      <c r="Z594" s="13"/>
      <c r="AA594" s="13"/>
      <c r="AS594" s="14"/>
      <c r="AT594" s="14"/>
      <c r="AU594" s="14"/>
    </row>
    <row r="595" ht="15.75" customHeight="1">
      <c r="B595" s="158"/>
      <c r="E595" s="13"/>
      <c r="I595" s="13"/>
      <c r="P595" s="13"/>
      <c r="T595" s="13"/>
      <c r="X595" s="13"/>
      <c r="Y595" s="13"/>
      <c r="Z595" s="13"/>
      <c r="AA595" s="13"/>
      <c r="AS595" s="14"/>
      <c r="AT595" s="14"/>
      <c r="AU595" s="14"/>
    </row>
    <row r="596" ht="15.75" customHeight="1">
      <c r="B596" s="158"/>
      <c r="E596" s="13"/>
      <c r="I596" s="13"/>
      <c r="P596" s="13"/>
      <c r="T596" s="13"/>
      <c r="X596" s="13"/>
      <c r="Y596" s="13"/>
      <c r="Z596" s="13"/>
      <c r="AA596" s="13"/>
      <c r="AS596" s="14"/>
      <c r="AT596" s="14"/>
      <c r="AU596" s="14"/>
    </row>
    <row r="597" ht="15.75" customHeight="1">
      <c r="B597" s="158"/>
      <c r="E597" s="13"/>
      <c r="I597" s="13"/>
      <c r="P597" s="13"/>
      <c r="T597" s="13"/>
      <c r="X597" s="13"/>
      <c r="Y597" s="13"/>
      <c r="Z597" s="13"/>
      <c r="AA597" s="13"/>
      <c r="AS597" s="14"/>
      <c r="AT597" s="14"/>
      <c r="AU597" s="14"/>
    </row>
    <row r="598" ht="15.75" customHeight="1">
      <c r="B598" s="158"/>
      <c r="E598" s="13"/>
      <c r="I598" s="13"/>
      <c r="P598" s="13"/>
      <c r="T598" s="13"/>
      <c r="X598" s="13"/>
      <c r="Y598" s="13"/>
      <c r="Z598" s="13"/>
      <c r="AA598" s="13"/>
      <c r="AS598" s="14"/>
      <c r="AT598" s="14"/>
      <c r="AU598" s="14"/>
    </row>
    <row r="599" ht="15.75" customHeight="1">
      <c r="B599" s="158"/>
      <c r="E599" s="13"/>
      <c r="I599" s="13"/>
      <c r="P599" s="13"/>
      <c r="T599" s="13"/>
      <c r="X599" s="13"/>
      <c r="Y599" s="13"/>
      <c r="Z599" s="13"/>
      <c r="AA599" s="13"/>
      <c r="AS599" s="14"/>
      <c r="AT599" s="14"/>
      <c r="AU599" s="14"/>
    </row>
    <row r="600" ht="15.75" customHeight="1">
      <c r="B600" s="158"/>
      <c r="E600" s="13"/>
      <c r="I600" s="13"/>
      <c r="P600" s="13"/>
      <c r="T600" s="13"/>
      <c r="X600" s="13"/>
      <c r="Y600" s="13"/>
      <c r="Z600" s="13"/>
      <c r="AA600" s="13"/>
      <c r="AS600" s="14"/>
      <c r="AT600" s="14"/>
      <c r="AU600" s="14"/>
    </row>
    <row r="601" ht="15.75" customHeight="1">
      <c r="B601" s="158"/>
      <c r="E601" s="13"/>
      <c r="I601" s="13"/>
      <c r="P601" s="13"/>
      <c r="T601" s="13"/>
      <c r="X601" s="13"/>
      <c r="Y601" s="13"/>
      <c r="Z601" s="13"/>
      <c r="AA601" s="13"/>
      <c r="AS601" s="14"/>
      <c r="AT601" s="14"/>
      <c r="AU601" s="14"/>
    </row>
    <row r="602" ht="15.75" customHeight="1">
      <c r="B602" s="158"/>
      <c r="E602" s="13"/>
      <c r="I602" s="13"/>
      <c r="P602" s="13"/>
      <c r="T602" s="13"/>
      <c r="X602" s="13"/>
      <c r="Y602" s="13"/>
      <c r="Z602" s="13"/>
      <c r="AA602" s="13"/>
      <c r="AS602" s="14"/>
      <c r="AT602" s="14"/>
      <c r="AU602" s="14"/>
    </row>
    <row r="603" ht="15.75" customHeight="1">
      <c r="B603" s="158"/>
      <c r="E603" s="13"/>
      <c r="I603" s="13"/>
      <c r="P603" s="13"/>
      <c r="T603" s="13"/>
      <c r="X603" s="13"/>
      <c r="Y603" s="13"/>
      <c r="Z603" s="13"/>
      <c r="AA603" s="13"/>
      <c r="AS603" s="14"/>
      <c r="AT603" s="14"/>
      <c r="AU603" s="14"/>
    </row>
    <row r="604" ht="15.75" customHeight="1">
      <c r="B604" s="158"/>
      <c r="E604" s="13"/>
      <c r="I604" s="13"/>
      <c r="P604" s="13"/>
      <c r="T604" s="13"/>
      <c r="X604" s="13"/>
      <c r="Y604" s="13"/>
      <c r="Z604" s="13"/>
      <c r="AA604" s="13"/>
      <c r="AS604" s="14"/>
      <c r="AT604" s="14"/>
      <c r="AU604" s="14"/>
    </row>
    <row r="605" ht="15.75" customHeight="1">
      <c r="B605" s="158"/>
      <c r="E605" s="13"/>
      <c r="I605" s="13"/>
      <c r="P605" s="13"/>
      <c r="T605" s="13"/>
      <c r="X605" s="13"/>
      <c r="Y605" s="13"/>
      <c r="Z605" s="13"/>
      <c r="AA605" s="13"/>
      <c r="AS605" s="14"/>
      <c r="AT605" s="14"/>
      <c r="AU605" s="14"/>
    </row>
    <row r="606" ht="15.75" customHeight="1">
      <c r="B606" s="158"/>
      <c r="E606" s="13"/>
      <c r="I606" s="13"/>
      <c r="P606" s="13"/>
      <c r="T606" s="13"/>
      <c r="X606" s="13"/>
      <c r="Y606" s="13"/>
      <c r="Z606" s="13"/>
      <c r="AA606" s="13"/>
      <c r="AS606" s="14"/>
      <c r="AT606" s="14"/>
      <c r="AU606" s="14"/>
    </row>
    <row r="607" ht="15.75" customHeight="1">
      <c r="B607" s="158"/>
      <c r="E607" s="13"/>
      <c r="I607" s="13"/>
      <c r="P607" s="13"/>
      <c r="T607" s="13"/>
      <c r="X607" s="13"/>
      <c r="Y607" s="13"/>
      <c r="Z607" s="13"/>
      <c r="AA607" s="13"/>
      <c r="AS607" s="14"/>
      <c r="AT607" s="14"/>
      <c r="AU607" s="14"/>
    </row>
    <row r="608" ht="15.75" customHeight="1">
      <c r="B608" s="158"/>
      <c r="E608" s="13"/>
      <c r="I608" s="13"/>
      <c r="P608" s="13"/>
      <c r="T608" s="13"/>
      <c r="X608" s="13"/>
      <c r="Y608" s="13"/>
      <c r="Z608" s="13"/>
      <c r="AA608" s="13"/>
      <c r="AS608" s="14"/>
      <c r="AT608" s="14"/>
      <c r="AU608" s="14"/>
    </row>
    <row r="609" ht="15.75" customHeight="1">
      <c r="B609" s="158"/>
      <c r="E609" s="13"/>
      <c r="I609" s="13"/>
      <c r="P609" s="13"/>
      <c r="T609" s="13"/>
      <c r="X609" s="13"/>
      <c r="Y609" s="13"/>
      <c r="Z609" s="13"/>
      <c r="AA609" s="13"/>
      <c r="AS609" s="14"/>
      <c r="AT609" s="14"/>
      <c r="AU609" s="14"/>
    </row>
    <row r="610" ht="15.75" customHeight="1">
      <c r="B610" s="158"/>
      <c r="E610" s="13"/>
      <c r="I610" s="13"/>
      <c r="P610" s="13"/>
      <c r="T610" s="13"/>
      <c r="X610" s="13"/>
      <c r="Y610" s="13"/>
      <c r="Z610" s="13"/>
      <c r="AA610" s="13"/>
      <c r="AS610" s="14"/>
      <c r="AT610" s="14"/>
      <c r="AU610" s="14"/>
    </row>
    <row r="611" ht="15.75" customHeight="1">
      <c r="B611" s="158"/>
      <c r="E611" s="13"/>
      <c r="I611" s="13"/>
      <c r="P611" s="13"/>
      <c r="T611" s="13"/>
      <c r="X611" s="13"/>
      <c r="Y611" s="13"/>
      <c r="Z611" s="13"/>
      <c r="AA611" s="13"/>
      <c r="AS611" s="14"/>
      <c r="AT611" s="14"/>
      <c r="AU611" s="14"/>
    </row>
    <row r="612" ht="15.75" customHeight="1">
      <c r="B612" s="158"/>
      <c r="E612" s="13"/>
      <c r="I612" s="13"/>
      <c r="P612" s="13"/>
      <c r="T612" s="13"/>
      <c r="X612" s="13"/>
      <c r="Y612" s="13"/>
      <c r="Z612" s="13"/>
      <c r="AA612" s="13"/>
      <c r="AS612" s="14"/>
      <c r="AT612" s="14"/>
      <c r="AU612" s="14"/>
    </row>
    <row r="613" ht="15.75" customHeight="1">
      <c r="B613" s="158"/>
      <c r="E613" s="13"/>
      <c r="I613" s="13"/>
      <c r="P613" s="13"/>
      <c r="T613" s="13"/>
      <c r="X613" s="13"/>
      <c r="Y613" s="13"/>
      <c r="Z613" s="13"/>
      <c r="AA613" s="13"/>
      <c r="AS613" s="14"/>
      <c r="AT613" s="14"/>
      <c r="AU613" s="14"/>
    </row>
    <row r="614" ht="15.75" customHeight="1">
      <c r="B614" s="158"/>
      <c r="E614" s="13"/>
      <c r="I614" s="13"/>
      <c r="P614" s="13"/>
      <c r="T614" s="13"/>
      <c r="X614" s="13"/>
      <c r="Y614" s="13"/>
      <c r="Z614" s="13"/>
      <c r="AA614" s="13"/>
      <c r="AS614" s="14"/>
      <c r="AT614" s="14"/>
      <c r="AU614" s="14"/>
    </row>
    <row r="615" ht="15.75" customHeight="1">
      <c r="B615" s="158"/>
      <c r="E615" s="13"/>
      <c r="I615" s="13"/>
      <c r="P615" s="13"/>
      <c r="T615" s="13"/>
      <c r="X615" s="13"/>
      <c r="Y615" s="13"/>
      <c r="Z615" s="13"/>
      <c r="AA615" s="13"/>
      <c r="AS615" s="14"/>
      <c r="AT615" s="14"/>
      <c r="AU615" s="14"/>
    </row>
    <row r="616" ht="15.75" customHeight="1">
      <c r="B616" s="158"/>
      <c r="E616" s="13"/>
      <c r="I616" s="13"/>
      <c r="P616" s="13"/>
      <c r="T616" s="13"/>
      <c r="X616" s="13"/>
      <c r="Y616" s="13"/>
      <c r="Z616" s="13"/>
      <c r="AA616" s="13"/>
      <c r="AS616" s="14"/>
      <c r="AT616" s="14"/>
      <c r="AU616" s="14"/>
    </row>
    <row r="617" ht="15.75" customHeight="1">
      <c r="B617" s="158"/>
      <c r="E617" s="13"/>
      <c r="I617" s="13"/>
      <c r="P617" s="13"/>
      <c r="T617" s="13"/>
      <c r="X617" s="13"/>
      <c r="Y617" s="13"/>
      <c r="Z617" s="13"/>
      <c r="AA617" s="13"/>
      <c r="AS617" s="14"/>
      <c r="AT617" s="14"/>
      <c r="AU617" s="14"/>
    </row>
    <row r="618" ht="15.75" customHeight="1">
      <c r="B618" s="158"/>
      <c r="E618" s="13"/>
      <c r="I618" s="13"/>
      <c r="P618" s="13"/>
      <c r="T618" s="13"/>
      <c r="X618" s="13"/>
      <c r="Y618" s="13"/>
      <c r="Z618" s="13"/>
      <c r="AA618" s="13"/>
      <c r="AS618" s="14"/>
      <c r="AT618" s="14"/>
      <c r="AU618" s="14"/>
    </row>
    <row r="619" ht="15.75" customHeight="1">
      <c r="B619" s="158"/>
      <c r="E619" s="13"/>
      <c r="I619" s="13"/>
      <c r="P619" s="13"/>
      <c r="T619" s="13"/>
      <c r="X619" s="13"/>
      <c r="Y619" s="13"/>
      <c r="Z619" s="13"/>
      <c r="AA619" s="13"/>
      <c r="AS619" s="14"/>
      <c r="AT619" s="14"/>
      <c r="AU619" s="14"/>
    </row>
    <row r="620" ht="15.75" customHeight="1">
      <c r="B620" s="158"/>
      <c r="E620" s="13"/>
      <c r="I620" s="13"/>
      <c r="P620" s="13"/>
      <c r="T620" s="13"/>
      <c r="X620" s="13"/>
      <c r="Y620" s="13"/>
      <c r="Z620" s="13"/>
      <c r="AA620" s="13"/>
      <c r="AS620" s="14"/>
      <c r="AT620" s="14"/>
      <c r="AU620" s="14"/>
    </row>
    <row r="621" ht="15.75" customHeight="1">
      <c r="B621" s="158"/>
      <c r="E621" s="13"/>
      <c r="I621" s="13"/>
      <c r="P621" s="13"/>
      <c r="T621" s="13"/>
      <c r="X621" s="13"/>
      <c r="Y621" s="13"/>
      <c r="Z621" s="13"/>
      <c r="AA621" s="13"/>
      <c r="AS621" s="14"/>
      <c r="AT621" s="14"/>
      <c r="AU621" s="14"/>
    </row>
    <row r="622" ht="15.75" customHeight="1">
      <c r="B622" s="158"/>
      <c r="E622" s="13"/>
      <c r="I622" s="13"/>
      <c r="P622" s="13"/>
      <c r="T622" s="13"/>
      <c r="X622" s="13"/>
      <c r="Y622" s="13"/>
      <c r="Z622" s="13"/>
      <c r="AA622" s="13"/>
      <c r="AS622" s="14"/>
      <c r="AT622" s="14"/>
      <c r="AU622" s="14"/>
    </row>
    <row r="623" ht="15.75" customHeight="1">
      <c r="B623" s="158"/>
      <c r="E623" s="13"/>
      <c r="I623" s="13"/>
      <c r="P623" s="13"/>
      <c r="T623" s="13"/>
      <c r="X623" s="13"/>
      <c r="Y623" s="13"/>
      <c r="Z623" s="13"/>
      <c r="AA623" s="13"/>
      <c r="AS623" s="14"/>
      <c r="AT623" s="14"/>
      <c r="AU623" s="14"/>
    </row>
    <row r="624" ht="15.75" customHeight="1">
      <c r="B624" s="158"/>
      <c r="E624" s="13"/>
      <c r="I624" s="13"/>
      <c r="P624" s="13"/>
      <c r="T624" s="13"/>
      <c r="X624" s="13"/>
      <c r="Y624" s="13"/>
      <c r="Z624" s="13"/>
      <c r="AA624" s="13"/>
      <c r="AS624" s="14"/>
      <c r="AT624" s="14"/>
      <c r="AU624" s="14"/>
    </row>
    <row r="625" ht="15.75" customHeight="1">
      <c r="B625" s="158"/>
      <c r="E625" s="13"/>
      <c r="I625" s="13"/>
      <c r="P625" s="13"/>
      <c r="T625" s="13"/>
      <c r="X625" s="13"/>
      <c r="Y625" s="13"/>
      <c r="Z625" s="13"/>
      <c r="AA625" s="13"/>
      <c r="AS625" s="14"/>
      <c r="AT625" s="14"/>
      <c r="AU625" s="14"/>
    </row>
    <row r="626" ht="15.75" customHeight="1">
      <c r="B626" s="158"/>
      <c r="E626" s="13"/>
      <c r="I626" s="13"/>
      <c r="P626" s="13"/>
      <c r="T626" s="13"/>
      <c r="X626" s="13"/>
      <c r="Y626" s="13"/>
      <c r="Z626" s="13"/>
      <c r="AA626" s="13"/>
      <c r="AS626" s="14"/>
      <c r="AT626" s="14"/>
      <c r="AU626" s="14"/>
    </row>
    <row r="627" ht="15.75" customHeight="1">
      <c r="B627" s="158"/>
      <c r="E627" s="13"/>
      <c r="I627" s="13"/>
      <c r="P627" s="13"/>
      <c r="T627" s="13"/>
      <c r="X627" s="13"/>
      <c r="Y627" s="13"/>
      <c r="Z627" s="13"/>
      <c r="AA627" s="13"/>
      <c r="AS627" s="14"/>
      <c r="AT627" s="14"/>
      <c r="AU627" s="14"/>
    </row>
    <row r="628" ht="15.75" customHeight="1">
      <c r="B628" s="158"/>
      <c r="E628" s="13"/>
      <c r="I628" s="13"/>
      <c r="P628" s="13"/>
      <c r="T628" s="13"/>
      <c r="X628" s="13"/>
      <c r="Y628" s="13"/>
      <c r="Z628" s="13"/>
      <c r="AA628" s="13"/>
      <c r="AS628" s="14"/>
      <c r="AT628" s="14"/>
      <c r="AU628" s="14"/>
    </row>
    <row r="629" ht="15.75" customHeight="1">
      <c r="B629" s="158"/>
      <c r="E629" s="13"/>
      <c r="I629" s="13"/>
      <c r="P629" s="13"/>
      <c r="T629" s="13"/>
      <c r="X629" s="13"/>
      <c r="Y629" s="13"/>
      <c r="Z629" s="13"/>
      <c r="AA629" s="13"/>
      <c r="AS629" s="14"/>
      <c r="AT629" s="14"/>
      <c r="AU629" s="14"/>
    </row>
    <row r="630" ht="15.75" customHeight="1">
      <c r="B630" s="158"/>
      <c r="E630" s="13"/>
      <c r="I630" s="13"/>
      <c r="P630" s="13"/>
      <c r="T630" s="13"/>
      <c r="X630" s="13"/>
      <c r="Y630" s="13"/>
      <c r="Z630" s="13"/>
      <c r="AA630" s="13"/>
      <c r="AS630" s="14"/>
      <c r="AT630" s="14"/>
      <c r="AU630" s="14"/>
    </row>
    <row r="631" ht="15.75" customHeight="1">
      <c r="B631" s="158"/>
      <c r="E631" s="13"/>
      <c r="I631" s="13"/>
      <c r="P631" s="13"/>
      <c r="T631" s="13"/>
      <c r="X631" s="13"/>
      <c r="Y631" s="13"/>
      <c r="Z631" s="13"/>
      <c r="AA631" s="13"/>
      <c r="AS631" s="14"/>
      <c r="AT631" s="14"/>
      <c r="AU631" s="14"/>
    </row>
    <row r="632" ht="15.75" customHeight="1">
      <c r="B632" s="158"/>
      <c r="E632" s="13"/>
      <c r="I632" s="13"/>
      <c r="P632" s="13"/>
      <c r="T632" s="13"/>
      <c r="X632" s="13"/>
      <c r="Y632" s="13"/>
      <c r="Z632" s="13"/>
      <c r="AA632" s="13"/>
      <c r="AS632" s="14"/>
      <c r="AT632" s="14"/>
      <c r="AU632" s="14"/>
    </row>
    <row r="633" ht="15.75" customHeight="1">
      <c r="B633" s="158"/>
      <c r="E633" s="13"/>
      <c r="I633" s="13"/>
      <c r="P633" s="13"/>
      <c r="T633" s="13"/>
      <c r="X633" s="13"/>
      <c r="Y633" s="13"/>
      <c r="Z633" s="13"/>
      <c r="AA633" s="13"/>
      <c r="AS633" s="14"/>
      <c r="AT633" s="14"/>
      <c r="AU633" s="14"/>
    </row>
    <row r="634" ht="15.75" customHeight="1">
      <c r="B634" s="158"/>
      <c r="E634" s="13"/>
      <c r="I634" s="13"/>
      <c r="P634" s="13"/>
      <c r="T634" s="13"/>
      <c r="X634" s="13"/>
      <c r="Y634" s="13"/>
      <c r="Z634" s="13"/>
      <c r="AA634" s="13"/>
      <c r="AS634" s="14"/>
      <c r="AT634" s="14"/>
      <c r="AU634" s="14"/>
    </row>
    <row r="635" ht="15.75" customHeight="1">
      <c r="B635" s="158"/>
      <c r="E635" s="13"/>
      <c r="I635" s="13"/>
      <c r="P635" s="13"/>
      <c r="T635" s="13"/>
      <c r="X635" s="13"/>
      <c r="Y635" s="13"/>
      <c r="Z635" s="13"/>
      <c r="AA635" s="13"/>
      <c r="AS635" s="14"/>
      <c r="AT635" s="14"/>
      <c r="AU635" s="14"/>
    </row>
    <row r="636" ht="15.75" customHeight="1">
      <c r="B636" s="158"/>
      <c r="E636" s="13"/>
      <c r="I636" s="13"/>
      <c r="P636" s="13"/>
      <c r="T636" s="13"/>
      <c r="X636" s="13"/>
      <c r="Y636" s="13"/>
      <c r="Z636" s="13"/>
      <c r="AA636" s="13"/>
      <c r="AS636" s="14"/>
      <c r="AT636" s="14"/>
      <c r="AU636" s="14"/>
    </row>
    <row r="637" ht="15.75" customHeight="1">
      <c r="B637" s="158"/>
      <c r="E637" s="13"/>
      <c r="I637" s="13"/>
      <c r="P637" s="13"/>
      <c r="T637" s="13"/>
      <c r="X637" s="13"/>
      <c r="Y637" s="13"/>
      <c r="Z637" s="13"/>
      <c r="AA637" s="13"/>
      <c r="AS637" s="14"/>
      <c r="AT637" s="14"/>
      <c r="AU637" s="14"/>
    </row>
    <row r="638" ht="15.75" customHeight="1">
      <c r="B638" s="158"/>
      <c r="E638" s="13"/>
      <c r="I638" s="13"/>
      <c r="P638" s="13"/>
      <c r="T638" s="13"/>
      <c r="X638" s="13"/>
      <c r="Y638" s="13"/>
      <c r="Z638" s="13"/>
      <c r="AA638" s="13"/>
      <c r="AS638" s="14"/>
      <c r="AT638" s="14"/>
      <c r="AU638" s="14"/>
    </row>
    <row r="639" ht="15.75" customHeight="1">
      <c r="B639" s="158"/>
      <c r="E639" s="13"/>
      <c r="I639" s="13"/>
      <c r="P639" s="13"/>
      <c r="T639" s="13"/>
      <c r="X639" s="13"/>
      <c r="Y639" s="13"/>
      <c r="Z639" s="13"/>
      <c r="AA639" s="13"/>
      <c r="AS639" s="14"/>
      <c r="AT639" s="14"/>
      <c r="AU639" s="14"/>
    </row>
    <row r="640" ht="15.75" customHeight="1">
      <c r="B640" s="158"/>
      <c r="E640" s="13"/>
      <c r="I640" s="13"/>
      <c r="P640" s="13"/>
      <c r="T640" s="13"/>
      <c r="X640" s="13"/>
      <c r="Y640" s="13"/>
      <c r="Z640" s="13"/>
      <c r="AA640" s="13"/>
      <c r="AS640" s="14"/>
      <c r="AT640" s="14"/>
      <c r="AU640" s="14"/>
    </row>
    <row r="641" ht="15.75" customHeight="1">
      <c r="B641" s="158"/>
      <c r="E641" s="13"/>
      <c r="I641" s="13"/>
      <c r="P641" s="13"/>
      <c r="T641" s="13"/>
      <c r="X641" s="13"/>
      <c r="Y641" s="13"/>
      <c r="Z641" s="13"/>
      <c r="AA641" s="13"/>
      <c r="AS641" s="14"/>
      <c r="AT641" s="14"/>
      <c r="AU641" s="14"/>
    </row>
    <row r="642" ht="15.75" customHeight="1">
      <c r="B642" s="158"/>
      <c r="E642" s="13"/>
      <c r="I642" s="13"/>
      <c r="P642" s="13"/>
      <c r="T642" s="13"/>
      <c r="X642" s="13"/>
      <c r="Y642" s="13"/>
      <c r="Z642" s="13"/>
      <c r="AA642" s="13"/>
      <c r="AS642" s="14"/>
      <c r="AT642" s="14"/>
      <c r="AU642" s="14"/>
    </row>
    <row r="643" ht="15.75" customHeight="1">
      <c r="B643" s="158"/>
      <c r="E643" s="13"/>
      <c r="I643" s="13"/>
      <c r="P643" s="13"/>
      <c r="T643" s="13"/>
      <c r="X643" s="13"/>
      <c r="Y643" s="13"/>
      <c r="Z643" s="13"/>
      <c r="AA643" s="13"/>
      <c r="AS643" s="14"/>
      <c r="AT643" s="14"/>
      <c r="AU643" s="14"/>
    </row>
    <row r="644" ht="15.75" customHeight="1">
      <c r="B644" s="158"/>
      <c r="E644" s="13"/>
      <c r="I644" s="13"/>
      <c r="P644" s="13"/>
      <c r="T644" s="13"/>
      <c r="X644" s="13"/>
      <c r="Y644" s="13"/>
      <c r="Z644" s="13"/>
      <c r="AA644" s="13"/>
      <c r="AS644" s="14"/>
      <c r="AT644" s="14"/>
      <c r="AU644" s="14"/>
    </row>
    <row r="645" ht="15.75" customHeight="1">
      <c r="B645" s="158"/>
      <c r="E645" s="13"/>
      <c r="I645" s="13"/>
      <c r="P645" s="13"/>
      <c r="T645" s="13"/>
      <c r="X645" s="13"/>
      <c r="Y645" s="13"/>
      <c r="Z645" s="13"/>
      <c r="AA645" s="13"/>
      <c r="AS645" s="14"/>
      <c r="AT645" s="14"/>
      <c r="AU645" s="14"/>
    </row>
    <row r="646" ht="15.75" customHeight="1">
      <c r="B646" s="158"/>
      <c r="E646" s="13"/>
      <c r="I646" s="13"/>
      <c r="P646" s="13"/>
      <c r="T646" s="13"/>
      <c r="X646" s="13"/>
      <c r="Y646" s="13"/>
      <c r="Z646" s="13"/>
      <c r="AA646" s="13"/>
      <c r="AS646" s="14"/>
      <c r="AT646" s="14"/>
      <c r="AU646" s="14"/>
    </row>
    <row r="647" ht="15.75" customHeight="1">
      <c r="B647" s="158"/>
      <c r="E647" s="13"/>
      <c r="I647" s="13"/>
      <c r="P647" s="13"/>
      <c r="T647" s="13"/>
      <c r="X647" s="13"/>
      <c r="Y647" s="13"/>
      <c r="Z647" s="13"/>
      <c r="AA647" s="13"/>
      <c r="AS647" s="14"/>
      <c r="AT647" s="14"/>
      <c r="AU647" s="14"/>
    </row>
    <row r="648" ht="15.75" customHeight="1">
      <c r="B648" s="158"/>
      <c r="E648" s="13"/>
      <c r="I648" s="13"/>
      <c r="P648" s="13"/>
      <c r="T648" s="13"/>
      <c r="X648" s="13"/>
      <c r="Y648" s="13"/>
      <c r="Z648" s="13"/>
      <c r="AA648" s="13"/>
      <c r="AS648" s="14"/>
      <c r="AT648" s="14"/>
      <c r="AU648" s="14"/>
    </row>
    <row r="649" ht="15.75" customHeight="1">
      <c r="B649" s="158"/>
      <c r="E649" s="13"/>
      <c r="I649" s="13"/>
      <c r="P649" s="13"/>
      <c r="T649" s="13"/>
      <c r="X649" s="13"/>
      <c r="Y649" s="13"/>
      <c r="Z649" s="13"/>
      <c r="AA649" s="13"/>
      <c r="AS649" s="14"/>
      <c r="AT649" s="14"/>
      <c r="AU649" s="14"/>
    </row>
    <row r="650" ht="15.75" customHeight="1">
      <c r="B650" s="158"/>
      <c r="E650" s="13"/>
      <c r="I650" s="13"/>
      <c r="P650" s="13"/>
      <c r="T650" s="13"/>
      <c r="X650" s="13"/>
      <c r="Y650" s="13"/>
      <c r="Z650" s="13"/>
      <c r="AA650" s="13"/>
      <c r="AS650" s="14"/>
      <c r="AT650" s="14"/>
      <c r="AU650" s="14"/>
    </row>
    <row r="651" ht="15.75" customHeight="1">
      <c r="B651" s="158"/>
      <c r="E651" s="13"/>
      <c r="I651" s="13"/>
      <c r="P651" s="13"/>
      <c r="T651" s="13"/>
      <c r="X651" s="13"/>
      <c r="Y651" s="13"/>
      <c r="Z651" s="13"/>
      <c r="AA651" s="13"/>
      <c r="AS651" s="14"/>
      <c r="AT651" s="14"/>
      <c r="AU651" s="14"/>
    </row>
    <row r="652" ht="15.75" customHeight="1">
      <c r="B652" s="158"/>
      <c r="E652" s="13"/>
      <c r="I652" s="13"/>
      <c r="P652" s="13"/>
      <c r="T652" s="13"/>
      <c r="X652" s="13"/>
      <c r="Y652" s="13"/>
      <c r="Z652" s="13"/>
      <c r="AA652" s="13"/>
      <c r="AS652" s="14"/>
      <c r="AT652" s="14"/>
      <c r="AU652" s="14"/>
    </row>
    <row r="653" ht="15.75" customHeight="1">
      <c r="B653" s="158"/>
      <c r="E653" s="13"/>
      <c r="I653" s="13"/>
      <c r="P653" s="13"/>
      <c r="T653" s="13"/>
      <c r="X653" s="13"/>
      <c r="Y653" s="13"/>
      <c r="Z653" s="13"/>
      <c r="AA653" s="13"/>
      <c r="AS653" s="14"/>
      <c r="AT653" s="14"/>
      <c r="AU653" s="14"/>
    </row>
    <row r="654" ht="15.75" customHeight="1">
      <c r="B654" s="158"/>
      <c r="E654" s="13"/>
      <c r="I654" s="13"/>
      <c r="P654" s="13"/>
      <c r="T654" s="13"/>
      <c r="X654" s="13"/>
      <c r="Y654" s="13"/>
      <c r="Z654" s="13"/>
      <c r="AA654" s="13"/>
      <c r="AS654" s="14"/>
      <c r="AT654" s="14"/>
      <c r="AU654" s="14"/>
    </row>
    <row r="655" ht="15.75" customHeight="1">
      <c r="B655" s="158"/>
      <c r="E655" s="13"/>
      <c r="I655" s="13"/>
      <c r="P655" s="13"/>
      <c r="T655" s="13"/>
      <c r="X655" s="13"/>
      <c r="Y655" s="13"/>
      <c r="Z655" s="13"/>
      <c r="AA655" s="13"/>
      <c r="AS655" s="14"/>
      <c r="AT655" s="14"/>
      <c r="AU655" s="14"/>
    </row>
    <row r="656" ht="15.75" customHeight="1">
      <c r="B656" s="158"/>
      <c r="E656" s="13"/>
      <c r="I656" s="13"/>
      <c r="P656" s="13"/>
      <c r="T656" s="13"/>
      <c r="X656" s="13"/>
      <c r="Y656" s="13"/>
      <c r="Z656" s="13"/>
      <c r="AA656" s="13"/>
      <c r="AS656" s="14"/>
      <c r="AT656" s="14"/>
      <c r="AU656" s="14"/>
    </row>
    <row r="657" ht="15.75" customHeight="1">
      <c r="B657" s="158"/>
      <c r="E657" s="13"/>
      <c r="I657" s="13"/>
      <c r="P657" s="13"/>
      <c r="T657" s="13"/>
      <c r="X657" s="13"/>
      <c r="Y657" s="13"/>
      <c r="Z657" s="13"/>
      <c r="AA657" s="13"/>
      <c r="AS657" s="14"/>
      <c r="AT657" s="14"/>
      <c r="AU657" s="14"/>
    </row>
    <row r="658" ht="15.75" customHeight="1">
      <c r="B658" s="158"/>
      <c r="E658" s="13"/>
      <c r="I658" s="13"/>
      <c r="P658" s="13"/>
      <c r="T658" s="13"/>
      <c r="X658" s="13"/>
      <c r="Y658" s="13"/>
      <c r="Z658" s="13"/>
      <c r="AA658" s="13"/>
      <c r="AS658" s="14"/>
      <c r="AT658" s="14"/>
      <c r="AU658" s="14"/>
    </row>
    <row r="659" ht="15.75" customHeight="1">
      <c r="B659" s="158"/>
      <c r="E659" s="13"/>
      <c r="I659" s="13"/>
      <c r="P659" s="13"/>
      <c r="T659" s="13"/>
      <c r="X659" s="13"/>
      <c r="Y659" s="13"/>
      <c r="Z659" s="13"/>
      <c r="AA659" s="13"/>
      <c r="AS659" s="14"/>
      <c r="AT659" s="14"/>
      <c r="AU659" s="14"/>
    </row>
    <row r="660" ht="15.75" customHeight="1">
      <c r="B660" s="158"/>
      <c r="E660" s="13"/>
      <c r="I660" s="13"/>
      <c r="P660" s="13"/>
      <c r="T660" s="13"/>
      <c r="X660" s="13"/>
      <c r="Y660" s="13"/>
      <c r="Z660" s="13"/>
      <c r="AA660" s="13"/>
      <c r="AS660" s="14"/>
      <c r="AT660" s="14"/>
      <c r="AU660" s="14"/>
    </row>
    <row r="661" ht="15.75" customHeight="1">
      <c r="B661" s="158"/>
      <c r="E661" s="13"/>
      <c r="I661" s="13"/>
      <c r="P661" s="13"/>
      <c r="T661" s="13"/>
      <c r="X661" s="13"/>
      <c r="Y661" s="13"/>
      <c r="Z661" s="13"/>
      <c r="AA661" s="13"/>
      <c r="AS661" s="14"/>
      <c r="AT661" s="14"/>
      <c r="AU661" s="14"/>
    </row>
    <row r="662" ht="15.75" customHeight="1">
      <c r="B662" s="158"/>
      <c r="E662" s="13"/>
      <c r="I662" s="13"/>
      <c r="P662" s="13"/>
      <c r="T662" s="13"/>
      <c r="X662" s="13"/>
      <c r="Y662" s="13"/>
      <c r="Z662" s="13"/>
      <c r="AA662" s="13"/>
      <c r="AS662" s="14"/>
      <c r="AT662" s="14"/>
      <c r="AU662" s="14"/>
    </row>
    <row r="663" ht="15.75" customHeight="1">
      <c r="B663" s="158"/>
      <c r="E663" s="13"/>
      <c r="I663" s="13"/>
      <c r="P663" s="13"/>
      <c r="T663" s="13"/>
      <c r="X663" s="13"/>
      <c r="Y663" s="13"/>
      <c r="Z663" s="13"/>
      <c r="AA663" s="13"/>
      <c r="AS663" s="14"/>
      <c r="AT663" s="14"/>
      <c r="AU663" s="14"/>
    </row>
    <row r="664" ht="15.75" customHeight="1">
      <c r="B664" s="158"/>
      <c r="E664" s="13"/>
      <c r="I664" s="13"/>
      <c r="P664" s="13"/>
      <c r="T664" s="13"/>
      <c r="X664" s="13"/>
      <c r="Y664" s="13"/>
      <c r="Z664" s="13"/>
      <c r="AA664" s="13"/>
      <c r="AS664" s="14"/>
      <c r="AT664" s="14"/>
      <c r="AU664" s="14"/>
    </row>
    <row r="665" ht="15.75" customHeight="1">
      <c r="B665" s="158"/>
      <c r="E665" s="13"/>
      <c r="I665" s="13"/>
      <c r="P665" s="13"/>
      <c r="T665" s="13"/>
      <c r="X665" s="13"/>
      <c r="Y665" s="13"/>
      <c r="Z665" s="13"/>
      <c r="AA665" s="13"/>
      <c r="AS665" s="14"/>
      <c r="AT665" s="14"/>
      <c r="AU665" s="14"/>
    </row>
    <row r="666" ht="15.75" customHeight="1">
      <c r="B666" s="158"/>
      <c r="E666" s="13"/>
      <c r="I666" s="13"/>
      <c r="P666" s="13"/>
      <c r="T666" s="13"/>
      <c r="X666" s="13"/>
      <c r="Y666" s="13"/>
      <c r="Z666" s="13"/>
      <c r="AA666" s="13"/>
      <c r="AS666" s="14"/>
      <c r="AT666" s="14"/>
      <c r="AU666" s="14"/>
    </row>
    <row r="667" ht="15.75" customHeight="1">
      <c r="B667" s="158"/>
      <c r="E667" s="13"/>
      <c r="I667" s="13"/>
      <c r="P667" s="13"/>
      <c r="T667" s="13"/>
      <c r="X667" s="13"/>
      <c r="Y667" s="13"/>
      <c r="Z667" s="13"/>
      <c r="AA667" s="13"/>
      <c r="AS667" s="14"/>
      <c r="AT667" s="14"/>
      <c r="AU667" s="14"/>
    </row>
    <row r="668" ht="15.75" customHeight="1">
      <c r="B668" s="158"/>
      <c r="E668" s="13"/>
      <c r="I668" s="13"/>
      <c r="P668" s="13"/>
      <c r="T668" s="13"/>
      <c r="X668" s="13"/>
      <c r="Y668" s="13"/>
      <c r="Z668" s="13"/>
      <c r="AA668" s="13"/>
      <c r="AS668" s="14"/>
      <c r="AT668" s="14"/>
      <c r="AU668" s="14"/>
    </row>
    <row r="669" ht="15.75" customHeight="1">
      <c r="B669" s="158"/>
      <c r="E669" s="13"/>
      <c r="I669" s="13"/>
      <c r="P669" s="13"/>
      <c r="T669" s="13"/>
      <c r="X669" s="13"/>
      <c r="Y669" s="13"/>
      <c r="Z669" s="13"/>
      <c r="AA669" s="13"/>
      <c r="AS669" s="14"/>
      <c r="AT669" s="14"/>
      <c r="AU669" s="14"/>
    </row>
    <row r="670" ht="15.75" customHeight="1">
      <c r="B670" s="158"/>
      <c r="E670" s="13"/>
      <c r="I670" s="13"/>
      <c r="P670" s="13"/>
      <c r="T670" s="13"/>
      <c r="X670" s="13"/>
      <c r="Y670" s="13"/>
      <c r="Z670" s="13"/>
      <c r="AA670" s="13"/>
      <c r="AS670" s="14"/>
      <c r="AT670" s="14"/>
      <c r="AU670" s="14"/>
    </row>
    <row r="671" ht="15.75" customHeight="1">
      <c r="B671" s="158"/>
      <c r="E671" s="13"/>
      <c r="I671" s="13"/>
      <c r="P671" s="13"/>
      <c r="T671" s="13"/>
      <c r="X671" s="13"/>
      <c r="Y671" s="13"/>
      <c r="Z671" s="13"/>
      <c r="AA671" s="13"/>
      <c r="AS671" s="14"/>
      <c r="AT671" s="14"/>
      <c r="AU671" s="14"/>
    </row>
    <row r="672" ht="15.75" customHeight="1">
      <c r="B672" s="158"/>
      <c r="E672" s="13"/>
      <c r="I672" s="13"/>
      <c r="P672" s="13"/>
      <c r="T672" s="13"/>
      <c r="X672" s="13"/>
      <c r="Y672" s="13"/>
      <c r="Z672" s="13"/>
      <c r="AA672" s="13"/>
      <c r="AS672" s="14"/>
      <c r="AT672" s="14"/>
      <c r="AU672" s="14"/>
    </row>
    <row r="673" ht="15.75" customHeight="1">
      <c r="B673" s="158"/>
      <c r="E673" s="13"/>
      <c r="I673" s="13"/>
      <c r="P673" s="13"/>
      <c r="T673" s="13"/>
      <c r="X673" s="13"/>
      <c r="Y673" s="13"/>
      <c r="Z673" s="13"/>
      <c r="AA673" s="13"/>
      <c r="AS673" s="14"/>
      <c r="AT673" s="14"/>
      <c r="AU673" s="14"/>
    </row>
    <row r="674" ht="15.75" customHeight="1">
      <c r="B674" s="158"/>
      <c r="E674" s="13"/>
      <c r="I674" s="13"/>
      <c r="P674" s="13"/>
      <c r="T674" s="13"/>
      <c r="X674" s="13"/>
      <c r="Y674" s="13"/>
      <c r="Z674" s="13"/>
      <c r="AA674" s="13"/>
      <c r="AS674" s="14"/>
      <c r="AT674" s="14"/>
      <c r="AU674" s="14"/>
    </row>
    <row r="675" ht="15.75" customHeight="1">
      <c r="B675" s="158"/>
      <c r="E675" s="13"/>
      <c r="I675" s="13"/>
      <c r="P675" s="13"/>
      <c r="T675" s="13"/>
      <c r="X675" s="13"/>
      <c r="Y675" s="13"/>
      <c r="Z675" s="13"/>
      <c r="AA675" s="13"/>
      <c r="AS675" s="14"/>
      <c r="AT675" s="14"/>
      <c r="AU675" s="14"/>
    </row>
    <row r="676" ht="15.75" customHeight="1">
      <c r="B676" s="158"/>
      <c r="E676" s="13"/>
      <c r="I676" s="13"/>
      <c r="P676" s="13"/>
      <c r="T676" s="13"/>
      <c r="X676" s="13"/>
      <c r="Y676" s="13"/>
      <c r="Z676" s="13"/>
      <c r="AA676" s="13"/>
      <c r="AS676" s="14"/>
      <c r="AT676" s="14"/>
      <c r="AU676" s="14"/>
    </row>
    <row r="677" ht="15.75" customHeight="1">
      <c r="B677" s="158"/>
      <c r="E677" s="13"/>
      <c r="I677" s="13"/>
      <c r="P677" s="13"/>
      <c r="T677" s="13"/>
      <c r="X677" s="13"/>
      <c r="Y677" s="13"/>
      <c r="Z677" s="13"/>
      <c r="AA677" s="13"/>
      <c r="AS677" s="14"/>
      <c r="AT677" s="14"/>
      <c r="AU677" s="14"/>
    </row>
    <row r="678" ht="15.75" customHeight="1">
      <c r="B678" s="158"/>
      <c r="E678" s="13"/>
      <c r="I678" s="13"/>
      <c r="P678" s="13"/>
      <c r="T678" s="13"/>
      <c r="X678" s="13"/>
      <c r="Y678" s="13"/>
      <c r="Z678" s="13"/>
      <c r="AA678" s="13"/>
      <c r="AS678" s="14"/>
      <c r="AT678" s="14"/>
      <c r="AU678" s="14"/>
    </row>
    <row r="679" ht="15.75" customHeight="1">
      <c r="B679" s="158"/>
      <c r="E679" s="13"/>
      <c r="I679" s="13"/>
      <c r="P679" s="13"/>
      <c r="T679" s="13"/>
      <c r="X679" s="13"/>
      <c r="Y679" s="13"/>
      <c r="Z679" s="13"/>
      <c r="AA679" s="13"/>
      <c r="AS679" s="14"/>
      <c r="AT679" s="14"/>
      <c r="AU679" s="14"/>
    </row>
    <row r="680" ht="15.75" customHeight="1">
      <c r="B680" s="158"/>
      <c r="E680" s="13"/>
      <c r="I680" s="13"/>
      <c r="P680" s="13"/>
      <c r="T680" s="13"/>
      <c r="X680" s="13"/>
      <c r="Y680" s="13"/>
      <c r="Z680" s="13"/>
      <c r="AA680" s="13"/>
      <c r="AS680" s="14"/>
      <c r="AT680" s="14"/>
      <c r="AU680" s="14"/>
    </row>
    <row r="681" ht="15.75" customHeight="1">
      <c r="B681" s="158"/>
      <c r="E681" s="13"/>
      <c r="I681" s="13"/>
      <c r="P681" s="13"/>
      <c r="T681" s="13"/>
      <c r="X681" s="13"/>
      <c r="Y681" s="13"/>
      <c r="Z681" s="13"/>
      <c r="AA681" s="13"/>
      <c r="AS681" s="14"/>
      <c r="AT681" s="14"/>
      <c r="AU681" s="14"/>
    </row>
    <row r="682" ht="15.75" customHeight="1">
      <c r="B682" s="158"/>
      <c r="E682" s="13"/>
      <c r="I682" s="13"/>
      <c r="P682" s="13"/>
      <c r="T682" s="13"/>
      <c r="X682" s="13"/>
      <c r="Y682" s="13"/>
      <c r="Z682" s="13"/>
      <c r="AA682" s="13"/>
      <c r="AS682" s="14"/>
      <c r="AT682" s="14"/>
      <c r="AU682" s="14"/>
    </row>
    <row r="683" ht="15.75" customHeight="1">
      <c r="B683" s="158"/>
      <c r="E683" s="13"/>
      <c r="I683" s="13"/>
      <c r="P683" s="13"/>
      <c r="T683" s="13"/>
      <c r="X683" s="13"/>
      <c r="Y683" s="13"/>
      <c r="Z683" s="13"/>
      <c r="AA683" s="13"/>
      <c r="AS683" s="14"/>
      <c r="AT683" s="14"/>
      <c r="AU683" s="14"/>
    </row>
    <row r="684" ht="15.75" customHeight="1">
      <c r="B684" s="158"/>
      <c r="E684" s="13"/>
      <c r="I684" s="13"/>
      <c r="P684" s="13"/>
      <c r="T684" s="13"/>
      <c r="X684" s="13"/>
      <c r="Y684" s="13"/>
      <c r="Z684" s="13"/>
      <c r="AA684" s="13"/>
      <c r="AS684" s="14"/>
      <c r="AT684" s="14"/>
      <c r="AU684" s="14"/>
    </row>
    <row r="685" ht="15.75" customHeight="1">
      <c r="B685" s="158"/>
      <c r="E685" s="13"/>
      <c r="I685" s="13"/>
      <c r="P685" s="13"/>
      <c r="T685" s="13"/>
      <c r="X685" s="13"/>
      <c r="Y685" s="13"/>
      <c r="Z685" s="13"/>
      <c r="AA685" s="13"/>
      <c r="AS685" s="14"/>
      <c r="AT685" s="14"/>
      <c r="AU685" s="14"/>
    </row>
    <row r="686" ht="15.75" customHeight="1">
      <c r="B686" s="158"/>
      <c r="E686" s="13"/>
      <c r="I686" s="13"/>
      <c r="P686" s="13"/>
      <c r="T686" s="13"/>
      <c r="X686" s="13"/>
      <c r="Y686" s="13"/>
      <c r="Z686" s="13"/>
      <c r="AA686" s="13"/>
      <c r="AS686" s="14"/>
      <c r="AT686" s="14"/>
      <c r="AU686" s="14"/>
    </row>
    <row r="687" ht="15.75" customHeight="1">
      <c r="B687" s="158"/>
      <c r="E687" s="13"/>
      <c r="I687" s="13"/>
      <c r="P687" s="13"/>
      <c r="T687" s="13"/>
      <c r="X687" s="13"/>
      <c r="Y687" s="13"/>
      <c r="Z687" s="13"/>
      <c r="AA687" s="13"/>
      <c r="AS687" s="14"/>
      <c r="AT687" s="14"/>
      <c r="AU687" s="14"/>
    </row>
    <row r="688" ht="15.75" customHeight="1">
      <c r="B688" s="158"/>
      <c r="E688" s="13"/>
      <c r="I688" s="13"/>
      <c r="P688" s="13"/>
      <c r="T688" s="13"/>
      <c r="X688" s="13"/>
      <c r="Y688" s="13"/>
      <c r="Z688" s="13"/>
      <c r="AA688" s="13"/>
      <c r="AS688" s="14"/>
      <c r="AT688" s="14"/>
      <c r="AU688" s="14"/>
    </row>
    <row r="689" ht="15.75" customHeight="1">
      <c r="B689" s="158"/>
      <c r="E689" s="13"/>
      <c r="I689" s="13"/>
      <c r="P689" s="13"/>
      <c r="T689" s="13"/>
      <c r="X689" s="13"/>
      <c r="Y689" s="13"/>
      <c r="Z689" s="13"/>
      <c r="AA689" s="13"/>
      <c r="AS689" s="14"/>
      <c r="AT689" s="14"/>
      <c r="AU689" s="14"/>
    </row>
    <row r="690" ht="15.75" customHeight="1">
      <c r="B690" s="158"/>
      <c r="E690" s="13"/>
      <c r="I690" s="13"/>
      <c r="P690" s="13"/>
      <c r="T690" s="13"/>
      <c r="X690" s="13"/>
      <c r="Y690" s="13"/>
      <c r="Z690" s="13"/>
      <c r="AA690" s="13"/>
      <c r="AS690" s="14"/>
      <c r="AT690" s="14"/>
      <c r="AU690" s="14"/>
    </row>
    <row r="691" ht="15.75" customHeight="1">
      <c r="B691" s="158"/>
      <c r="E691" s="13"/>
      <c r="I691" s="13"/>
      <c r="P691" s="13"/>
      <c r="T691" s="13"/>
      <c r="X691" s="13"/>
      <c r="Y691" s="13"/>
      <c r="Z691" s="13"/>
      <c r="AA691" s="13"/>
      <c r="AS691" s="14"/>
      <c r="AT691" s="14"/>
      <c r="AU691" s="14"/>
    </row>
    <row r="692" ht="15.75" customHeight="1">
      <c r="B692" s="158"/>
      <c r="E692" s="13"/>
      <c r="I692" s="13"/>
      <c r="P692" s="13"/>
      <c r="T692" s="13"/>
      <c r="X692" s="13"/>
      <c r="Y692" s="13"/>
      <c r="Z692" s="13"/>
      <c r="AA692" s="13"/>
      <c r="AS692" s="14"/>
      <c r="AT692" s="14"/>
      <c r="AU692" s="14"/>
    </row>
    <row r="693" ht="15.75" customHeight="1">
      <c r="B693" s="158"/>
      <c r="E693" s="13"/>
      <c r="I693" s="13"/>
      <c r="P693" s="13"/>
      <c r="T693" s="13"/>
      <c r="X693" s="13"/>
      <c r="Y693" s="13"/>
      <c r="Z693" s="13"/>
      <c r="AA693" s="13"/>
      <c r="AS693" s="14"/>
      <c r="AT693" s="14"/>
      <c r="AU693" s="14"/>
    </row>
    <row r="694" ht="15.75" customHeight="1">
      <c r="B694" s="158"/>
      <c r="E694" s="13"/>
      <c r="I694" s="13"/>
      <c r="P694" s="13"/>
      <c r="T694" s="13"/>
      <c r="X694" s="13"/>
      <c r="Y694" s="13"/>
      <c r="Z694" s="13"/>
      <c r="AA694" s="13"/>
      <c r="AS694" s="14"/>
      <c r="AT694" s="14"/>
      <c r="AU694" s="14"/>
    </row>
    <row r="695" ht="15.75" customHeight="1">
      <c r="B695" s="158"/>
      <c r="E695" s="13"/>
      <c r="I695" s="13"/>
      <c r="P695" s="13"/>
      <c r="T695" s="13"/>
      <c r="X695" s="13"/>
      <c r="Y695" s="13"/>
      <c r="Z695" s="13"/>
      <c r="AA695" s="13"/>
      <c r="AS695" s="14"/>
      <c r="AT695" s="14"/>
      <c r="AU695" s="14"/>
    </row>
    <row r="696" ht="15.75" customHeight="1">
      <c r="B696" s="158"/>
      <c r="E696" s="13"/>
      <c r="I696" s="13"/>
      <c r="P696" s="13"/>
      <c r="T696" s="13"/>
      <c r="X696" s="13"/>
      <c r="Y696" s="13"/>
      <c r="Z696" s="13"/>
      <c r="AA696" s="13"/>
      <c r="AS696" s="14"/>
      <c r="AT696" s="14"/>
      <c r="AU696" s="14"/>
    </row>
    <row r="697" ht="15.75" customHeight="1">
      <c r="B697" s="158"/>
      <c r="E697" s="13"/>
      <c r="I697" s="13"/>
      <c r="P697" s="13"/>
      <c r="T697" s="13"/>
      <c r="X697" s="13"/>
      <c r="Y697" s="13"/>
      <c r="Z697" s="13"/>
      <c r="AA697" s="13"/>
      <c r="AS697" s="14"/>
      <c r="AT697" s="14"/>
      <c r="AU697" s="14"/>
    </row>
    <row r="698" ht="15.75" customHeight="1">
      <c r="B698" s="158"/>
      <c r="E698" s="13"/>
      <c r="I698" s="13"/>
      <c r="P698" s="13"/>
      <c r="T698" s="13"/>
      <c r="X698" s="13"/>
      <c r="Y698" s="13"/>
      <c r="Z698" s="13"/>
      <c r="AA698" s="13"/>
      <c r="AS698" s="14"/>
      <c r="AT698" s="14"/>
      <c r="AU698" s="14"/>
    </row>
    <row r="699" ht="15.75" customHeight="1">
      <c r="B699" s="158"/>
      <c r="E699" s="13"/>
      <c r="I699" s="13"/>
      <c r="P699" s="13"/>
      <c r="T699" s="13"/>
      <c r="X699" s="13"/>
      <c r="Y699" s="13"/>
      <c r="Z699" s="13"/>
      <c r="AA699" s="13"/>
      <c r="AS699" s="14"/>
      <c r="AT699" s="14"/>
      <c r="AU699" s="14"/>
    </row>
    <row r="700" ht="15.75" customHeight="1">
      <c r="B700" s="158"/>
      <c r="E700" s="13"/>
      <c r="I700" s="13"/>
      <c r="P700" s="13"/>
      <c r="T700" s="13"/>
      <c r="X700" s="13"/>
      <c r="Y700" s="13"/>
      <c r="Z700" s="13"/>
      <c r="AA700" s="13"/>
      <c r="AS700" s="14"/>
      <c r="AT700" s="14"/>
      <c r="AU700" s="14"/>
    </row>
    <row r="701" ht="15.75" customHeight="1">
      <c r="B701" s="158"/>
      <c r="E701" s="13"/>
      <c r="I701" s="13"/>
      <c r="P701" s="13"/>
      <c r="T701" s="13"/>
      <c r="X701" s="13"/>
      <c r="Y701" s="13"/>
      <c r="Z701" s="13"/>
      <c r="AA701" s="13"/>
      <c r="AS701" s="14"/>
      <c r="AT701" s="14"/>
      <c r="AU701" s="14"/>
    </row>
    <row r="702" ht="15.75" customHeight="1">
      <c r="B702" s="158"/>
      <c r="E702" s="13"/>
      <c r="I702" s="13"/>
      <c r="P702" s="13"/>
      <c r="T702" s="13"/>
      <c r="X702" s="13"/>
      <c r="Y702" s="13"/>
      <c r="Z702" s="13"/>
      <c r="AA702" s="13"/>
      <c r="AS702" s="14"/>
      <c r="AT702" s="14"/>
      <c r="AU702" s="14"/>
    </row>
    <row r="703" ht="15.75" customHeight="1">
      <c r="B703" s="158"/>
      <c r="E703" s="13"/>
      <c r="I703" s="13"/>
      <c r="P703" s="13"/>
      <c r="T703" s="13"/>
      <c r="X703" s="13"/>
      <c r="Y703" s="13"/>
      <c r="Z703" s="13"/>
      <c r="AA703" s="13"/>
      <c r="AS703" s="14"/>
      <c r="AT703" s="14"/>
      <c r="AU703" s="14"/>
    </row>
    <row r="704" ht="15.75" customHeight="1">
      <c r="B704" s="158"/>
      <c r="E704" s="13"/>
      <c r="I704" s="13"/>
      <c r="P704" s="13"/>
      <c r="T704" s="13"/>
      <c r="X704" s="13"/>
      <c r="Y704" s="13"/>
      <c r="Z704" s="13"/>
      <c r="AA704" s="13"/>
      <c r="AS704" s="14"/>
      <c r="AT704" s="14"/>
      <c r="AU704" s="14"/>
    </row>
    <row r="705" ht="15.75" customHeight="1">
      <c r="B705" s="158"/>
      <c r="E705" s="13"/>
      <c r="I705" s="13"/>
      <c r="P705" s="13"/>
      <c r="T705" s="13"/>
      <c r="X705" s="13"/>
      <c r="Y705" s="13"/>
      <c r="Z705" s="13"/>
      <c r="AA705" s="13"/>
      <c r="AS705" s="14"/>
      <c r="AT705" s="14"/>
      <c r="AU705" s="14"/>
    </row>
    <row r="706" ht="15.75" customHeight="1">
      <c r="B706" s="158"/>
      <c r="E706" s="13"/>
      <c r="I706" s="13"/>
      <c r="P706" s="13"/>
      <c r="T706" s="13"/>
      <c r="X706" s="13"/>
      <c r="Y706" s="13"/>
      <c r="Z706" s="13"/>
      <c r="AA706" s="13"/>
      <c r="AS706" s="14"/>
      <c r="AT706" s="14"/>
      <c r="AU706" s="14"/>
    </row>
    <row r="707" ht="15.75" customHeight="1">
      <c r="B707" s="158"/>
      <c r="E707" s="13"/>
      <c r="I707" s="13"/>
      <c r="P707" s="13"/>
      <c r="T707" s="13"/>
      <c r="X707" s="13"/>
      <c r="Y707" s="13"/>
      <c r="Z707" s="13"/>
      <c r="AA707" s="13"/>
      <c r="AS707" s="14"/>
      <c r="AT707" s="14"/>
      <c r="AU707" s="14"/>
    </row>
    <row r="708" ht="15.75" customHeight="1">
      <c r="B708" s="158"/>
      <c r="E708" s="13"/>
      <c r="I708" s="13"/>
      <c r="P708" s="13"/>
      <c r="T708" s="13"/>
      <c r="X708" s="13"/>
      <c r="Y708" s="13"/>
      <c r="Z708" s="13"/>
      <c r="AA708" s="13"/>
      <c r="AS708" s="14"/>
      <c r="AT708" s="14"/>
      <c r="AU708" s="14"/>
    </row>
    <row r="709" ht="15.75" customHeight="1">
      <c r="B709" s="158"/>
      <c r="E709" s="13"/>
      <c r="I709" s="13"/>
      <c r="P709" s="13"/>
      <c r="T709" s="13"/>
      <c r="X709" s="13"/>
      <c r="Y709" s="13"/>
      <c r="Z709" s="13"/>
      <c r="AA709" s="13"/>
      <c r="AS709" s="14"/>
      <c r="AT709" s="14"/>
      <c r="AU709" s="14"/>
    </row>
    <row r="710" ht="15.75" customHeight="1">
      <c r="B710" s="158"/>
      <c r="E710" s="13"/>
      <c r="I710" s="13"/>
      <c r="P710" s="13"/>
      <c r="T710" s="13"/>
      <c r="X710" s="13"/>
      <c r="Y710" s="13"/>
      <c r="Z710" s="13"/>
      <c r="AA710" s="13"/>
      <c r="AS710" s="14"/>
      <c r="AT710" s="14"/>
      <c r="AU710" s="14"/>
    </row>
    <row r="711" ht="15.75" customHeight="1">
      <c r="B711" s="158"/>
      <c r="E711" s="13"/>
      <c r="I711" s="13"/>
      <c r="P711" s="13"/>
      <c r="T711" s="13"/>
      <c r="X711" s="13"/>
      <c r="Y711" s="13"/>
      <c r="Z711" s="13"/>
      <c r="AA711" s="13"/>
      <c r="AS711" s="14"/>
      <c r="AT711" s="14"/>
      <c r="AU711" s="14"/>
    </row>
    <row r="712" ht="15.75" customHeight="1">
      <c r="B712" s="158"/>
      <c r="E712" s="13"/>
      <c r="I712" s="13"/>
      <c r="P712" s="13"/>
      <c r="T712" s="13"/>
      <c r="X712" s="13"/>
      <c r="Y712" s="13"/>
      <c r="Z712" s="13"/>
      <c r="AA712" s="13"/>
      <c r="AS712" s="14"/>
      <c r="AT712" s="14"/>
      <c r="AU712" s="14"/>
    </row>
    <row r="713" ht="15.75" customHeight="1">
      <c r="B713" s="158"/>
      <c r="E713" s="13"/>
      <c r="I713" s="13"/>
      <c r="P713" s="13"/>
      <c r="T713" s="13"/>
      <c r="X713" s="13"/>
      <c r="Y713" s="13"/>
      <c r="Z713" s="13"/>
      <c r="AA713" s="13"/>
      <c r="AS713" s="14"/>
      <c r="AT713" s="14"/>
      <c r="AU713" s="14"/>
    </row>
    <row r="714" ht="15.75" customHeight="1">
      <c r="B714" s="158"/>
      <c r="E714" s="13"/>
      <c r="I714" s="13"/>
      <c r="P714" s="13"/>
      <c r="T714" s="13"/>
      <c r="X714" s="13"/>
      <c r="Y714" s="13"/>
      <c r="Z714" s="13"/>
      <c r="AA714" s="13"/>
      <c r="AS714" s="14"/>
      <c r="AT714" s="14"/>
      <c r="AU714" s="14"/>
    </row>
    <row r="715" ht="15.75" customHeight="1">
      <c r="B715" s="158"/>
      <c r="E715" s="13"/>
      <c r="I715" s="13"/>
      <c r="P715" s="13"/>
      <c r="T715" s="13"/>
      <c r="X715" s="13"/>
      <c r="Y715" s="13"/>
      <c r="Z715" s="13"/>
      <c r="AA715" s="13"/>
      <c r="AS715" s="14"/>
      <c r="AT715" s="14"/>
      <c r="AU715" s="14"/>
    </row>
    <row r="716" ht="15.75" customHeight="1">
      <c r="B716" s="158"/>
      <c r="E716" s="13"/>
      <c r="I716" s="13"/>
      <c r="P716" s="13"/>
      <c r="T716" s="13"/>
      <c r="X716" s="13"/>
      <c r="Y716" s="13"/>
      <c r="Z716" s="13"/>
      <c r="AA716" s="13"/>
      <c r="AS716" s="14"/>
      <c r="AT716" s="14"/>
      <c r="AU716" s="14"/>
    </row>
    <row r="717" ht="15.75" customHeight="1">
      <c r="B717" s="158"/>
      <c r="E717" s="13"/>
      <c r="I717" s="13"/>
      <c r="P717" s="13"/>
      <c r="T717" s="13"/>
      <c r="X717" s="13"/>
      <c r="Y717" s="13"/>
      <c r="Z717" s="13"/>
      <c r="AA717" s="13"/>
      <c r="AS717" s="14"/>
      <c r="AT717" s="14"/>
      <c r="AU717" s="14"/>
    </row>
    <row r="718" ht="15.75" customHeight="1">
      <c r="B718" s="158"/>
      <c r="E718" s="13"/>
      <c r="I718" s="13"/>
      <c r="P718" s="13"/>
      <c r="T718" s="13"/>
      <c r="X718" s="13"/>
      <c r="Y718" s="13"/>
      <c r="Z718" s="13"/>
      <c r="AA718" s="13"/>
      <c r="AS718" s="14"/>
      <c r="AT718" s="14"/>
      <c r="AU718" s="14"/>
    </row>
    <row r="719" ht="15.75" customHeight="1">
      <c r="B719" s="158"/>
      <c r="E719" s="13"/>
      <c r="I719" s="13"/>
      <c r="P719" s="13"/>
      <c r="T719" s="13"/>
      <c r="X719" s="13"/>
      <c r="Y719" s="13"/>
      <c r="Z719" s="13"/>
      <c r="AA719" s="13"/>
      <c r="AS719" s="14"/>
      <c r="AT719" s="14"/>
      <c r="AU719" s="14"/>
    </row>
    <row r="720" ht="15.75" customHeight="1">
      <c r="B720" s="158"/>
      <c r="E720" s="13"/>
      <c r="I720" s="13"/>
      <c r="P720" s="13"/>
      <c r="T720" s="13"/>
      <c r="X720" s="13"/>
      <c r="Y720" s="13"/>
      <c r="Z720" s="13"/>
      <c r="AA720" s="13"/>
      <c r="AS720" s="14"/>
      <c r="AT720" s="14"/>
      <c r="AU720" s="14"/>
    </row>
    <row r="721" ht="15.75" customHeight="1">
      <c r="B721" s="158"/>
      <c r="E721" s="13"/>
      <c r="I721" s="13"/>
      <c r="P721" s="13"/>
      <c r="T721" s="13"/>
      <c r="X721" s="13"/>
      <c r="Y721" s="13"/>
      <c r="Z721" s="13"/>
      <c r="AA721" s="13"/>
      <c r="AS721" s="14"/>
      <c r="AT721" s="14"/>
      <c r="AU721" s="14"/>
    </row>
    <row r="722" ht="15.75" customHeight="1">
      <c r="B722" s="158"/>
      <c r="E722" s="13"/>
      <c r="I722" s="13"/>
      <c r="P722" s="13"/>
      <c r="T722" s="13"/>
      <c r="X722" s="13"/>
      <c r="Y722" s="13"/>
      <c r="Z722" s="13"/>
      <c r="AA722" s="13"/>
      <c r="AS722" s="14"/>
      <c r="AT722" s="14"/>
      <c r="AU722" s="14"/>
    </row>
    <row r="723" ht="15.75" customHeight="1">
      <c r="B723" s="158"/>
      <c r="E723" s="13"/>
      <c r="I723" s="13"/>
      <c r="P723" s="13"/>
      <c r="T723" s="13"/>
      <c r="X723" s="13"/>
      <c r="Y723" s="13"/>
      <c r="Z723" s="13"/>
      <c r="AA723" s="13"/>
      <c r="AS723" s="14"/>
      <c r="AT723" s="14"/>
      <c r="AU723" s="14"/>
    </row>
    <row r="724" ht="15.75" customHeight="1">
      <c r="B724" s="158"/>
      <c r="E724" s="13"/>
      <c r="I724" s="13"/>
      <c r="P724" s="13"/>
      <c r="T724" s="13"/>
      <c r="X724" s="13"/>
      <c r="Y724" s="13"/>
      <c r="Z724" s="13"/>
      <c r="AA724" s="13"/>
      <c r="AS724" s="14"/>
      <c r="AT724" s="14"/>
      <c r="AU724" s="14"/>
    </row>
    <row r="725" ht="15.75" customHeight="1">
      <c r="B725" s="158"/>
      <c r="E725" s="13"/>
      <c r="I725" s="13"/>
      <c r="P725" s="13"/>
      <c r="T725" s="13"/>
      <c r="X725" s="13"/>
      <c r="Y725" s="13"/>
      <c r="Z725" s="13"/>
      <c r="AA725" s="13"/>
      <c r="AS725" s="14"/>
      <c r="AT725" s="14"/>
      <c r="AU725" s="14"/>
    </row>
    <row r="726" ht="15.75" customHeight="1">
      <c r="B726" s="158"/>
      <c r="E726" s="13"/>
      <c r="I726" s="13"/>
      <c r="P726" s="13"/>
      <c r="T726" s="13"/>
      <c r="X726" s="13"/>
      <c r="Y726" s="13"/>
      <c r="Z726" s="13"/>
      <c r="AA726" s="13"/>
      <c r="AS726" s="14"/>
      <c r="AT726" s="14"/>
      <c r="AU726" s="14"/>
    </row>
    <row r="727" ht="15.75" customHeight="1">
      <c r="B727" s="158"/>
      <c r="E727" s="13"/>
      <c r="I727" s="13"/>
      <c r="P727" s="13"/>
      <c r="T727" s="13"/>
      <c r="X727" s="13"/>
      <c r="Y727" s="13"/>
      <c r="Z727" s="13"/>
      <c r="AA727" s="13"/>
      <c r="AS727" s="14"/>
      <c r="AT727" s="14"/>
      <c r="AU727" s="14"/>
    </row>
    <row r="728" ht="15.75" customHeight="1">
      <c r="B728" s="158"/>
      <c r="E728" s="13"/>
      <c r="I728" s="13"/>
      <c r="P728" s="13"/>
      <c r="T728" s="13"/>
      <c r="X728" s="13"/>
      <c r="Y728" s="13"/>
      <c r="Z728" s="13"/>
      <c r="AA728" s="13"/>
      <c r="AS728" s="14"/>
      <c r="AT728" s="14"/>
      <c r="AU728" s="14"/>
    </row>
    <row r="729" ht="15.75" customHeight="1">
      <c r="B729" s="158"/>
      <c r="E729" s="13"/>
      <c r="I729" s="13"/>
      <c r="P729" s="13"/>
      <c r="T729" s="13"/>
      <c r="X729" s="13"/>
      <c r="Y729" s="13"/>
      <c r="Z729" s="13"/>
      <c r="AA729" s="13"/>
      <c r="AS729" s="14"/>
      <c r="AT729" s="14"/>
      <c r="AU729" s="14"/>
    </row>
    <row r="730" ht="15.75" customHeight="1">
      <c r="B730" s="158"/>
      <c r="E730" s="13"/>
      <c r="I730" s="13"/>
      <c r="P730" s="13"/>
      <c r="T730" s="13"/>
      <c r="X730" s="13"/>
      <c r="Y730" s="13"/>
      <c r="Z730" s="13"/>
      <c r="AA730" s="13"/>
      <c r="AS730" s="14"/>
      <c r="AT730" s="14"/>
      <c r="AU730" s="14"/>
    </row>
    <row r="731" ht="15.75" customHeight="1">
      <c r="B731" s="158"/>
      <c r="E731" s="13"/>
      <c r="I731" s="13"/>
      <c r="P731" s="13"/>
      <c r="T731" s="13"/>
      <c r="X731" s="13"/>
      <c r="Y731" s="13"/>
      <c r="Z731" s="13"/>
      <c r="AA731" s="13"/>
      <c r="AS731" s="14"/>
      <c r="AT731" s="14"/>
      <c r="AU731" s="14"/>
    </row>
    <row r="732" ht="15.75" customHeight="1">
      <c r="B732" s="158"/>
      <c r="E732" s="13"/>
      <c r="I732" s="13"/>
      <c r="P732" s="13"/>
      <c r="T732" s="13"/>
      <c r="X732" s="13"/>
      <c r="Y732" s="13"/>
      <c r="Z732" s="13"/>
      <c r="AA732" s="13"/>
      <c r="AS732" s="14"/>
      <c r="AT732" s="14"/>
      <c r="AU732" s="14"/>
    </row>
    <row r="733" ht="15.75" customHeight="1">
      <c r="B733" s="158"/>
      <c r="E733" s="13"/>
      <c r="I733" s="13"/>
      <c r="P733" s="13"/>
      <c r="T733" s="13"/>
      <c r="X733" s="13"/>
      <c r="Y733" s="13"/>
      <c r="Z733" s="13"/>
      <c r="AA733" s="13"/>
      <c r="AS733" s="14"/>
      <c r="AT733" s="14"/>
      <c r="AU733" s="14"/>
    </row>
    <row r="734" ht="15.75" customHeight="1">
      <c r="B734" s="158"/>
      <c r="E734" s="13"/>
      <c r="I734" s="13"/>
      <c r="P734" s="13"/>
      <c r="T734" s="13"/>
      <c r="X734" s="13"/>
      <c r="Y734" s="13"/>
      <c r="Z734" s="13"/>
      <c r="AA734" s="13"/>
      <c r="AS734" s="14"/>
      <c r="AT734" s="14"/>
      <c r="AU734" s="14"/>
    </row>
    <row r="735" ht="15.75" customHeight="1">
      <c r="B735" s="158"/>
      <c r="E735" s="13"/>
      <c r="I735" s="13"/>
      <c r="P735" s="13"/>
      <c r="T735" s="13"/>
      <c r="X735" s="13"/>
      <c r="Y735" s="13"/>
      <c r="Z735" s="13"/>
      <c r="AA735" s="13"/>
      <c r="AS735" s="14"/>
      <c r="AT735" s="14"/>
      <c r="AU735" s="14"/>
    </row>
    <row r="736" ht="15.75" customHeight="1">
      <c r="B736" s="158"/>
      <c r="E736" s="13"/>
      <c r="I736" s="13"/>
      <c r="P736" s="13"/>
      <c r="T736" s="13"/>
      <c r="X736" s="13"/>
      <c r="Y736" s="13"/>
      <c r="Z736" s="13"/>
      <c r="AA736" s="13"/>
      <c r="AS736" s="14"/>
      <c r="AT736" s="14"/>
      <c r="AU736" s="14"/>
    </row>
    <row r="737" ht="15.75" customHeight="1">
      <c r="B737" s="158"/>
      <c r="E737" s="13"/>
      <c r="I737" s="13"/>
      <c r="P737" s="13"/>
      <c r="T737" s="13"/>
      <c r="X737" s="13"/>
      <c r="Y737" s="13"/>
      <c r="Z737" s="13"/>
      <c r="AA737" s="13"/>
      <c r="AS737" s="14"/>
      <c r="AT737" s="14"/>
      <c r="AU737" s="14"/>
    </row>
    <row r="738" ht="15.75" customHeight="1">
      <c r="B738" s="158"/>
      <c r="E738" s="13"/>
      <c r="I738" s="13"/>
      <c r="P738" s="13"/>
      <c r="T738" s="13"/>
      <c r="X738" s="13"/>
      <c r="Y738" s="13"/>
      <c r="Z738" s="13"/>
      <c r="AA738" s="13"/>
      <c r="AS738" s="14"/>
      <c r="AT738" s="14"/>
      <c r="AU738" s="14"/>
    </row>
    <row r="739" ht="15.75" customHeight="1">
      <c r="B739" s="158"/>
      <c r="E739" s="13"/>
      <c r="I739" s="13"/>
      <c r="P739" s="13"/>
      <c r="T739" s="13"/>
      <c r="X739" s="13"/>
      <c r="Y739" s="13"/>
      <c r="Z739" s="13"/>
      <c r="AA739" s="13"/>
      <c r="AS739" s="14"/>
      <c r="AT739" s="14"/>
      <c r="AU739" s="14"/>
    </row>
    <row r="740" ht="15.75" customHeight="1">
      <c r="B740" s="158"/>
      <c r="E740" s="13"/>
      <c r="I740" s="13"/>
      <c r="P740" s="13"/>
      <c r="T740" s="13"/>
      <c r="X740" s="13"/>
      <c r="Y740" s="13"/>
      <c r="Z740" s="13"/>
      <c r="AA740" s="13"/>
      <c r="AS740" s="14"/>
      <c r="AT740" s="14"/>
      <c r="AU740" s="14"/>
    </row>
    <row r="741" ht="15.75" customHeight="1">
      <c r="B741" s="158"/>
      <c r="E741" s="13"/>
      <c r="I741" s="13"/>
      <c r="P741" s="13"/>
      <c r="T741" s="13"/>
      <c r="X741" s="13"/>
      <c r="Y741" s="13"/>
      <c r="Z741" s="13"/>
      <c r="AA741" s="13"/>
      <c r="AS741" s="14"/>
      <c r="AT741" s="14"/>
      <c r="AU741" s="14"/>
    </row>
    <row r="742" ht="15.75" customHeight="1">
      <c r="B742" s="158"/>
      <c r="E742" s="13"/>
      <c r="I742" s="13"/>
      <c r="P742" s="13"/>
      <c r="T742" s="13"/>
      <c r="X742" s="13"/>
      <c r="Y742" s="13"/>
      <c r="Z742" s="13"/>
      <c r="AA742" s="13"/>
      <c r="AS742" s="14"/>
      <c r="AT742" s="14"/>
      <c r="AU742" s="14"/>
    </row>
    <row r="743" ht="15.75" customHeight="1">
      <c r="B743" s="158"/>
      <c r="E743" s="13"/>
      <c r="I743" s="13"/>
      <c r="P743" s="13"/>
      <c r="T743" s="13"/>
      <c r="X743" s="13"/>
      <c r="Y743" s="13"/>
      <c r="Z743" s="13"/>
      <c r="AA743" s="13"/>
      <c r="AS743" s="14"/>
      <c r="AT743" s="14"/>
      <c r="AU743" s="14"/>
    </row>
    <row r="744" ht="15.75" customHeight="1">
      <c r="B744" s="158"/>
      <c r="E744" s="13"/>
      <c r="I744" s="13"/>
      <c r="P744" s="13"/>
      <c r="T744" s="13"/>
      <c r="X744" s="13"/>
      <c r="Y744" s="13"/>
      <c r="Z744" s="13"/>
      <c r="AA744" s="13"/>
      <c r="AS744" s="14"/>
      <c r="AT744" s="14"/>
      <c r="AU744" s="14"/>
    </row>
    <row r="745" ht="15.75" customHeight="1">
      <c r="B745" s="158"/>
      <c r="E745" s="13"/>
      <c r="I745" s="13"/>
      <c r="P745" s="13"/>
      <c r="T745" s="13"/>
      <c r="X745" s="13"/>
      <c r="Y745" s="13"/>
      <c r="Z745" s="13"/>
      <c r="AA745" s="13"/>
      <c r="AS745" s="14"/>
      <c r="AT745" s="14"/>
      <c r="AU745" s="14"/>
    </row>
    <row r="746" ht="15.75" customHeight="1">
      <c r="B746" s="158"/>
      <c r="E746" s="13"/>
      <c r="I746" s="13"/>
      <c r="P746" s="13"/>
      <c r="T746" s="13"/>
      <c r="X746" s="13"/>
      <c r="Y746" s="13"/>
      <c r="Z746" s="13"/>
      <c r="AA746" s="13"/>
      <c r="AS746" s="14"/>
      <c r="AT746" s="14"/>
      <c r="AU746" s="14"/>
    </row>
    <row r="747" ht="15.75" customHeight="1">
      <c r="B747" s="158"/>
      <c r="E747" s="13"/>
      <c r="I747" s="13"/>
      <c r="P747" s="13"/>
      <c r="T747" s="13"/>
      <c r="X747" s="13"/>
      <c r="Y747" s="13"/>
      <c r="Z747" s="13"/>
      <c r="AA747" s="13"/>
      <c r="AS747" s="14"/>
      <c r="AT747" s="14"/>
      <c r="AU747" s="14"/>
    </row>
    <row r="748" ht="15.75" customHeight="1">
      <c r="B748" s="158"/>
      <c r="E748" s="13"/>
      <c r="I748" s="13"/>
      <c r="P748" s="13"/>
      <c r="T748" s="13"/>
      <c r="X748" s="13"/>
      <c r="Y748" s="13"/>
      <c r="Z748" s="13"/>
      <c r="AA748" s="13"/>
      <c r="AS748" s="14"/>
      <c r="AT748" s="14"/>
      <c r="AU748" s="14"/>
    </row>
    <row r="749" ht="15.75" customHeight="1">
      <c r="B749" s="158"/>
      <c r="E749" s="13"/>
      <c r="I749" s="13"/>
      <c r="P749" s="13"/>
      <c r="T749" s="13"/>
      <c r="X749" s="13"/>
      <c r="Y749" s="13"/>
      <c r="Z749" s="13"/>
      <c r="AA749" s="13"/>
      <c r="AS749" s="14"/>
      <c r="AT749" s="14"/>
      <c r="AU749" s="14"/>
    </row>
    <row r="750" ht="15.75" customHeight="1">
      <c r="B750" s="158"/>
      <c r="E750" s="13"/>
      <c r="I750" s="13"/>
      <c r="P750" s="13"/>
      <c r="T750" s="13"/>
      <c r="X750" s="13"/>
      <c r="Y750" s="13"/>
      <c r="Z750" s="13"/>
      <c r="AA750" s="13"/>
      <c r="AS750" s="14"/>
      <c r="AT750" s="14"/>
      <c r="AU750" s="14"/>
    </row>
    <row r="751" ht="15.75" customHeight="1">
      <c r="B751" s="158"/>
      <c r="E751" s="13"/>
      <c r="I751" s="13"/>
      <c r="P751" s="13"/>
      <c r="T751" s="13"/>
      <c r="X751" s="13"/>
      <c r="Y751" s="13"/>
      <c r="Z751" s="13"/>
      <c r="AA751" s="13"/>
      <c r="AS751" s="14"/>
      <c r="AT751" s="14"/>
      <c r="AU751" s="14"/>
    </row>
    <row r="752" ht="15.75" customHeight="1">
      <c r="B752" s="158"/>
      <c r="E752" s="13"/>
      <c r="I752" s="13"/>
      <c r="P752" s="13"/>
      <c r="T752" s="13"/>
      <c r="X752" s="13"/>
      <c r="Y752" s="13"/>
      <c r="Z752" s="13"/>
      <c r="AA752" s="13"/>
      <c r="AS752" s="14"/>
      <c r="AT752" s="14"/>
      <c r="AU752" s="14"/>
    </row>
    <row r="753" ht="15.75" customHeight="1">
      <c r="B753" s="158"/>
      <c r="E753" s="13"/>
      <c r="I753" s="13"/>
      <c r="P753" s="13"/>
      <c r="T753" s="13"/>
      <c r="X753" s="13"/>
      <c r="Y753" s="13"/>
      <c r="Z753" s="13"/>
      <c r="AA753" s="13"/>
      <c r="AS753" s="14"/>
      <c r="AT753" s="14"/>
      <c r="AU753" s="14"/>
    </row>
    <row r="754" ht="15.75" customHeight="1">
      <c r="B754" s="158"/>
      <c r="E754" s="13"/>
      <c r="I754" s="13"/>
      <c r="P754" s="13"/>
      <c r="T754" s="13"/>
      <c r="X754" s="13"/>
      <c r="Y754" s="13"/>
      <c r="Z754" s="13"/>
      <c r="AA754" s="13"/>
      <c r="AS754" s="14"/>
      <c r="AT754" s="14"/>
      <c r="AU754" s="14"/>
    </row>
    <row r="755" ht="15.75" customHeight="1">
      <c r="B755" s="158"/>
      <c r="E755" s="13"/>
      <c r="I755" s="13"/>
      <c r="P755" s="13"/>
      <c r="T755" s="13"/>
      <c r="X755" s="13"/>
      <c r="Y755" s="13"/>
      <c r="Z755" s="13"/>
      <c r="AA755" s="13"/>
      <c r="AS755" s="14"/>
      <c r="AT755" s="14"/>
      <c r="AU755" s="14"/>
    </row>
    <row r="756" ht="15.75" customHeight="1">
      <c r="B756" s="158"/>
      <c r="E756" s="13"/>
      <c r="I756" s="13"/>
      <c r="P756" s="13"/>
      <c r="T756" s="13"/>
      <c r="X756" s="13"/>
      <c r="Y756" s="13"/>
      <c r="Z756" s="13"/>
      <c r="AA756" s="13"/>
      <c r="AS756" s="14"/>
      <c r="AT756" s="14"/>
      <c r="AU756" s="14"/>
    </row>
    <row r="757" ht="15.75" customHeight="1">
      <c r="B757" s="158"/>
      <c r="E757" s="13"/>
      <c r="I757" s="13"/>
      <c r="P757" s="13"/>
      <c r="T757" s="13"/>
      <c r="X757" s="13"/>
      <c r="Y757" s="13"/>
      <c r="Z757" s="13"/>
      <c r="AA757" s="13"/>
      <c r="AS757" s="14"/>
      <c r="AT757" s="14"/>
      <c r="AU757" s="14"/>
    </row>
    <row r="758" ht="15.75" customHeight="1">
      <c r="B758" s="158"/>
      <c r="E758" s="13"/>
      <c r="I758" s="13"/>
      <c r="P758" s="13"/>
      <c r="T758" s="13"/>
      <c r="X758" s="13"/>
      <c r="Y758" s="13"/>
      <c r="Z758" s="13"/>
      <c r="AA758" s="13"/>
      <c r="AS758" s="14"/>
      <c r="AT758" s="14"/>
      <c r="AU758" s="14"/>
    </row>
    <row r="759" ht="15.75" customHeight="1">
      <c r="B759" s="158"/>
      <c r="E759" s="13"/>
      <c r="I759" s="13"/>
      <c r="P759" s="13"/>
      <c r="T759" s="13"/>
      <c r="X759" s="13"/>
      <c r="Y759" s="13"/>
      <c r="Z759" s="13"/>
      <c r="AA759" s="13"/>
      <c r="AS759" s="14"/>
      <c r="AT759" s="14"/>
      <c r="AU759" s="14"/>
    </row>
    <row r="760" ht="15.75" customHeight="1">
      <c r="B760" s="158"/>
      <c r="E760" s="13"/>
      <c r="I760" s="13"/>
      <c r="P760" s="13"/>
      <c r="T760" s="13"/>
      <c r="X760" s="13"/>
      <c r="Y760" s="13"/>
      <c r="Z760" s="13"/>
      <c r="AA760" s="13"/>
      <c r="AS760" s="14"/>
      <c r="AT760" s="14"/>
      <c r="AU760" s="14"/>
    </row>
    <row r="761" ht="15.75" customHeight="1">
      <c r="B761" s="158"/>
      <c r="E761" s="13"/>
      <c r="I761" s="13"/>
      <c r="P761" s="13"/>
      <c r="T761" s="13"/>
      <c r="X761" s="13"/>
      <c r="Y761" s="13"/>
      <c r="Z761" s="13"/>
      <c r="AA761" s="13"/>
      <c r="AS761" s="14"/>
      <c r="AT761" s="14"/>
      <c r="AU761" s="14"/>
    </row>
    <row r="762" ht="15.75" customHeight="1">
      <c r="B762" s="158"/>
      <c r="E762" s="13"/>
      <c r="I762" s="13"/>
      <c r="P762" s="13"/>
      <c r="T762" s="13"/>
      <c r="X762" s="13"/>
      <c r="Y762" s="13"/>
      <c r="Z762" s="13"/>
      <c r="AA762" s="13"/>
      <c r="AS762" s="14"/>
      <c r="AT762" s="14"/>
      <c r="AU762" s="14"/>
    </row>
    <row r="763" ht="15.75" customHeight="1">
      <c r="B763" s="158"/>
      <c r="E763" s="13"/>
      <c r="I763" s="13"/>
      <c r="P763" s="13"/>
      <c r="T763" s="13"/>
      <c r="X763" s="13"/>
      <c r="Y763" s="13"/>
      <c r="Z763" s="13"/>
      <c r="AA763" s="13"/>
      <c r="AS763" s="14"/>
      <c r="AT763" s="14"/>
      <c r="AU763" s="14"/>
    </row>
    <row r="764" ht="15.75" customHeight="1">
      <c r="B764" s="158"/>
      <c r="E764" s="13"/>
      <c r="I764" s="13"/>
      <c r="P764" s="13"/>
      <c r="T764" s="13"/>
      <c r="X764" s="13"/>
      <c r="Y764" s="13"/>
      <c r="Z764" s="13"/>
      <c r="AA764" s="13"/>
      <c r="AS764" s="14"/>
      <c r="AT764" s="14"/>
      <c r="AU764" s="14"/>
    </row>
    <row r="765" ht="15.75" customHeight="1">
      <c r="B765" s="158"/>
      <c r="E765" s="13"/>
      <c r="I765" s="13"/>
      <c r="P765" s="13"/>
      <c r="T765" s="13"/>
      <c r="X765" s="13"/>
      <c r="Y765" s="13"/>
      <c r="Z765" s="13"/>
      <c r="AA765" s="13"/>
      <c r="AS765" s="14"/>
      <c r="AT765" s="14"/>
      <c r="AU765" s="14"/>
    </row>
    <row r="766" ht="15.75" customHeight="1">
      <c r="B766" s="158"/>
      <c r="E766" s="13"/>
      <c r="I766" s="13"/>
      <c r="P766" s="13"/>
      <c r="T766" s="13"/>
      <c r="X766" s="13"/>
      <c r="Y766" s="13"/>
      <c r="Z766" s="13"/>
      <c r="AA766" s="13"/>
      <c r="AS766" s="14"/>
      <c r="AT766" s="14"/>
      <c r="AU766" s="14"/>
    </row>
    <row r="767" ht="15.75" customHeight="1">
      <c r="B767" s="158"/>
      <c r="E767" s="13"/>
      <c r="I767" s="13"/>
      <c r="P767" s="13"/>
      <c r="T767" s="13"/>
      <c r="X767" s="13"/>
      <c r="Y767" s="13"/>
      <c r="Z767" s="13"/>
      <c r="AA767" s="13"/>
      <c r="AS767" s="14"/>
      <c r="AT767" s="14"/>
      <c r="AU767" s="14"/>
    </row>
    <row r="768" ht="15.75" customHeight="1">
      <c r="B768" s="158"/>
      <c r="E768" s="13"/>
      <c r="I768" s="13"/>
      <c r="P768" s="13"/>
      <c r="T768" s="13"/>
      <c r="X768" s="13"/>
      <c r="Y768" s="13"/>
      <c r="Z768" s="13"/>
      <c r="AA768" s="13"/>
      <c r="AS768" s="14"/>
      <c r="AT768" s="14"/>
      <c r="AU768" s="14"/>
    </row>
    <row r="769" ht="15.75" customHeight="1">
      <c r="B769" s="158"/>
      <c r="E769" s="13"/>
      <c r="I769" s="13"/>
      <c r="P769" s="13"/>
      <c r="T769" s="13"/>
      <c r="X769" s="13"/>
      <c r="Y769" s="13"/>
      <c r="Z769" s="13"/>
      <c r="AA769" s="13"/>
      <c r="AS769" s="14"/>
      <c r="AT769" s="14"/>
      <c r="AU769" s="14"/>
    </row>
    <row r="770" ht="15.75" customHeight="1">
      <c r="B770" s="158"/>
      <c r="E770" s="13"/>
      <c r="I770" s="13"/>
      <c r="P770" s="13"/>
      <c r="T770" s="13"/>
      <c r="X770" s="13"/>
      <c r="Y770" s="13"/>
      <c r="Z770" s="13"/>
      <c r="AA770" s="13"/>
      <c r="AS770" s="14"/>
      <c r="AT770" s="14"/>
      <c r="AU770" s="14"/>
    </row>
    <row r="771" ht="15.75" customHeight="1">
      <c r="B771" s="158"/>
      <c r="E771" s="13"/>
      <c r="I771" s="13"/>
      <c r="P771" s="13"/>
      <c r="T771" s="13"/>
      <c r="X771" s="13"/>
      <c r="Y771" s="13"/>
      <c r="Z771" s="13"/>
      <c r="AA771" s="13"/>
      <c r="AS771" s="14"/>
      <c r="AT771" s="14"/>
      <c r="AU771" s="14"/>
    </row>
    <row r="772" ht="15.75" customHeight="1">
      <c r="B772" s="158"/>
      <c r="E772" s="13"/>
      <c r="I772" s="13"/>
      <c r="P772" s="13"/>
      <c r="T772" s="13"/>
      <c r="X772" s="13"/>
      <c r="Y772" s="13"/>
      <c r="Z772" s="13"/>
      <c r="AA772" s="13"/>
      <c r="AS772" s="14"/>
      <c r="AT772" s="14"/>
      <c r="AU772" s="14"/>
    </row>
    <row r="773" ht="15.75" customHeight="1">
      <c r="B773" s="158"/>
      <c r="E773" s="13"/>
      <c r="I773" s="13"/>
      <c r="P773" s="13"/>
      <c r="T773" s="13"/>
      <c r="X773" s="13"/>
      <c r="Y773" s="13"/>
      <c r="Z773" s="13"/>
      <c r="AA773" s="13"/>
      <c r="AS773" s="14"/>
      <c r="AT773" s="14"/>
      <c r="AU773" s="14"/>
    </row>
    <row r="774" ht="15.75" customHeight="1">
      <c r="B774" s="158"/>
      <c r="E774" s="13"/>
      <c r="I774" s="13"/>
      <c r="P774" s="13"/>
      <c r="T774" s="13"/>
      <c r="X774" s="13"/>
      <c r="Y774" s="13"/>
      <c r="Z774" s="13"/>
      <c r="AA774" s="13"/>
      <c r="AS774" s="14"/>
      <c r="AT774" s="14"/>
      <c r="AU774" s="14"/>
    </row>
    <row r="775" ht="15.75" customHeight="1">
      <c r="B775" s="158"/>
      <c r="E775" s="13"/>
      <c r="I775" s="13"/>
      <c r="P775" s="13"/>
      <c r="T775" s="13"/>
      <c r="X775" s="13"/>
      <c r="Y775" s="13"/>
      <c r="Z775" s="13"/>
      <c r="AA775" s="13"/>
      <c r="AS775" s="14"/>
      <c r="AT775" s="14"/>
      <c r="AU775" s="14"/>
    </row>
    <row r="776" ht="15.75" customHeight="1">
      <c r="B776" s="158"/>
      <c r="E776" s="13"/>
      <c r="I776" s="13"/>
      <c r="P776" s="13"/>
      <c r="T776" s="13"/>
      <c r="X776" s="13"/>
      <c r="Y776" s="13"/>
      <c r="Z776" s="13"/>
      <c r="AA776" s="13"/>
      <c r="AS776" s="14"/>
      <c r="AT776" s="14"/>
      <c r="AU776" s="14"/>
    </row>
    <row r="777" ht="15.75" customHeight="1">
      <c r="B777" s="158"/>
      <c r="E777" s="13"/>
      <c r="I777" s="13"/>
      <c r="P777" s="13"/>
      <c r="T777" s="13"/>
      <c r="X777" s="13"/>
      <c r="Y777" s="13"/>
      <c r="Z777" s="13"/>
      <c r="AA777" s="13"/>
      <c r="AS777" s="14"/>
      <c r="AT777" s="14"/>
      <c r="AU777" s="14"/>
    </row>
    <row r="778" ht="15.75" customHeight="1">
      <c r="B778" s="158"/>
      <c r="E778" s="13"/>
      <c r="I778" s="13"/>
      <c r="P778" s="13"/>
      <c r="T778" s="13"/>
      <c r="X778" s="13"/>
      <c r="Y778" s="13"/>
      <c r="Z778" s="13"/>
      <c r="AA778" s="13"/>
      <c r="AS778" s="14"/>
      <c r="AT778" s="14"/>
      <c r="AU778" s="14"/>
    </row>
    <row r="779" ht="15.75" customHeight="1">
      <c r="B779" s="158"/>
      <c r="E779" s="13"/>
      <c r="I779" s="13"/>
      <c r="P779" s="13"/>
      <c r="T779" s="13"/>
      <c r="X779" s="13"/>
      <c r="Y779" s="13"/>
      <c r="Z779" s="13"/>
      <c r="AA779" s="13"/>
      <c r="AS779" s="14"/>
      <c r="AT779" s="14"/>
      <c r="AU779" s="14"/>
    </row>
    <row r="780" ht="15.75" customHeight="1">
      <c r="B780" s="158"/>
      <c r="E780" s="13"/>
      <c r="I780" s="13"/>
      <c r="P780" s="13"/>
      <c r="T780" s="13"/>
      <c r="X780" s="13"/>
      <c r="Y780" s="13"/>
      <c r="Z780" s="13"/>
      <c r="AA780" s="13"/>
      <c r="AS780" s="14"/>
      <c r="AT780" s="14"/>
      <c r="AU780" s="14"/>
    </row>
    <row r="781" ht="15.75" customHeight="1">
      <c r="B781" s="158"/>
      <c r="E781" s="13"/>
      <c r="I781" s="13"/>
      <c r="P781" s="13"/>
      <c r="T781" s="13"/>
      <c r="X781" s="13"/>
      <c r="Y781" s="13"/>
      <c r="Z781" s="13"/>
      <c r="AA781" s="13"/>
      <c r="AS781" s="14"/>
      <c r="AT781" s="14"/>
      <c r="AU781" s="14"/>
    </row>
    <row r="782" ht="15.75" customHeight="1">
      <c r="B782" s="158"/>
      <c r="E782" s="13"/>
      <c r="I782" s="13"/>
      <c r="P782" s="13"/>
      <c r="T782" s="13"/>
      <c r="X782" s="13"/>
      <c r="Y782" s="13"/>
      <c r="Z782" s="13"/>
      <c r="AA782" s="13"/>
      <c r="AS782" s="14"/>
      <c r="AT782" s="14"/>
      <c r="AU782" s="14"/>
    </row>
    <row r="783" ht="15.75" customHeight="1">
      <c r="B783" s="158"/>
      <c r="E783" s="13"/>
      <c r="I783" s="13"/>
      <c r="P783" s="13"/>
      <c r="T783" s="13"/>
      <c r="X783" s="13"/>
      <c r="Y783" s="13"/>
      <c r="Z783" s="13"/>
      <c r="AA783" s="13"/>
      <c r="AS783" s="14"/>
      <c r="AT783" s="14"/>
      <c r="AU783" s="14"/>
    </row>
    <row r="784" ht="15.75" customHeight="1">
      <c r="B784" s="158"/>
      <c r="E784" s="13"/>
      <c r="I784" s="13"/>
      <c r="P784" s="13"/>
      <c r="T784" s="13"/>
      <c r="X784" s="13"/>
      <c r="Y784" s="13"/>
      <c r="Z784" s="13"/>
      <c r="AA784" s="13"/>
      <c r="AS784" s="14"/>
      <c r="AT784" s="14"/>
      <c r="AU784" s="14"/>
    </row>
    <row r="785" ht="15.75" customHeight="1">
      <c r="B785" s="158"/>
      <c r="E785" s="13"/>
      <c r="I785" s="13"/>
      <c r="P785" s="13"/>
      <c r="T785" s="13"/>
      <c r="X785" s="13"/>
      <c r="Y785" s="13"/>
      <c r="Z785" s="13"/>
      <c r="AA785" s="13"/>
      <c r="AS785" s="14"/>
      <c r="AT785" s="14"/>
      <c r="AU785" s="14"/>
    </row>
    <row r="786" ht="15.75" customHeight="1">
      <c r="B786" s="158"/>
      <c r="E786" s="13"/>
      <c r="I786" s="13"/>
      <c r="P786" s="13"/>
      <c r="T786" s="13"/>
      <c r="X786" s="13"/>
      <c r="Y786" s="13"/>
      <c r="Z786" s="13"/>
      <c r="AA786" s="13"/>
      <c r="AS786" s="14"/>
      <c r="AT786" s="14"/>
      <c r="AU786" s="14"/>
    </row>
    <row r="787" ht="15.75" customHeight="1">
      <c r="B787" s="158"/>
      <c r="E787" s="13"/>
      <c r="I787" s="13"/>
      <c r="P787" s="13"/>
      <c r="T787" s="13"/>
      <c r="X787" s="13"/>
      <c r="Y787" s="13"/>
      <c r="Z787" s="13"/>
      <c r="AA787" s="13"/>
      <c r="AS787" s="14"/>
      <c r="AT787" s="14"/>
      <c r="AU787" s="14"/>
    </row>
    <row r="788" ht="15.75" customHeight="1">
      <c r="B788" s="158"/>
      <c r="E788" s="13"/>
      <c r="I788" s="13"/>
      <c r="P788" s="13"/>
      <c r="T788" s="13"/>
      <c r="X788" s="13"/>
      <c r="Y788" s="13"/>
      <c r="Z788" s="13"/>
      <c r="AA788" s="13"/>
      <c r="AS788" s="14"/>
      <c r="AT788" s="14"/>
      <c r="AU788" s="14"/>
    </row>
    <row r="789" ht="15.75" customHeight="1">
      <c r="B789" s="158"/>
      <c r="E789" s="13"/>
      <c r="I789" s="13"/>
      <c r="P789" s="13"/>
      <c r="T789" s="13"/>
      <c r="X789" s="13"/>
      <c r="Y789" s="13"/>
      <c r="Z789" s="13"/>
      <c r="AA789" s="13"/>
      <c r="AS789" s="14"/>
      <c r="AT789" s="14"/>
      <c r="AU789" s="14"/>
    </row>
    <row r="790" ht="15.75" customHeight="1">
      <c r="B790" s="158"/>
      <c r="E790" s="13"/>
      <c r="I790" s="13"/>
      <c r="P790" s="13"/>
      <c r="T790" s="13"/>
      <c r="X790" s="13"/>
      <c r="Y790" s="13"/>
      <c r="Z790" s="13"/>
      <c r="AA790" s="13"/>
      <c r="AS790" s="14"/>
      <c r="AT790" s="14"/>
      <c r="AU790" s="14"/>
    </row>
    <row r="791" ht="15.75" customHeight="1">
      <c r="B791" s="158"/>
      <c r="E791" s="13"/>
      <c r="I791" s="13"/>
      <c r="P791" s="13"/>
      <c r="T791" s="13"/>
      <c r="X791" s="13"/>
      <c r="Y791" s="13"/>
      <c r="Z791" s="13"/>
      <c r="AA791" s="13"/>
      <c r="AS791" s="14"/>
      <c r="AT791" s="14"/>
      <c r="AU791" s="14"/>
    </row>
    <row r="792" ht="15.75" customHeight="1">
      <c r="B792" s="158"/>
      <c r="E792" s="13"/>
      <c r="I792" s="13"/>
      <c r="P792" s="13"/>
      <c r="T792" s="13"/>
      <c r="X792" s="13"/>
      <c r="Y792" s="13"/>
      <c r="Z792" s="13"/>
      <c r="AA792" s="13"/>
      <c r="AS792" s="14"/>
      <c r="AT792" s="14"/>
      <c r="AU792" s="14"/>
    </row>
    <row r="793" ht="15.75" customHeight="1">
      <c r="B793" s="158"/>
      <c r="E793" s="13"/>
      <c r="I793" s="13"/>
      <c r="P793" s="13"/>
      <c r="T793" s="13"/>
      <c r="X793" s="13"/>
      <c r="Y793" s="13"/>
      <c r="Z793" s="13"/>
      <c r="AA793" s="13"/>
      <c r="AS793" s="14"/>
      <c r="AT793" s="14"/>
      <c r="AU793" s="14"/>
    </row>
    <row r="794" ht="15.75" customHeight="1">
      <c r="B794" s="158"/>
      <c r="E794" s="13"/>
      <c r="I794" s="13"/>
      <c r="P794" s="13"/>
      <c r="T794" s="13"/>
      <c r="X794" s="13"/>
      <c r="Y794" s="13"/>
      <c r="Z794" s="13"/>
      <c r="AA794" s="13"/>
      <c r="AS794" s="14"/>
      <c r="AT794" s="14"/>
      <c r="AU794" s="14"/>
    </row>
    <row r="795" ht="15.75" customHeight="1">
      <c r="B795" s="158"/>
      <c r="E795" s="13"/>
      <c r="I795" s="13"/>
      <c r="P795" s="13"/>
      <c r="T795" s="13"/>
      <c r="X795" s="13"/>
      <c r="Y795" s="13"/>
      <c r="Z795" s="13"/>
      <c r="AA795" s="13"/>
      <c r="AS795" s="14"/>
      <c r="AT795" s="14"/>
      <c r="AU795" s="14"/>
    </row>
    <row r="796" ht="15.75" customHeight="1">
      <c r="B796" s="158"/>
      <c r="E796" s="13"/>
      <c r="I796" s="13"/>
      <c r="P796" s="13"/>
      <c r="T796" s="13"/>
      <c r="X796" s="13"/>
      <c r="Y796" s="13"/>
      <c r="Z796" s="13"/>
      <c r="AA796" s="13"/>
      <c r="AS796" s="14"/>
      <c r="AT796" s="14"/>
      <c r="AU796" s="14"/>
    </row>
    <row r="797" ht="15.75" customHeight="1">
      <c r="B797" s="158"/>
      <c r="E797" s="13"/>
      <c r="I797" s="13"/>
      <c r="P797" s="13"/>
      <c r="T797" s="13"/>
      <c r="X797" s="13"/>
      <c r="Y797" s="13"/>
      <c r="Z797" s="13"/>
      <c r="AA797" s="13"/>
      <c r="AS797" s="14"/>
      <c r="AT797" s="14"/>
      <c r="AU797" s="14"/>
    </row>
    <row r="798" ht="15.75" customHeight="1">
      <c r="B798" s="158"/>
      <c r="E798" s="13"/>
      <c r="I798" s="13"/>
      <c r="P798" s="13"/>
      <c r="T798" s="13"/>
      <c r="X798" s="13"/>
      <c r="Y798" s="13"/>
      <c r="Z798" s="13"/>
      <c r="AA798" s="13"/>
      <c r="AS798" s="14"/>
      <c r="AT798" s="14"/>
      <c r="AU798" s="14"/>
    </row>
    <row r="799" ht="15.75" customHeight="1">
      <c r="B799" s="158"/>
      <c r="E799" s="13"/>
      <c r="I799" s="13"/>
      <c r="P799" s="13"/>
      <c r="T799" s="13"/>
      <c r="X799" s="13"/>
      <c r="Y799" s="13"/>
      <c r="Z799" s="13"/>
      <c r="AA799" s="13"/>
      <c r="AS799" s="14"/>
      <c r="AT799" s="14"/>
      <c r="AU799" s="14"/>
    </row>
    <row r="800" ht="15.75" customHeight="1">
      <c r="B800" s="158"/>
      <c r="E800" s="13"/>
      <c r="I800" s="13"/>
      <c r="P800" s="13"/>
      <c r="T800" s="13"/>
      <c r="X800" s="13"/>
      <c r="Y800" s="13"/>
      <c r="Z800" s="13"/>
      <c r="AA800" s="13"/>
      <c r="AS800" s="14"/>
      <c r="AT800" s="14"/>
      <c r="AU800" s="14"/>
    </row>
    <row r="801" ht="15.75" customHeight="1">
      <c r="B801" s="158"/>
      <c r="E801" s="13"/>
      <c r="I801" s="13"/>
      <c r="P801" s="13"/>
      <c r="T801" s="13"/>
      <c r="X801" s="13"/>
      <c r="Y801" s="13"/>
      <c r="Z801" s="13"/>
      <c r="AA801" s="13"/>
      <c r="AS801" s="14"/>
      <c r="AT801" s="14"/>
      <c r="AU801" s="14"/>
    </row>
    <row r="802" ht="15.75" customHeight="1">
      <c r="B802" s="158"/>
      <c r="E802" s="13"/>
      <c r="I802" s="13"/>
      <c r="P802" s="13"/>
      <c r="T802" s="13"/>
      <c r="X802" s="13"/>
      <c r="Y802" s="13"/>
      <c r="Z802" s="13"/>
      <c r="AA802" s="13"/>
      <c r="AS802" s="14"/>
      <c r="AT802" s="14"/>
      <c r="AU802" s="14"/>
    </row>
    <row r="803" ht="15.75" customHeight="1">
      <c r="B803" s="158"/>
      <c r="E803" s="13"/>
      <c r="I803" s="13"/>
      <c r="P803" s="13"/>
      <c r="T803" s="13"/>
      <c r="X803" s="13"/>
      <c r="Y803" s="13"/>
      <c r="Z803" s="13"/>
      <c r="AA803" s="13"/>
      <c r="AS803" s="14"/>
      <c r="AT803" s="14"/>
      <c r="AU803" s="14"/>
    </row>
    <row r="804" ht="15.75" customHeight="1">
      <c r="B804" s="158"/>
      <c r="E804" s="13"/>
      <c r="I804" s="13"/>
      <c r="P804" s="13"/>
      <c r="T804" s="13"/>
      <c r="X804" s="13"/>
      <c r="Y804" s="13"/>
      <c r="Z804" s="13"/>
      <c r="AA804" s="13"/>
      <c r="AS804" s="14"/>
      <c r="AT804" s="14"/>
      <c r="AU804" s="14"/>
    </row>
    <row r="805" ht="15.75" customHeight="1">
      <c r="B805" s="158"/>
      <c r="E805" s="13"/>
      <c r="I805" s="13"/>
      <c r="P805" s="13"/>
      <c r="T805" s="13"/>
      <c r="X805" s="13"/>
      <c r="Y805" s="13"/>
      <c r="Z805" s="13"/>
      <c r="AA805" s="13"/>
      <c r="AS805" s="14"/>
      <c r="AT805" s="14"/>
      <c r="AU805" s="14"/>
    </row>
    <row r="806" ht="15.75" customHeight="1">
      <c r="B806" s="158"/>
      <c r="E806" s="13"/>
      <c r="I806" s="13"/>
      <c r="P806" s="13"/>
      <c r="T806" s="13"/>
      <c r="X806" s="13"/>
      <c r="Y806" s="13"/>
      <c r="Z806" s="13"/>
      <c r="AA806" s="13"/>
      <c r="AS806" s="14"/>
      <c r="AT806" s="14"/>
      <c r="AU806" s="14"/>
    </row>
    <row r="807" ht="15.75" customHeight="1">
      <c r="B807" s="158"/>
      <c r="E807" s="13"/>
      <c r="I807" s="13"/>
      <c r="P807" s="13"/>
      <c r="T807" s="13"/>
      <c r="X807" s="13"/>
      <c r="Y807" s="13"/>
      <c r="Z807" s="13"/>
      <c r="AA807" s="13"/>
      <c r="AS807" s="14"/>
      <c r="AT807" s="14"/>
      <c r="AU807" s="14"/>
    </row>
    <row r="808" ht="15.75" customHeight="1">
      <c r="B808" s="158"/>
      <c r="E808" s="13"/>
      <c r="I808" s="13"/>
      <c r="P808" s="13"/>
      <c r="T808" s="13"/>
      <c r="X808" s="13"/>
      <c r="Y808" s="13"/>
      <c r="Z808" s="13"/>
      <c r="AA808" s="13"/>
      <c r="AS808" s="14"/>
      <c r="AT808" s="14"/>
      <c r="AU808" s="14"/>
    </row>
    <row r="809" ht="15.75" customHeight="1">
      <c r="B809" s="158"/>
      <c r="E809" s="13"/>
      <c r="I809" s="13"/>
      <c r="P809" s="13"/>
      <c r="T809" s="13"/>
      <c r="X809" s="13"/>
      <c r="Y809" s="13"/>
      <c r="Z809" s="13"/>
      <c r="AA809" s="13"/>
      <c r="AS809" s="14"/>
      <c r="AT809" s="14"/>
      <c r="AU809" s="14"/>
    </row>
    <row r="810" ht="15.75" customHeight="1">
      <c r="B810" s="158"/>
      <c r="E810" s="13"/>
      <c r="I810" s="13"/>
      <c r="P810" s="13"/>
      <c r="T810" s="13"/>
      <c r="X810" s="13"/>
      <c r="Y810" s="13"/>
      <c r="Z810" s="13"/>
      <c r="AA810" s="13"/>
      <c r="AS810" s="14"/>
      <c r="AT810" s="14"/>
      <c r="AU810" s="14"/>
    </row>
    <row r="811" ht="15.75" customHeight="1">
      <c r="B811" s="158"/>
      <c r="E811" s="13"/>
      <c r="I811" s="13"/>
      <c r="P811" s="13"/>
      <c r="T811" s="13"/>
      <c r="X811" s="13"/>
      <c r="Y811" s="13"/>
      <c r="Z811" s="13"/>
      <c r="AA811" s="13"/>
      <c r="AS811" s="14"/>
      <c r="AT811" s="14"/>
      <c r="AU811" s="14"/>
    </row>
    <row r="812" ht="15.75" customHeight="1">
      <c r="B812" s="158"/>
      <c r="E812" s="13"/>
      <c r="I812" s="13"/>
      <c r="P812" s="13"/>
      <c r="T812" s="13"/>
      <c r="X812" s="13"/>
      <c r="Y812" s="13"/>
      <c r="Z812" s="13"/>
      <c r="AA812" s="13"/>
      <c r="AS812" s="14"/>
      <c r="AT812" s="14"/>
      <c r="AU812" s="14"/>
    </row>
    <row r="813" ht="15.75" customHeight="1">
      <c r="B813" s="158"/>
      <c r="E813" s="13"/>
      <c r="I813" s="13"/>
      <c r="P813" s="13"/>
      <c r="T813" s="13"/>
      <c r="X813" s="13"/>
      <c r="Y813" s="13"/>
      <c r="Z813" s="13"/>
      <c r="AA813" s="13"/>
      <c r="AS813" s="14"/>
      <c r="AT813" s="14"/>
      <c r="AU813" s="14"/>
    </row>
    <row r="814" ht="15.75" customHeight="1">
      <c r="B814" s="158"/>
      <c r="E814" s="13"/>
      <c r="I814" s="13"/>
      <c r="P814" s="13"/>
      <c r="T814" s="13"/>
      <c r="X814" s="13"/>
      <c r="Y814" s="13"/>
      <c r="Z814" s="13"/>
      <c r="AA814" s="13"/>
      <c r="AS814" s="14"/>
      <c r="AT814" s="14"/>
      <c r="AU814" s="14"/>
    </row>
    <row r="815" ht="15.75" customHeight="1">
      <c r="B815" s="158"/>
      <c r="E815" s="13"/>
      <c r="I815" s="13"/>
      <c r="P815" s="13"/>
      <c r="T815" s="13"/>
      <c r="X815" s="13"/>
      <c r="Y815" s="13"/>
      <c r="Z815" s="13"/>
      <c r="AA815" s="13"/>
      <c r="AS815" s="14"/>
      <c r="AT815" s="14"/>
      <c r="AU815" s="14"/>
    </row>
    <row r="816" ht="15.75" customHeight="1">
      <c r="B816" s="158"/>
      <c r="E816" s="13"/>
      <c r="I816" s="13"/>
      <c r="P816" s="13"/>
      <c r="T816" s="13"/>
      <c r="X816" s="13"/>
      <c r="Y816" s="13"/>
      <c r="Z816" s="13"/>
      <c r="AA816" s="13"/>
      <c r="AS816" s="14"/>
      <c r="AT816" s="14"/>
      <c r="AU816" s="14"/>
    </row>
    <row r="817" ht="15.75" customHeight="1">
      <c r="B817" s="158"/>
      <c r="E817" s="13"/>
      <c r="I817" s="13"/>
      <c r="P817" s="13"/>
      <c r="T817" s="13"/>
      <c r="X817" s="13"/>
      <c r="Y817" s="13"/>
      <c r="Z817" s="13"/>
      <c r="AA817" s="13"/>
      <c r="AS817" s="14"/>
      <c r="AT817" s="14"/>
      <c r="AU817" s="14"/>
    </row>
    <row r="818" ht="15.75" customHeight="1">
      <c r="B818" s="158"/>
      <c r="E818" s="13"/>
      <c r="I818" s="13"/>
      <c r="P818" s="13"/>
      <c r="T818" s="13"/>
      <c r="X818" s="13"/>
      <c r="Y818" s="13"/>
      <c r="Z818" s="13"/>
      <c r="AA818" s="13"/>
      <c r="AS818" s="14"/>
      <c r="AT818" s="14"/>
      <c r="AU818" s="14"/>
    </row>
    <row r="819" ht="15.75" customHeight="1">
      <c r="B819" s="158"/>
      <c r="E819" s="13"/>
      <c r="I819" s="13"/>
      <c r="P819" s="13"/>
      <c r="T819" s="13"/>
      <c r="X819" s="13"/>
      <c r="Y819" s="13"/>
      <c r="Z819" s="13"/>
      <c r="AA819" s="13"/>
      <c r="AS819" s="14"/>
      <c r="AT819" s="14"/>
      <c r="AU819" s="14"/>
    </row>
    <row r="820" ht="15.75" customHeight="1">
      <c r="B820" s="158"/>
      <c r="E820" s="13"/>
      <c r="I820" s="13"/>
      <c r="P820" s="13"/>
      <c r="T820" s="13"/>
      <c r="X820" s="13"/>
      <c r="Y820" s="13"/>
      <c r="Z820" s="13"/>
      <c r="AA820" s="13"/>
      <c r="AS820" s="14"/>
      <c r="AT820" s="14"/>
      <c r="AU820" s="14"/>
    </row>
    <row r="821" ht="15.75" customHeight="1">
      <c r="B821" s="158"/>
      <c r="E821" s="13"/>
      <c r="I821" s="13"/>
      <c r="P821" s="13"/>
      <c r="T821" s="13"/>
      <c r="X821" s="13"/>
      <c r="Y821" s="13"/>
      <c r="Z821" s="13"/>
      <c r="AA821" s="13"/>
      <c r="AS821" s="14"/>
      <c r="AT821" s="14"/>
      <c r="AU821" s="14"/>
    </row>
    <row r="822" ht="15.75" customHeight="1">
      <c r="B822" s="158"/>
      <c r="E822" s="13"/>
      <c r="I822" s="13"/>
      <c r="P822" s="13"/>
      <c r="T822" s="13"/>
      <c r="X822" s="13"/>
      <c r="Y822" s="13"/>
      <c r="Z822" s="13"/>
      <c r="AA822" s="13"/>
      <c r="AS822" s="14"/>
      <c r="AT822" s="14"/>
      <c r="AU822" s="14"/>
    </row>
    <row r="823" ht="15.75" customHeight="1">
      <c r="B823" s="158"/>
      <c r="E823" s="13"/>
      <c r="I823" s="13"/>
      <c r="P823" s="13"/>
      <c r="T823" s="13"/>
      <c r="X823" s="13"/>
      <c r="Y823" s="13"/>
      <c r="Z823" s="13"/>
      <c r="AA823" s="13"/>
      <c r="AS823" s="14"/>
      <c r="AT823" s="14"/>
      <c r="AU823" s="14"/>
    </row>
    <row r="824" ht="15.75" customHeight="1">
      <c r="B824" s="158"/>
      <c r="E824" s="13"/>
      <c r="I824" s="13"/>
      <c r="P824" s="13"/>
      <c r="T824" s="13"/>
      <c r="X824" s="13"/>
      <c r="Y824" s="13"/>
      <c r="Z824" s="13"/>
      <c r="AA824" s="13"/>
      <c r="AS824" s="14"/>
      <c r="AT824" s="14"/>
      <c r="AU824" s="14"/>
    </row>
    <row r="825" ht="15.75" customHeight="1">
      <c r="B825" s="158"/>
      <c r="E825" s="13"/>
      <c r="I825" s="13"/>
      <c r="P825" s="13"/>
      <c r="T825" s="13"/>
      <c r="X825" s="13"/>
      <c r="Y825" s="13"/>
      <c r="Z825" s="13"/>
      <c r="AA825" s="13"/>
      <c r="AS825" s="14"/>
      <c r="AT825" s="14"/>
      <c r="AU825" s="14"/>
    </row>
    <row r="826" ht="15.75" customHeight="1">
      <c r="B826" s="158"/>
      <c r="E826" s="13"/>
      <c r="I826" s="13"/>
      <c r="P826" s="13"/>
      <c r="T826" s="13"/>
      <c r="X826" s="13"/>
      <c r="Y826" s="13"/>
      <c r="Z826" s="13"/>
      <c r="AA826" s="13"/>
      <c r="AS826" s="14"/>
      <c r="AT826" s="14"/>
      <c r="AU826" s="14"/>
    </row>
    <row r="827" ht="15.75" customHeight="1">
      <c r="B827" s="158"/>
      <c r="E827" s="13"/>
      <c r="I827" s="13"/>
      <c r="P827" s="13"/>
      <c r="T827" s="13"/>
      <c r="X827" s="13"/>
      <c r="Y827" s="13"/>
      <c r="Z827" s="13"/>
      <c r="AA827" s="13"/>
      <c r="AS827" s="14"/>
      <c r="AT827" s="14"/>
      <c r="AU827" s="14"/>
    </row>
    <row r="828" ht="15.75" customHeight="1">
      <c r="B828" s="158"/>
      <c r="E828" s="13"/>
      <c r="I828" s="13"/>
      <c r="P828" s="13"/>
      <c r="T828" s="13"/>
      <c r="X828" s="13"/>
      <c r="Y828" s="13"/>
      <c r="Z828" s="13"/>
      <c r="AA828" s="13"/>
      <c r="AS828" s="14"/>
      <c r="AT828" s="14"/>
      <c r="AU828" s="14"/>
    </row>
    <row r="829" ht="15.75" customHeight="1">
      <c r="B829" s="158"/>
      <c r="E829" s="13"/>
      <c r="I829" s="13"/>
      <c r="P829" s="13"/>
      <c r="T829" s="13"/>
      <c r="X829" s="13"/>
      <c r="Y829" s="13"/>
      <c r="Z829" s="13"/>
      <c r="AA829" s="13"/>
      <c r="AS829" s="14"/>
      <c r="AT829" s="14"/>
      <c r="AU829" s="14"/>
    </row>
    <row r="830" ht="15.75" customHeight="1">
      <c r="B830" s="158"/>
      <c r="E830" s="13"/>
      <c r="I830" s="13"/>
      <c r="P830" s="13"/>
      <c r="T830" s="13"/>
      <c r="X830" s="13"/>
      <c r="Y830" s="13"/>
      <c r="Z830" s="13"/>
      <c r="AA830" s="13"/>
      <c r="AS830" s="14"/>
      <c r="AT830" s="14"/>
      <c r="AU830" s="14"/>
    </row>
    <row r="831" ht="15.75" customHeight="1">
      <c r="B831" s="158"/>
      <c r="E831" s="13"/>
      <c r="I831" s="13"/>
      <c r="P831" s="13"/>
      <c r="T831" s="13"/>
      <c r="X831" s="13"/>
      <c r="Y831" s="13"/>
      <c r="Z831" s="13"/>
      <c r="AA831" s="13"/>
      <c r="AS831" s="14"/>
      <c r="AT831" s="14"/>
      <c r="AU831" s="14"/>
    </row>
    <row r="832" ht="15.75" customHeight="1">
      <c r="B832" s="158"/>
      <c r="E832" s="13"/>
      <c r="I832" s="13"/>
      <c r="P832" s="13"/>
      <c r="T832" s="13"/>
      <c r="X832" s="13"/>
      <c r="Y832" s="13"/>
      <c r="Z832" s="13"/>
      <c r="AA832" s="13"/>
      <c r="AS832" s="14"/>
      <c r="AT832" s="14"/>
      <c r="AU832" s="14"/>
    </row>
    <row r="833" ht="15.75" customHeight="1">
      <c r="B833" s="158"/>
      <c r="E833" s="13"/>
      <c r="I833" s="13"/>
      <c r="P833" s="13"/>
      <c r="T833" s="13"/>
      <c r="X833" s="13"/>
      <c r="Y833" s="13"/>
      <c r="Z833" s="13"/>
      <c r="AA833" s="13"/>
      <c r="AS833" s="14"/>
      <c r="AT833" s="14"/>
      <c r="AU833" s="14"/>
    </row>
    <row r="834" ht="15.75" customHeight="1">
      <c r="B834" s="158"/>
      <c r="E834" s="13"/>
      <c r="I834" s="13"/>
      <c r="P834" s="13"/>
      <c r="T834" s="13"/>
      <c r="X834" s="13"/>
      <c r="Y834" s="13"/>
      <c r="Z834" s="13"/>
      <c r="AA834" s="13"/>
      <c r="AS834" s="14"/>
      <c r="AT834" s="14"/>
      <c r="AU834" s="14"/>
    </row>
    <row r="835" ht="15.75" customHeight="1">
      <c r="B835" s="158"/>
      <c r="E835" s="13"/>
      <c r="I835" s="13"/>
      <c r="P835" s="13"/>
      <c r="T835" s="13"/>
      <c r="X835" s="13"/>
      <c r="Y835" s="13"/>
      <c r="Z835" s="13"/>
      <c r="AA835" s="13"/>
      <c r="AS835" s="14"/>
      <c r="AT835" s="14"/>
      <c r="AU835" s="14"/>
    </row>
    <row r="836" ht="15.75" customHeight="1">
      <c r="B836" s="158"/>
      <c r="E836" s="13"/>
      <c r="I836" s="13"/>
      <c r="P836" s="13"/>
      <c r="T836" s="13"/>
      <c r="X836" s="13"/>
      <c r="Y836" s="13"/>
      <c r="Z836" s="13"/>
      <c r="AA836" s="13"/>
      <c r="AS836" s="14"/>
      <c r="AT836" s="14"/>
      <c r="AU836" s="14"/>
    </row>
    <row r="837" ht="15.75" customHeight="1">
      <c r="B837" s="158"/>
      <c r="E837" s="13"/>
      <c r="I837" s="13"/>
      <c r="P837" s="13"/>
      <c r="T837" s="13"/>
      <c r="X837" s="13"/>
      <c r="Y837" s="13"/>
      <c r="Z837" s="13"/>
      <c r="AA837" s="13"/>
      <c r="AS837" s="14"/>
      <c r="AT837" s="14"/>
      <c r="AU837" s="14"/>
    </row>
    <row r="838" ht="15.75" customHeight="1">
      <c r="B838" s="158"/>
      <c r="E838" s="13"/>
      <c r="I838" s="13"/>
      <c r="P838" s="13"/>
      <c r="T838" s="13"/>
      <c r="X838" s="13"/>
      <c r="Y838" s="13"/>
      <c r="Z838" s="13"/>
      <c r="AA838" s="13"/>
      <c r="AS838" s="14"/>
      <c r="AT838" s="14"/>
      <c r="AU838" s="14"/>
    </row>
    <row r="839" ht="15.75" customHeight="1">
      <c r="B839" s="158"/>
      <c r="E839" s="13"/>
      <c r="I839" s="13"/>
      <c r="P839" s="13"/>
      <c r="T839" s="13"/>
      <c r="X839" s="13"/>
      <c r="Y839" s="13"/>
      <c r="Z839" s="13"/>
      <c r="AA839" s="13"/>
      <c r="AS839" s="14"/>
      <c r="AT839" s="14"/>
      <c r="AU839" s="14"/>
    </row>
    <row r="840" ht="15.75" customHeight="1">
      <c r="B840" s="158"/>
      <c r="E840" s="13"/>
      <c r="I840" s="13"/>
      <c r="P840" s="13"/>
      <c r="T840" s="13"/>
      <c r="X840" s="13"/>
      <c r="Y840" s="13"/>
      <c r="Z840" s="13"/>
      <c r="AA840" s="13"/>
      <c r="AS840" s="14"/>
      <c r="AT840" s="14"/>
      <c r="AU840" s="14"/>
    </row>
    <row r="841" ht="15.75" customHeight="1">
      <c r="B841" s="158"/>
      <c r="E841" s="13"/>
      <c r="I841" s="13"/>
      <c r="P841" s="13"/>
      <c r="T841" s="13"/>
      <c r="X841" s="13"/>
      <c r="Y841" s="13"/>
      <c r="Z841" s="13"/>
      <c r="AA841" s="13"/>
      <c r="AS841" s="14"/>
      <c r="AT841" s="14"/>
      <c r="AU841" s="14"/>
    </row>
    <row r="842" ht="15.75" customHeight="1">
      <c r="B842" s="158"/>
      <c r="E842" s="13"/>
      <c r="I842" s="13"/>
      <c r="P842" s="13"/>
      <c r="T842" s="13"/>
      <c r="X842" s="13"/>
      <c r="Y842" s="13"/>
      <c r="Z842" s="13"/>
      <c r="AA842" s="13"/>
      <c r="AS842" s="14"/>
      <c r="AT842" s="14"/>
      <c r="AU842" s="14"/>
    </row>
    <row r="843" ht="15.75" customHeight="1">
      <c r="B843" s="158"/>
      <c r="E843" s="13"/>
      <c r="I843" s="13"/>
      <c r="P843" s="13"/>
      <c r="T843" s="13"/>
      <c r="X843" s="13"/>
      <c r="Y843" s="13"/>
      <c r="Z843" s="13"/>
      <c r="AA843" s="13"/>
      <c r="AS843" s="14"/>
      <c r="AT843" s="14"/>
      <c r="AU843" s="14"/>
    </row>
    <row r="844" ht="15.75" customHeight="1">
      <c r="B844" s="158"/>
      <c r="E844" s="13"/>
      <c r="I844" s="13"/>
      <c r="P844" s="13"/>
      <c r="T844" s="13"/>
      <c r="X844" s="13"/>
      <c r="Y844" s="13"/>
      <c r="Z844" s="13"/>
      <c r="AA844" s="13"/>
      <c r="AS844" s="14"/>
      <c r="AT844" s="14"/>
      <c r="AU844" s="14"/>
    </row>
    <row r="845" ht="15.75" customHeight="1">
      <c r="B845" s="158"/>
      <c r="E845" s="13"/>
      <c r="I845" s="13"/>
      <c r="P845" s="13"/>
      <c r="T845" s="13"/>
      <c r="X845" s="13"/>
      <c r="Y845" s="13"/>
      <c r="Z845" s="13"/>
      <c r="AA845" s="13"/>
      <c r="AS845" s="14"/>
      <c r="AT845" s="14"/>
      <c r="AU845" s="14"/>
    </row>
    <row r="846" ht="15.75" customHeight="1">
      <c r="B846" s="158"/>
      <c r="E846" s="13"/>
      <c r="I846" s="13"/>
      <c r="P846" s="13"/>
      <c r="T846" s="13"/>
      <c r="X846" s="13"/>
      <c r="Y846" s="13"/>
      <c r="Z846" s="13"/>
      <c r="AA846" s="13"/>
      <c r="AS846" s="14"/>
      <c r="AT846" s="14"/>
      <c r="AU846" s="14"/>
    </row>
    <row r="847" ht="15.75" customHeight="1">
      <c r="B847" s="158"/>
      <c r="E847" s="13"/>
      <c r="I847" s="13"/>
      <c r="P847" s="13"/>
      <c r="T847" s="13"/>
      <c r="X847" s="13"/>
      <c r="Y847" s="13"/>
      <c r="Z847" s="13"/>
      <c r="AA847" s="13"/>
      <c r="AS847" s="14"/>
      <c r="AT847" s="14"/>
      <c r="AU847" s="14"/>
    </row>
    <row r="848" ht="15.75" customHeight="1">
      <c r="B848" s="158"/>
      <c r="E848" s="13"/>
      <c r="I848" s="13"/>
      <c r="P848" s="13"/>
      <c r="T848" s="13"/>
      <c r="X848" s="13"/>
      <c r="Y848" s="13"/>
      <c r="Z848" s="13"/>
      <c r="AA848" s="13"/>
      <c r="AS848" s="14"/>
      <c r="AT848" s="14"/>
      <c r="AU848" s="14"/>
    </row>
    <row r="849" ht="15.75" customHeight="1">
      <c r="B849" s="158"/>
      <c r="E849" s="13"/>
      <c r="I849" s="13"/>
      <c r="P849" s="13"/>
      <c r="T849" s="13"/>
      <c r="X849" s="13"/>
      <c r="Y849" s="13"/>
      <c r="Z849" s="13"/>
      <c r="AA849" s="13"/>
      <c r="AS849" s="14"/>
      <c r="AT849" s="14"/>
      <c r="AU849" s="14"/>
    </row>
    <row r="850" ht="15.75" customHeight="1">
      <c r="B850" s="158"/>
      <c r="E850" s="13"/>
      <c r="I850" s="13"/>
      <c r="P850" s="13"/>
      <c r="T850" s="13"/>
      <c r="X850" s="13"/>
      <c r="Y850" s="13"/>
      <c r="Z850" s="13"/>
      <c r="AA850" s="13"/>
      <c r="AS850" s="14"/>
      <c r="AT850" s="14"/>
      <c r="AU850" s="14"/>
    </row>
    <row r="851" ht="15.75" customHeight="1">
      <c r="B851" s="158"/>
      <c r="E851" s="13"/>
      <c r="I851" s="13"/>
      <c r="P851" s="13"/>
      <c r="T851" s="13"/>
      <c r="X851" s="13"/>
      <c r="Y851" s="13"/>
      <c r="Z851" s="13"/>
      <c r="AA851" s="13"/>
      <c r="AS851" s="14"/>
      <c r="AT851" s="14"/>
      <c r="AU851" s="14"/>
    </row>
    <row r="852" ht="15.75" customHeight="1">
      <c r="B852" s="158"/>
      <c r="E852" s="13"/>
      <c r="I852" s="13"/>
      <c r="P852" s="13"/>
      <c r="T852" s="13"/>
      <c r="X852" s="13"/>
      <c r="Y852" s="13"/>
      <c r="Z852" s="13"/>
      <c r="AA852" s="13"/>
      <c r="AS852" s="14"/>
      <c r="AT852" s="14"/>
      <c r="AU852" s="14"/>
    </row>
    <row r="853" ht="15.75" customHeight="1">
      <c r="B853" s="158"/>
      <c r="E853" s="13"/>
      <c r="I853" s="13"/>
      <c r="P853" s="13"/>
      <c r="T853" s="13"/>
      <c r="X853" s="13"/>
      <c r="Y853" s="13"/>
      <c r="Z853" s="13"/>
      <c r="AA853" s="13"/>
      <c r="AS853" s="14"/>
      <c r="AT853" s="14"/>
      <c r="AU853" s="14"/>
    </row>
    <row r="854" ht="15.75" customHeight="1">
      <c r="B854" s="158"/>
      <c r="E854" s="13"/>
      <c r="I854" s="13"/>
      <c r="P854" s="13"/>
      <c r="T854" s="13"/>
      <c r="X854" s="13"/>
      <c r="Y854" s="13"/>
      <c r="Z854" s="13"/>
      <c r="AA854" s="13"/>
      <c r="AS854" s="14"/>
      <c r="AT854" s="14"/>
      <c r="AU854" s="14"/>
    </row>
    <row r="855" ht="15.75" customHeight="1">
      <c r="B855" s="158"/>
      <c r="E855" s="13"/>
      <c r="I855" s="13"/>
      <c r="P855" s="13"/>
      <c r="T855" s="13"/>
      <c r="X855" s="13"/>
      <c r="Y855" s="13"/>
      <c r="Z855" s="13"/>
      <c r="AA855" s="13"/>
      <c r="AS855" s="14"/>
      <c r="AT855" s="14"/>
      <c r="AU855" s="14"/>
    </row>
    <row r="856" ht="15.75" customHeight="1">
      <c r="B856" s="158"/>
      <c r="E856" s="13"/>
      <c r="I856" s="13"/>
      <c r="P856" s="13"/>
      <c r="T856" s="13"/>
      <c r="X856" s="13"/>
      <c r="Y856" s="13"/>
      <c r="Z856" s="13"/>
      <c r="AA856" s="13"/>
      <c r="AS856" s="14"/>
      <c r="AT856" s="14"/>
      <c r="AU856" s="14"/>
    </row>
    <row r="857" ht="15.75" customHeight="1">
      <c r="B857" s="158"/>
      <c r="E857" s="13"/>
      <c r="I857" s="13"/>
      <c r="P857" s="13"/>
      <c r="T857" s="13"/>
      <c r="X857" s="13"/>
      <c r="Y857" s="13"/>
      <c r="Z857" s="13"/>
      <c r="AA857" s="13"/>
      <c r="AS857" s="14"/>
      <c r="AT857" s="14"/>
      <c r="AU857" s="14"/>
    </row>
    <row r="858" ht="15.75" customHeight="1">
      <c r="B858" s="158"/>
      <c r="E858" s="13"/>
      <c r="I858" s="13"/>
      <c r="P858" s="13"/>
      <c r="T858" s="13"/>
      <c r="X858" s="13"/>
      <c r="Y858" s="13"/>
      <c r="Z858" s="13"/>
      <c r="AA858" s="13"/>
      <c r="AS858" s="14"/>
      <c r="AT858" s="14"/>
      <c r="AU858" s="14"/>
    </row>
    <row r="859" ht="15.75" customHeight="1">
      <c r="B859" s="158"/>
      <c r="E859" s="13"/>
      <c r="I859" s="13"/>
      <c r="P859" s="13"/>
      <c r="T859" s="13"/>
      <c r="X859" s="13"/>
      <c r="Y859" s="13"/>
      <c r="Z859" s="13"/>
      <c r="AA859" s="13"/>
      <c r="AS859" s="14"/>
      <c r="AT859" s="14"/>
      <c r="AU859" s="14"/>
    </row>
    <row r="860" ht="15.75" customHeight="1">
      <c r="B860" s="158"/>
      <c r="E860" s="13"/>
      <c r="I860" s="13"/>
      <c r="P860" s="13"/>
      <c r="T860" s="13"/>
      <c r="X860" s="13"/>
      <c r="Y860" s="13"/>
      <c r="Z860" s="13"/>
      <c r="AA860" s="13"/>
      <c r="AS860" s="14"/>
      <c r="AT860" s="14"/>
      <c r="AU860" s="14"/>
    </row>
    <row r="861" ht="15.75" customHeight="1">
      <c r="B861" s="158"/>
      <c r="E861" s="13"/>
      <c r="I861" s="13"/>
      <c r="P861" s="13"/>
      <c r="T861" s="13"/>
      <c r="X861" s="13"/>
      <c r="Y861" s="13"/>
      <c r="Z861" s="13"/>
      <c r="AA861" s="13"/>
      <c r="AS861" s="14"/>
      <c r="AT861" s="14"/>
      <c r="AU861" s="14"/>
    </row>
    <row r="862" ht="15.75" customHeight="1">
      <c r="B862" s="158"/>
      <c r="E862" s="13"/>
      <c r="I862" s="13"/>
      <c r="P862" s="13"/>
      <c r="T862" s="13"/>
      <c r="X862" s="13"/>
      <c r="Y862" s="13"/>
      <c r="Z862" s="13"/>
      <c r="AA862" s="13"/>
      <c r="AS862" s="14"/>
      <c r="AT862" s="14"/>
      <c r="AU862" s="14"/>
    </row>
    <row r="863" ht="15.75" customHeight="1">
      <c r="B863" s="158"/>
      <c r="E863" s="13"/>
      <c r="I863" s="13"/>
      <c r="P863" s="13"/>
      <c r="T863" s="13"/>
      <c r="X863" s="13"/>
      <c r="Y863" s="13"/>
      <c r="Z863" s="13"/>
      <c r="AA863" s="13"/>
      <c r="AS863" s="14"/>
      <c r="AT863" s="14"/>
      <c r="AU863" s="14"/>
    </row>
    <row r="864" ht="15.75" customHeight="1">
      <c r="B864" s="158"/>
      <c r="E864" s="13"/>
      <c r="I864" s="13"/>
      <c r="P864" s="13"/>
      <c r="T864" s="13"/>
      <c r="X864" s="13"/>
      <c r="Y864" s="13"/>
      <c r="Z864" s="13"/>
      <c r="AA864" s="13"/>
      <c r="AS864" s="14"/>
      <c r="AT864" s="14"/>
      <c r="AU864" s="14"/>
    </row>
    <row r="865" ht="15.75" customHeight="1">
      <c r="B865" s="158"/>
      <c r="E865" s="13"/>
      <c r="I865" s="13"/>
      <c r="P865" s="13"/>
      <c r="T865" s="13"/>
      <c r="X865" s="13"/>
      <c r="Y865" s="13"/>
      <c r="Z865" s="13"/>
      <c r="AA865" s="13"/>
      <c r="AS865" s="14"/>
      <c r="AT865" s="14"/>
      <c r="AU865" s="14"/>
    </row>
    <row r="866" ht="15.75" customHeight="1">
      <c r="B866" s="158"/>
      <c r="E866" s="13"/>
      <c r="I866" s="13"/>
      <c r="P866" s="13"/>
      <c r="T866" s="13"/>
      <c r="X866" s="13"/>
      <c r="Y866" s="13"/>
      <c r="Z866" s="13"/>
      <c r="AA866" s="13"/>
      <c r="AS866" s="14"/>
      <c r="AT866" s="14"/>
      <c r="AU866" s="14"/>
    </row>
    <row r="867" ht="15.75" customHeight="1">
      <c r="B867" s="158"/>
      <c r="E867" s="13"/>
      <c r="I867" s="13"/>
      <c r="P867" s="13"/>
      <c r="T867" s="13"/>
      <c r="X867" s="13"/>
      <c r="Y867" s="13"/>
      <c r="Z867" s="13"/>
      <c r="AA867" s="13"/>
      <c r="AS867" s="14"/>
      <c r="AT867" s="14"/>
      <c r="AU867" s="14"/>
    </row>
    <row r="868" ht="15.75" customHeight="1">
      <c r="B868" s="158"/>
      <c r="E868" s="13"/>
      <c r="I868" s="13"/>
      <c r="P868" s="13"/>
      <c r="T868" s="13"/>
      <c r="X868" s="13"/>
      <c r="Y868" s="13"/>
      <c r="Z868" s="13"/>
      <c r="AA868" s="13"/>
      <c r="AS868" s="14"/>
      <c r="AT868" s="14"/>
      <c r="AU868" s="14"/>
    </row>
    <row r="869" ht="15.75" customHeight="1">
      <c r="B869" s="158"/>
      <c r="E869" s="13"/>
      <c r="I869" s="13"/>
      <c r="P869" s="13"/>
      <c r="T869" s="13"/>
      <c r="X869" s="13"/>
      <c r="Y869" s="13"/>
      <c r="Z869" s="13"/>
      <c r="AA869" s="13"/>
      <c r="AS869" s="14"/>
      <c r="AT869" s="14"/>
      <c r="AU869" s="14"/>
    </row>
    <row r="870" ht="15.75" customHeight="1">
      <c r="B870" s="158"/>
      <c r="E870" s="13"/>
      <c r="I870" s="13"/>
      <c r="P870" s="13"/>
      <c r="T870" s="13"/>
      <c r="X870" s="13"/>
      <c r="Y870" s="13"/>
      <c r="Z870" s="13"/>
      <c r="AA870" s="13"/>
      <c r="AS870" s="14"/>
      <c r="AT870" s="14"/>
      <c r="AU870" s="14"/>
    </row>
    <row r="871" ht="15.75" customHeight="1">
      <c r="B871" s="158"/>
      <c r="E871" s="13"/>
      <c r="I871" s="13"/>
      <c r="P871" s="13"/>
      <c r="T871" s="13"/>
      <c r="X871" s="13"/>
      <c r="Y871" s="13"/>
      <c r="Z871" s="13"/>
      <c r="AA871" s="13"/>
      <c r="AS871" s="14"/>
      <c r="AT871" s="14"/>
      <c r="AU871" s="14"/>
    </row>
    <row r="872" ht="15.75" customHeight="1">
      <c r="B872" s="158"/>
      <c r="E872" s="13"/>
      <c r="I872" s="13"/>
      <c r="P872" s="13"/>
      <c r="T872" s="13"/>
      <c r="X872" s="13"/>
      <c r="Y872" s="13"/>
      <c r="Z872" s="13"/>
      <c r="AA872" s="13"/>
      <c r="AS872" s="14"/>
      <c r="AT872" s="14"/>
      <c r="AU872" s="14"/>
    </row>
    <row r="873" ht="15.75" customHeight="1">
      <c r="B873" s="158"/>
      <c r="E873" s="13"/>
      <c r="I873" s="13"/>
      <c r="P873" s="13"/>
      <c r="T873" s="13"/>
      <c r="X873" s="13"/>
      <c r="Y873" s="13"/>
      <c r="Z873" s="13"/>
      <c r="AA873" s="13"/>
      <c r="AS873" s="14"/>
      <c r="AT873" s="14"/>
      <c r="AU873" s="14"/>
    </row>
    <row r="874" ht="15.75" customHeight="1">
      <c r="B874" s="158"/>
      <c r="E874" s="13"/>
      <c r="I874" s="13"/>
      <c r="P874" s="13"/>
      <c r="T874" s="13"/>
      <c r="X874" s="13"/>
      <c r="Y874" s="13"/>
      <c r="Z874" s="13"/>
      <c r="AA874" s="13"/>
      <c r="AS874" s="14"/>
      <c r="AT874" s="14"/>
      <c r="AU874" s="14"/>
    </row>
    <row r="875" ht="15.75" customHeight="1">
      <c r="B875" s="158"/>
      <c r="E875" s="13"/>
      <c r="I875" s="13"/>
      <c r="P875" s="13"/>
      <c r="T875" s="13"/>
      <c r="X875" s="13"/>
      <c r="Y875" s="13"/>
      <c r="Z875" s="13"/>
      <c r="AA875" s="13"/>
      <c r="AS875" s="14"/>
      <c r="AT875" s="14"/>
      <c r="AU875" s="14"/>
    </row>
    <row r="876" ht="15.75" customHeight="1">
      <c r="B876" s="158"/>
      <c r="E876" s="13"/>
      <c r="I876" s="13"/>
      <c r="P876" s="13"/>
      <c r="T876" s="13"/>
      <c r="X876" s="13"/>
      <c r="Y876" s="13"/>
      <c r="Z876" s="13"/>
      <c r="AA876" s="13"/>
      <c r="AS876" s="14"/>
      <c r="AT876" s="14"/>
      <c r="AU876" s="14"/>
    </row>
    <row r="877" ht="15.75" customHeight="1">
      <c r="B877" s="158"/>
      <c r="E877" s="13"/>
      <c r="I877" s="13"/>
      <c r="P877" s="13"/>
      <c r="T877" s="13"/>
      <c r="X877" s="13"/>
      <c r="Y877" s="13"/>
      <c r="Z877" s="13"/>
      <c r="AA877" s="13"/>
      <c r="AS877" s="14"/>
      <c r="AT877" s="14"/>
      <c r="AU877" s="14"/>
    </row>
    <row r="878" ht="15.75" customHeight="1">
      <c r="B878" s="158"/>
      <c r="E878" s="13"/>
      <c r="I878" s="13"/>
      <c r="P878" s="13"/>
      <c r="T878" s="13"/>
      <c r="X878" s="13"/>
      <c r="Y878" s="13"/>
      <c r="Z878" s="13"/>
      <c r="AA878" s="13"/>
      <c r="AS878" s="14"/>
      <c r="AT878" s="14"/>
      <c r="AU878" s="14"/>
    </row>
    <row r="879" ht="15.75" customHeight="1">
      <c r="B879" s="158"/>
      <c r="E879" s="13"/>
      <c r="I879" s="13"/>
      <c r="P879" s="13"/>
      <c r="T879" s="13"/>
      <c r="X879" s="13"/>
      <c r="Y879" s="13"/>
      <c r="Z879" s="13"/>
      <c r="AA879" s="13"/>
      <c r="AS879" s="14"/>
      <c r="AT879" s="14"/>
      <c r="AU879" s="14"/>
    </row>
    <row r="880" ht="15.75" customHeight="1">
      <c r="B880" s="158"/>
      <c r="E880" s="13"/>
      <c r="I880" s="13"/>
      <c r="P880" s="13"/>
      <c r="T880" s="13"/>
      <c r="X880" s="13"/>
      <c r="Y880" s="13"/>
      <c r="Z880" s="13"/>
      <c r="AA880" s="13"/>
      <c r="AS880" s="14"/>
      <c r="AT880" s="14"/>
      <c r="AU880" s="14"/>
    </row>
    <row r="881" ht="15.75" customHeight="1">
      <c r="B881" s="158"/>
      <c r="E881" s="13"/>
      <c r="I881" s="13"/>
      <c r="P881" s="13"/>
      <c r="T881" s="13"/>
      <c r="X881" s="13"/>
      <c r="Y881" s="13"/>
      <c r="Z881" s="13"/>
      <c r="AA881" s="13"/>
      <c r="AS881" s="14"/>
      <c r="AT881" s="14"/>
      <c r="AU881" s="14"/>
    </row>
    <row r="882" ht="15.75" customHeight="1">
      <c r="B882" s="158"/>
      <c r="E882" s="13"/>
      <c r="I882" s="13"/>
      <c r="P882" s="13"/>
      <c r="T882" s="13"/>
      <c r="X882" s="13"/>
      <c r="Y882" s="13"/>
      <c r="Z882" s="13"/>
      <c r="AA882" s="13"/>
      <c r="AS882" s="14"/>
      <c r="AT882" s="14"/>
      <c r="AU882" s="14"/>
    </row>
    <row r="883" ht="15.75" customHeight="1">
      <c r="B883" s="158"/>
      <c r="E883" s="13"/>
      <c r="I883" s="13"/>
      <c r="P883" s="13"/>
      <c r="T883" s="13"/>
      <c r="X883" s="13"/>
      <c r="Y883" s="13"/>
      <c r="Z883" s="13"/>
      <c r="AA883" s="13"/>
      <c r="AS883" s="14"/>
      <c r="AT883" s="14"/>
      <c r="AU883" s="14"/>
    </row>
    <row r="884" ht="15.75" customHeight="1">
      <c r="B884" s="158"/>
      <c r="E884" s="13"/>
      <c r="I884" s="13"/>
      <c r="P884" s="13"/>
      <c r="T884" s="13"/>
      <c r="X884" s="13"/>
      <c r="Y884" s="13"/>
      <c r="Z884" s="13"/>
      <c r="AA884" s="13"/>
      <c r="AS884" s="14"/>
      <c r="AT884" s="14"/>
      <c r="AU884" s="14"/>
    </row>
    <row r="885" ht="15.75" customHeight="1">
      <c r="B885" s="158"/>
      <c r="E885" s="13"/>
      <c r="I885" s="13"/>
      <c r="P885" s="13"/>
      <c r="T885" s="13"/>
      <c r="X885" s="13"/>
      <c r="Y885" s="13"/>
      <c r="Z885" s="13"/>
      <c r="AA885" s="13"/>
      <c r="AS885" s="14"/>
      <c r="AT885" s="14"/>
      <c r="AU885" s="14"/>
    </row>
    <row r="886" ht="15.75" customHeight="1">
      <c r="B886" s="158"/>
      <c r="E886" s="13"/>
      <c r="I886" s="13"/>
      <c r="P886" s="13"/>
      <c r="T886" s="13"/>
      <c r="X886" s="13"/>
      <c r="Y886" s="13"/>
      <c r="Z886" s="13"/>
      <c r="AA886" s="13"/>
      <c r="AS886" s="14"/>
      <c r="AT886" s="14"/>
      <c r="AU886" s="14"/>
    </row>
    <row r="887" ht="15.75" customHeight="1">
      <c r="B887" s="158"/>
      <c r="E887" s="13"/>
      <c r="I887" s="13"/>
      <c r="P887" s="13"/>
      <c r="T887" s="13"/>
      <c r="X887" s="13"/>
      <c r="Y887" s="13"/>
      <c r="Z887" s="13"/>
      <c r="AA887" s="13"/>
      <c r="AS887" s="14"/>
      <c r="AT887" s="14"/>
      <c r="AU887" s="14"/>
    </row>
    <row r="888" ht="15.75" customHeight="1">
      <c r="B888" s="158"/>
      <c r="E888" s="13"/>
      <c r="I888" s="13"/>
      <c r="P888" s="13"/>
      <c r="T888" s="13"/>
      <c r="X888" s="13"/>
      <c r="Y888" s="13"/>
      <c r="Z888" s="13"/>
      <c r="AA888" s="13"/>
      <c r="AS888" s="14"/>
      <c r="AT888" s="14"/>
      <c r="AU888" s="14"/>
    </row>
    <row r="889" ht="15.75" customHeight="1">
      <c r="B889" s="158"/>
      <c r="E889" s="13"/>
      <c r="I889" s="13"/>
      <c r="P889" s="13"/>
      <c r="T889" s="13"/>
      <c r="X889" s="13"/>
      <c r="Y889" s="13"/>
      <c r="Z889" s="13"/>
      <c r="AA889" s="13"/>
      <c r="AS889" s="14"/>
      <c r="AT889" s="14"/>
      <c r="AU889" s="14"/>
    </row>
    <row r="890" ht="15.75" customHeight="1">
      <c r="B890" s="158"/>
      <c r="E890" s="13"/>
      <c r="I890" s="13"/>
      <c r="P890" s="13"/>
      <c r="T890" s="13"/>
      <c r="X890" s="13"/>
      <c r="Y890" s="13"/>
      <c r="Z890" s="13"/>
      <c r="AA890" s="13"/>
      <c r="AS890" s="14"/>
      <c r="AT890" s="14"/>
      <c r="AU890" s="14"/>
    </row>
    <row r="891" ht="15.75" customHeight="1">
      <c r="B891" s="158"/>
      <c r="E891" s="13"/>
      <c r="I891" s="13"/>
      <c r="P891" s="13"/>
      <c r="T891" s="13"/>
      <c r="X891" s="13"/>
      <c r="Y891" s="13"/>
      <c r="Z891" s="13"/>
      <c r="AA891" s="13"/>
      <c r="AS891" s="14"/>
      <c r="AT891" s="14"/>
      <c r="AU891" s="14"/>
    </row>
    <row r="892" ht="15.75" customHeight="1">
      <c r="B892" s="158"/>
      <c r="E892" s="13"/>
      <c r="I892" s="13"/>
      <c r="P892" s="13"/>
      <c r="T892" s="13"/>
      <c r="X892" s="13"/>
      <c r="Y892" s="13"/>
      <c r="Z892" s="13"/>
      <c r="AA892" s="13"/>
      <c r="AS892" s="14"/>
      <c r="AT892" s="14"/>
      <c r="AU892" s="14"/>
    </row>
    <row r="893" ht="15.75" customHeight="1">
      <c r="B893" s="158"/>
      <c r="E893" s="13"/>
      <c r="I893" s="13"/>
      <c r="P893" s="13"/>
      <c r="T893" s="13"/>
      <c r="X893" s="13"/>
      <c r="Y893" s="13"/>
      <c r="Z893" s="13"/>
      <c r="AA893" s="13"/>
      <c r="AS893" s="14"/>
      <c r="AT893" s="14"/>
      <c r="AU893" s="14"/>
    </row>
    <row r="894" ht="15.75" customHeight="1">
      <c r="B894" s="158"/>
      <c r="E894" s="13"/>
      <c r="I894" s="13"/>
      <c r="P894" s="13"/>
      <c r="T894" s="13"/>
      <c r="X894" s="13"/>
      <c r="Y894" s="13"/>
      <c r="Z894" s="13"/>
      <c r="AA894" s="13"/>
      <c r="AS894" s="14"/>
      <c r="AT894" s="14"/>
      <c r="AU894" s="14"/>
    </row>
    <row r="895" ht="15.75" customHeight="1">
      <c r="B895" s="158"/>
      <c r="E895" s="13"/>
      <c r="I895" s="13"/>
      <c r="P895" s="13"/>
      <c r="T895" s="13"/>
      <c r="X895" s="13"/>
      <c r="Y895" s="13"/>
      <c r="Z895" s="13"/>
      <c r="AA895" s="13"/>
      <c r="AS895" s="14"/>
      <c r="AT895" s="14"/>
      <c r="AU895" s="14"/>
    </row>
    <row r="896" ht="15.75" customHeight="1">
      <c r="B896" s="158"/>
      <c r="E896" s="13"/>
      <c r="I896" s="13"/>
      <c r="P896" s="13"/>
      <c r="T896" s="13"/>
      <c r="X896" s="13"/>
      <c r="Y896" s="13"/>
      <c r="Z896" s="13"/>
      <c r="AA896" s="13"/>
      <c r="AS896" s="14"/>
      <c r="AT896" s="14"/>
      <c r="AU896" s="14"/>
    </row>
    <row r="897" ht="15.75" customHeight="1">
      <c r="B897" s="158"/>
      <c r="E897" s="13"/>
      <c r="I897" s="13"/>
      <c r="P897" s="13"/>
      <c r="T897" s="13"/>
      <c r="X897" s="13"/>
      <c r="Y897" s="13"/>
      <c r="Z897" s="13"/>
      <c r="AA897" s="13"/>
      <c r="AS897" s="14"/>
      <c r="AT897" s="14"/>
      <c r="AU897" s="14"/>
    </row>
    <row r="898" ht="15.75" customHeight="1">
      <c r="B898" s="158"/>
      <c r="E898" s="13"/>
      <c r="I898" s="13"/>
      <c r="P898" s="13"/>
      <c r="T898" s="13"/>
      <c r="X898" s="13"/>
      <c r="Y898" s="13"/>
      <c r="Z898" s="13"/>
      <c r="AA898" s="13"/>
      <c r="AS898" s="14"/>
      <c r="AT898" s="14"/>
      <c r="AU898" s="14"/>
    </row>
    <row r="899" ht="15.75" customHeight="1">
      <c r="B899" s="158"/>
      <c r="E899" s="13"/>
      <c r="I899" s="13"/>
      <c r="P899" s="13"/>
      <c r="T899" s="13"/>
      <c r="X899" s="13"/>
      <c r="Y899" s="13"/>
      <c r="Z899" s="13"/>
      <c r="AA899" s="13"/>
      <c r="AS899" s="14"/>
      <c r="AT899" s="14"/>
      <c r="AU899" s="14"/>
    </row>
    <row r="900" ht="15.75" customHeight="1">
      <c r="B900" s="158"/>
      <c r="E900" s="13"/>
      <c r="I900" s="13"/>
      <c r="P900" s="13"/>
      <c r="T900" s="13"/>
      <c r="X900" s="13"/>
      <c r="Y900" s="13"/>
      <c r="Z900" s="13"/>
      <c r="AA900" s="13"/>
      <c r="AS900" s="14"/>
      <c r="AT900" s="14"/>
      <c r="AU900" s="14"/>
    </row>
    <row r="901" ht="15.75" customHeight="1">
      <c r="B901" s="158"/>
      <c r="E901" s="13"/>
      <c r="I901" s="13"/>
      <c r="P901" s="13"/>
      <c r="T901" s="13"/>
      <c r="X901" s="13"/>
      <c r="Y901" s="13"/>
      <c r="Z901" s="13"/>
      <c r="AA901" s="13"/>
      <c r="AS901" s="14"/>
      <c r="AT901" s="14"/>
      <c r="AU901" s="14"/>
    </row>
    <row r="902" ht="15.75" customHeight="1">
      <c r="B902" s="158"/>
      <c r="E902" s="13"/>
      <c r="I902" s="13"/>
      <c r="P902" s="13"/>
      <c r="T902" s="13"/>
      <c r="X902" s="13"/>
      <c r="Y902" s="13"/>
      <c r="Z902" s="13"/>
      <c r="AA902" s="13"/>
      <c r="AS902" s="14"/>
      <c r="AT902" s="14"/>
      <c r="AU902" s="14"/>
    </row>
    <row r="903" ht="15.75" customHeight="1">
      <c r="B903" s="158"/>
      <c r="E903" s="13"/>
      <c r="I903" s="13"/>
      <c r="P903" s="13"/>
      <c r="T903" s="13"/>
      <c r="X903" s="13"/>
      <c r="Y903" s="13"/>
      <c r="Z903" s="13"/>
      <c r="AA903" s="13"/>
      <c r="AS903" s="14"/>
      <c r="AT903" s="14"/>
      <c r="AU903" s="14"/>
    </row>
    <row r="904" ht="15.75" customHeight="1">
      <c r="B904" s="158"/>
      <c r="E904" s="13"/>
      <c r="I904" s="13"/>
      <c r="P904" s="13"/>
      <c r="T904" s="13"/>
      <c r="X904" s="13"/>
      <c r="Y904" s="13"/>
      <c r="Z904" s="13"/>
      <c r="AA904" s="13"/>
      <c r="AS904" s="14"/>
      <c r="AT904" s="14"/>
      <c r="AU904" s="14"/>
    </row>
    <row r="905" ht="15.75" customHeight="1">
      <c r="B905" s="158"/>
      <c r="E905" s="13"/>
      <c r="I905" s="13"/>
      <c r="P905" s="13"/>
      <c r="T905" s="13"/>
      <c r="X905" s="13"/>
      <c r="Y905" s="13"/>
      <c r="Z905" s="13"/>
      <c r="AA905" s="13"/>
      <c r="AS905" s="14"/>
      <c r="AT905" s="14"/>
      <c r="AU905" s="14"/>
    </row>
    <row r="906" ht="15.75" customHeight="1">
      <c r="B906" s="158"/>
      <c r="E906" s="13"/>
      <c r="I906" s="13"/>
      <c r="P906" s="13"/>
      <c r="T906" s="13"/>
      <c r="X906" s="13"/>
      <c r="Y906" s="13"/>
      <c r="Z906" s="13"/>
      <c r="AA906" s="13"/>
      <c r="AS906" s="14"/>
      <c r="AT906" s="14"/>
      <c r="AU906" s="14"/>
    </row>
    <row r="907" ht="15.75" customHeight="1">
      <c r="B907" s="158"/>
      <c r="E907" s="13"/>
      <c r="I907" s="13"/>
      <c r="P907" s="13"/>
      <c r="T907" s="13"/>
      <c r="X907" s="13"/>
      <c r="Y907" s="13"/>
      <c r="Z907" s="13"/>
      <c r="AA907" s="13"/>
      <c r="AS907" s="14"/>
      <c r="AT907" s="14"/>
      <c r="AU907" s="14"/>
    </row>
    <row r="908" ht="15.75" customHeight="1">
      <c r="B908" s="158"/>
      <c r="E908" s="13"/>
      <c r="I908" s="13"/>
      <c r="P908" s="13"/>
      <c r="T908" s="13"/>
      <c r="X908" s="13"/>
      <c r="Y908" s="13"/>
      <c r="Z908" s="13"/>
      <c r="AA908" s="13"/>
      <c r="AS908" s="14"/>
      <c r="AT908" s="14"/>
      <c r="AU908" s="14"/>
    </row>
    <row r="909" ht="15.75" customHeight="1">
      <c r="B909" s="158"/>
      <c r="E909" s="13"/>
      <c r="I909" s="13"/>
      <c r="P909" s="13"/>
      <c r="T909" s="13"/>
      <c r="X909" s="13"/>
      <c r="Y909" s="13"/>
      <c r="Z909" s="13"/>
      <c r="AA909" s="13"/>
      <c r="AS909" s="14"/>
      <c r="AT909" s="14"/>
      <c r="AU909" s="14"/>
    </row>
    <row r="910" ht="15.75" customHeight="1">
      <c r="B910" s="158"/>
      <c r="E910" s="13"/>
      <c r="I910" s="13"/>
      <c r="P910" s="13"/>
      <c r="T910" s="13"/>
      <c r="X910" s="13"/>
      <c r="Y910" s="13"/>
      <c r="Z910" s="13"/>
      <c r="AA910" s="13"/>
      <c r="AS910" s="14"/>
      <c r="AT910" s="14"/>
      <c r="AU910" s="14"/>
    </row>
    <row r="911" ht="15.75" customHeight="1">
      <c r="B911" s="158"/>
      <c r="E911" s="13"/>
      <c r="I911" s="13"/>
      <c r="P911" s="13"/>
      <c r="T911" s="13"/>
      <c r="X911" s="13"/>
      <c r="Y911" s="13"/>
      <c r="Z911" s="13"/>
      <c r="AA911" s="13"/>
      <c r="AS911" s="14"/>
      <c r="AT911" s="14"/>
      <c r="AU911" s="14"/>
    </row>
    <row r="912" ht="15.75" customHeight="1">
      <c r="B912" s="158"/>
      <c r="E912" s="13"/>
      <c r="I912" s="13"/>
      <c r="P912" s="13"/>
      <c r="T912" s="13"/>
      <c r="X912" s="13"/>
      <c r="Y912" s="13"/>
      <c r="Z912" s="13"/>
      <c r="AA912" s="13"/>
      <c r="AS912" s="14"/>
      <c r="AT912" s="14"/>
      <c r="AU912" s="14"/>
    </row>
    <row r="913" ht="15.75" customHeight="1">
      <c r="B913" s="158"/>
      <c r="E913" s="13"/>
      <c r="I913" s="13"/>
      <c r="P913" s="13"/>
      <c r="T913" s="13"/>
      <c r="X913" s="13"/>
      <c r="Y913" s="13"/>
      <c r="Z913" s="13"/>
      <c r="AA913" s="13"/>
      <c r="AS913" s="14"/>
      <c r="AT913" s="14"/>
      <c r="AU913" s="14"/>
    </row>
    <row r="914" ht="15.75" customHeight="1">
      <c r="B914" s="158"/>
      <c r="E914" s="13"/>
      <c r="I914" s="13"/>
      <c r="P914" s="13"/>
      <c r="T914" s="13"/>
      <c r="X914" s="13"/>
      <c r="Y914" s="13"/>
      <c r="Z914" s="13"/>
      <c r="AA914" s="13"/>
      <c r="AS914" s="14"/>
      <c r="AT914" s="14"/>
      <c r="AU914" s="14"/>
    </row>
    <row r="915" ht="15.75" customHeight="1">
      <c r="B915" s="158"/>
      <c r="E915" s="13"/>
      <c r="I915" s="13"/>
      <c r="P915" s="13"/>
      <c r="T915" s="13"/>
      <c r="X915" s="13"/>
      <c r="Y915" s="13"/>
      <c r="Z915" s="13"/>
      <c r="AA915" s="13"/>
      <c r="AS915" s="14"/>
      <c r="AT915" s="14"/>
      <c r="AU915" s="14"/>
    </row>
    <row r="916" ht="15.75" customHeight="1">
      <c r="B916" s="158"/>
      <c r="E916" s="13"/>
      <c r="I916" s="13"/>
      <c r="P916" s="13"/>
      <c r="T916" s="13"/>
      <c r="X916" s="13"/>
      <c r="Y916" s="13"/>
      <c r="Z916" s="13"/>
      <c r="AA916" s="13"/>
      <c r="AS916" s="14"/>
      <c r="AT916" s="14"/>
      <c r="AU916" s="14"/>
    </row>
    <row r="917" ht="15.75" customHeight="1">
      <c r="B917" s="158"/>
      <c r="E917" s="13"/>
      <c r="I917" s="13"/>
      <c r="P917" s="13"/>
      <c r="T917" s="13"/>
      <c r="X917" s="13"/>
      <c r="Y917" s="13"/>
      <c r="Z917" s="13"/>
      <c r="AA917" s="13"/>
      <c r="AS917" s="14"/>
      <c r="AT917" s="14"/>
      <c r="AU917" s="14"/>
    </row>
    <row r="918" ht="15.75" customHeight="1">
      <c r="B918" s="158"/>
      <c r="E918" s="13"/>
      <c r="I918" s="13"/>
      <c r="P918" s="13"/>
      <c r="T918" s="13"/>
      <c r="X918" s="13"/>
      <c r="Y918" s="13"/>
      <c r="Z918" s="13"/>
      <c r="AA918" s="13"/>
      <c r="AS918" s="14"/>
      <c r="AT918" s="14"/>
      <c r="AU918" s="14"/>
    </row>
    <row r="919" ht="15.75" customHeight="1">
      <c r="B919" s="158"/>
      <c r="E919" s="13"/>
      <c r="I919" s="13"/>
      <c r="P919" s="13"/>
      <c r="T919" s="13"/>
      <c r="X919" s="13"/>
      <c r="Y919" s="13"/>
      <c r="Z919" s="13"/>
      <c r="AA919" s="13"/>
      <c r="AS919" s="14"/>
      <c r="AT919" s="14"/>
      <c r="AU919" s="14"/>
    </row>
    <row r="920" ht="15.75" customHeight="1">
      <c r="B920" s="158"/>
      <c r="E920" s="13"/>
      <c r="I920" s="13"/>
      <c r="P920" s="13"/>
      <c r="T920" s="13"/>
      <c r="X920" s="13"/>
      <c r="Y920" s="13"/>
      <c r="Z920" s="13"/>
      <c r="AA920" s="13"/>
      <c r="AS920" s="14"/>
      <c r="AT920" s="14"/>
      <c r="AU920" s="14"/>
    </row>
    <row r="921" ht="15.75" customHeight="1">
      <c r="B921" s="158"/>
      <c r="E921" s="13"/>
      <c r="I921" s="13"/>
      <c r="P921" s="13"/>
      <c r="T921" s="13"/>
      <c r="X921" s="13"/>
      <c r="Y921" s="13"/>
      <c r="Z921" s="13"/>
      <c r="AA921" s="13"/>
      <c r="AS921" s="14"/>
      <c r="AT921" s="14"/>
      <c r="AU921" s="14"/>
    </row>
    <row r="922" ht="15.75" customHeight="1">
      <c r="B922" s="158"/>
      <c r="E922" s="13"/>
      <c r="I922" s="13"/>
      <c r="P922" s="13"/>
      <c r="T922" s="13"/>
      <c r="X922" s="13"/>
      <c r="Y922" s="13"/>
      <c r="Z922" s="13"/>
      <c r="AA922" s="13"/>
      <c r="AS922" s="14"/>
      <c r="AT922" s="14"/>
      <c r="AU922" s="14"/>
    </row>
    <row r="923" ht="15.75" customHeight="1">
      <c r="B923" s="158"/>
      <c r="E923" s="13"/>
      <c r="I923" s="13"/>
      <c r="P923" s="13"/>
      <c r="T923" s="13"/>
      <c r="X923" s="13"/>
      <c r="Y923" s="13"/>
      <c r="Z923" s="13"/>
      <c r="AA923" s="13"/>
      <c r="AS923" s="14"/>
      <c r="AT923" s="14"/>
      <c r="AU923" s="14"/>
    </row>
    <row r="924" ht="15.75" customHeight="1">
      <c r="B924" s="158"/>
      <c r="E924" s="13"/>
      <c r="I924" s="13"/>
      <c r="P924" s="13"/>
      <c r="T924" s="13"/>
      <c r="X924" s="13"/>
      <c r="Y924" s="13"/>
      <c r="Z924" s="13"/>
      <c r="AA924" s="13"/>
      <c r="AS924" s="14"/>
      <c r="AT924" s="14"/>
      <c r="AU924" s="14"/>
    </row>
    <row r="925" ht="15.75" customHeight="1">
      <c r="B925" s="158"/>
      <c r="E925" s="13"/>
      <c r="I925" s="13"/>
      <c r="P925" s="13"/>
      <c r="T925" s="13"/>
      <c r="X925" s="13"/>
      <c r="Y925" s="13"/>
      <c r="Z925" s="13"/>
      <c r="AA925" s="13"/>
      <c r="AS925" s="14"/>
      <c r="AT925" s="14"/>
      <c r="AU925" s="14"/>
    </row>
    <row r="926" ht="15.75" customHeight="1">
      <c r="B926" s="158"/>
      <c r="E926" s="13"/>
      <c r="I926" s="13"/>
      <c r="P926" s="13"/>
      <c r="T926" s="13"/>
      <c r="X926" s="13"/>
      <c r="Y926" s="13"/>
      <c r="Z926" s="13"/>
      <c r="AA926" s="13"/>
      <c r="AS926" s="14"/>
      <c r="AT926" s="14"/>
      <c r="AU926" s="14"/>
    </row>
    <row r="927" ht="15.75" customHeight="1">
      <c r="B927" s="158"/>
      <c r="E927" s="13"/>
      <c r="I927" s="13"/>
      <c r="P927" s="13"/>
      <c r="T927" s="13"/>
      <c r="X927" s="13"/>
      <c r="Y927" s="13"/>
      <c r="Z927" s="13"/>
      <c r="AA927" s="13"/>
      <c r="AS927" s="14"/>
      <c r="AT927" s="14"/>
      <c r="AU927" s="14"/>
    </row>
    <row r="928" ht="15.75" customHeight="1">
      <c r="B928" s="158"/>
      <c r="E928" s="13"/>
      <c r="I928" s="13"/>
      <c r="P928" s="13"/>
      <c r="T928" s="13"/>
      <c r="X928" s="13"/>
      <c r="Y928" s="13"/>
      <c r="Z928" s="13"/>
      <c r="AA928" s="13"/>
      <c r="AS928" s="14"/>
      <c r="AT928" s="14"/>
      <c r="AU928" s="14"/>
    </row>
    <row r="929" ht="15.75" customHeight="1">
      <c r="B929" s="158"/>
      <c r="E929" s="13"/>
      <c r="I929" s="13"/>
      <c r="P929" s="13"/>
      <c r="T929" s="13"/>
      <c r="X929" s="13"/>
      <c r="Y929" s="13"/>
      <c r="Z929" s="13"/>
      <c r="AA929" s="13"/>
      <c r="AS929" s="14"/>
      <c r="AT929" s="14"/>
      <c r="AU929" s="14"/>
    </row>
    <row r="930" ht="15.75" customHeight="1">
      <c r="B930" s="158"/>
      <c r="E930" s="13"/>
      <c r="I930" s="13"/>
      <c r="P930" s="13"/>
      <c r="T930" s="13"/>
      <c r="X930" s="13"/>
      <c r="Y930" s="13"/>
      <c r="Z930" s="13"/>
      <c r="AA930" s="13"/>
      <c r="AS930" s="14"/>
      <c r="AT930" s="14"/>
      <c r="AU930" s="14"/>
    </row>
    <row r="931" ht="15.75" customHeight="1">
      <c r="B931" s="158"/>
      <c r="E931" s="13"/>
      <c r="I931" s="13"/>
      <c r="P931" s="13"/>
      <c r="T931" s="13"/>
      <c r="X931" s="13"/>
      <c r="Y931" s="13"/>
      <c r="Z931" s="13"/>
      <c r="AA931" s="13"/>
      <c r="AS931" s="14"/>
      <c r="AT931" s="14"/>
      <c r="AU931" s="14"/>
    </row>
    <row r="932" ht="15.75" customHeight="1">
      <c r="B932" s="158"/>
      <c r="E932" s="13"/>
      <c r="I932" s="13"/>
      <c r="P932" s="13"/>
      <c r="T932" s="13"/>
      <c r="X932" s="13"/>
      <c r="Y932" s="13"/>
      <c r="Z932" s="13"/>
      <c r="AA932" s="13"/>
      <c r="AS932" s="14"/>
      <c r="AT932" s="14"/>
      <c r="AU932" s="14"/>
    </row>
    <row r="933" ht="15.75" customHeight="1">
      <c r="B933" s="158"/>
      <c r="E933" s="13"/>
      <c r="I933" s="13"/>
      <c r="P933" s="13"/>
      <c r="T933" s="13"/>
      <c r="X933" s="13"/>
      <c r="Y933" s="13"/>
      <c r="Z933" s="13"/>
      <c r="AA933" s="13"/>
      <c r="AS933" s="14"/>
      <c r="AT933" s="14"/>
      <c r="AU933" s="14"/>
    </row>
    <row r="934" ht="15.75" customHeight="1">
      <c r="B934" s="158"/>
      <c r="E934" s="13"/>
      <c r="I934" s="13"/>
      <c r="P934" s="13"/>
      <c r="T934" s="13"/>
      <c r="X934" s="13"/>
      <c r="Y934" s="13"/>
      <c r="Z934" s="13"/>
      <c r="AA934" s="13"/>
      <c r="AS934" s="14"/>
      <c r="AT934" s="14"/>
      <c r="AU934" s="14"/>
    </row>
    <row r="935" ht="15.75" customHeight="1">
      <c r="B935" s="158"/>
      <c r="E935" s="13"/>
      <c r="I935" s="13"/>
      <c r="P935" s="13"/>
      <c r="T935" s="13"/>
      <c r="X935" s="13"/>
      <c r="Y935" s="13"/>
      <c r="Z935" s="13"/>
      <c r="AA935" s="13"/>
      <c r="AS935" s="14"/>
      <c r="AT935" s="14"/>
      <c r="AU935" s="14"/>
    </row>
    <row r="936" ht="15.75" customHeight="1">
      <c r="B936" s="158"/>
      <c r="E936" s="13"/>
      <c r="I936" s="13"/>
      <c r="P936" s="13"/>
      <c r="T936" s="13"/>
      <c r="X936" s="13"/>
      <c r="Y936" s="13"/>
      <c r="Z936" s="13"/>
      <c r="AA936" s="13"/>
      <c r="AS936" s="14"/>
      <c r="AT936" s="14"/>
      <c r="AU936" s="14"/>
    </row>
    <row r="937" ht="15.75" customHeight="1">
      <c r="B937" s="158"/>
      <c r="E937" s="13"/>
      <c r="I937" s="13"/>
      <c r="P937" s="13"/>
      <c r="T937" s="13"/>
      <c r="X937" s="13"/>
      <c r="Y937" s="13"/>
      <c r="Z937" s="13"/>
      <c r="AA937" s="13"/>
      <c r="AS937" s="14"/>
      <c r="AT937" s="14"/>
      <c r="AU937" s="14"/>
    </row>
    <row r="938" ht="15.75" customHeight="1">
      <c r="B938" s="158"/>
      <c r="E938" s="13"/>
      <c r="I938" s="13"/>
      <c r="P938" s="13"/>
      <c r="T938" s="13"/>
      <c r="X938" s="13"/>
      <c r="Y938" s="13"/>
      <c r="Z938" s="13"/>
      <c r="AA938" s="13"/>
      <c r="AS938" s="14"/>
      <c r="AT938" s="14"/>
      <c r="AU938" s="14"/>
    </row>
    <row r="939" ht="15.75" customHeight="1">
      <c r="B939" s="158"/>
      <c r="E939" s="13"/>
      <c r="I939" s="13"/>
      <c r="P939" s="13"/>
      <c r="T939" s="13"/>
      <c r="X939" s="13"/>
      <c r="Y939" s="13"/>
      <c r="Z939" s="13"/>
      <c r="AA939" s="13"/>
      <c r="AS939" s="14"/>
      <c r="AT939" s="14"/>
      <c r="AU939" s="14"/>
    </row>
    <row r="940" ht="15.75" customHeight="1">
      <c r="B940" s="158"/>
      <c r="E940" s="13"/>
      <c r="I940" s="13"/>
      <c r="P940" s="13"/>
      <c r="T940" s="13"/>
      <c r="X940" s="13"/>
      <c r="Y940" s="13"/>
      <c r="Z940" s="13"/>
      <c r="AA940" s="13"/>
      <c r="AS940" s="14"/>
      <c r="AT940" s="14"/>
      <c r="AU940" s="14"/>
    </row>
    <row r="941" ht="15.75" customHeight="1">
      <c r="B941" s="158"/>
      <c r="E941" s="13"/>
      <c r="I941" s="13"/>
      <c r="P941" s="13"/>
      <c r="T941" s="13"/>
      <c r="X941" s="13"/>
      <c r="Y941" s="13"/>
      <c r="Z941" s="13"/>
      <c r="AA941" s="13"/>
      <c r="AS941" s="14"/>
      <c r="AT941" s="14"/>
      <c r="AU941" s="14"/>
    </row>
    <row r="942" ht="15.75" customHeight="1">
      <c r="B942" s="158"/>
      <c r="E942" s="13"/>
      <c r="I942" s="13"/>
      <c r="P942" s="13"/>
      <c r="T942" s="13"/>
      <c r="X942" s="13"/>
      <c r="Y942" s="13"/>
      <c r="Z942" s="13"/>
      <c r="AA942" s="13"/>
      <c r="AS942" s="14"/>
      <c r="AT942" s="14"/>
      <c r="AU942" s="14"/>
    </row>
    <row r="943" ht="15.75" customHeight="1">
      <c r="B943" s="158"/>
      <c r="E943" s="13"/>
      <c r="I943" s="13"/>
      <c r="P943" s="13"/>
      <c r="T943" s="13"/>
      <c r="X943" s="13"/>
      <c r="Y943" s="13"/>
      <c r="Z943" s="13"/>
      <c r="AA943" s="13"/>
      <c r="AS943" s="14"/>
      <c r="AT943" s="14"/>
      <c r="AU943" s="14"/>
    </row>
    <row r="944" ht="15.75" customHeight="1">
      <c r="B944" s="158"/>
      <c r="E944" s="13"/>
      <c r="I944" s="13"/>
      <c r="P944" s="13"/>
      <c r="T944" s="13"/>
      <c r="X944" s="13"/>
      <c r="Y944" s="13"/>
      <c r="Z944" s="13"/>
      <c r="AA944" s="13"/>
      <c r="AS944" s="14"/>
      <c r="AT944" s="14"/>
      <c r="AU944" s="14"/>
    </row>
    <row r="945" ht="15.75" customHeight="1">
      <c r="B945" s="158"/>
      <c r="E945" s="13"/>
      <c r="I945" s="13"/>
      <c r="P945" s="13"/>
      <c r="T945" s="13"/>
      <c r="X945" s="13"/>
      <c r="Y945" s="13"/>
      <c r="Z945" s="13"/>
      <c r="AA945" s="13"/>
      <c r="AS945" s="14"/>
      <c r="AT945" s="14"/>
      <c r="AU945" s="14"/>
    </row>
    <row r="946" ht="15.75" customHeight="1">
      <c r="B946" s="158"/>
      <c r="E946" s="13"/>
      <c r="I946" s="13"/>
      <c r="P946" s="13"/>
      <c r="T946" s="13"/>
      <c r="X946" s="13"/>
      <c r="Y946" s="13"/>
      <c r="Z946" s="13"/>
      <c r="AA946" s="13"/>
      <c r="AS946" s="14"/>
      <c r="AT946" s="14"/>
      <c r="AU946" s="14"/>
    </row>
    <row r="947" ht="15.75" customHeight="1">
      <c r="B947" s="158"/>
      <c r="E947" s="13"/>
      <c r="I947" s="13"/>
      <c r="P947" s="13"/>
      <c r="T947" s="13"/>
      <c r="X947" s="13"/>
      <c r="Y947" s="13"/>
      <c r="Z947" s="13"/>
      <c r="AA947" s="13"/>
      <c r="AS947" s="14"/>
      <c r="AT947" s="14"/>
      <c r="AU947" s="14"/>
    </row>
    <row r="948" ht="15.75" customHeight="1">
      <c r="B948" s="158"/>
      <c r="E948" s="13"/>
      <c r="I948" s="13"/>
      <c r="P948" s="13"/>
      <c r="T948" s="13"/>
      <c r="X948" s="13"/>
      <c r="Y948" s="13"/>
      <c r="Z948" s="13"/>
      <c r="AA948" s="13"/>
      <c r="AS948" s="14"/>
      <c r="AT948" s="14"/>
      <c r="AU948" s="14"/>
    </row>
    <row r="949" ht="15.75" customHeight="1">
      <c r="B949" s="158"/>
      <c r="E949" s="13"/>
      <c r="I949" s="13"/>
      <c r="P949" s="13"/>
      <c r="T949" s="13"/>
      <c r="X949" s="13"/>
      <c r="Y949" s="13"/>
      <c r="Z949" s="13"/>
      <c r="AA949" s="13"/>
      <c r="AS949" s="14"/>
      <c r="AT949" s="14"/>
      <c r="AU949" s="14"/>
    </row>
    <row r="950" ht="15.75" customHeight="1">
      <c r="B950" s="158"/>
      <c r="E950" s="13"/>
      <c r="I950" s="13"/>
      <c r="P950" s="13"/>
      <c r="T950" s="13"/>
      <c r="X950" s="13"/>
      <c r="Y950" s="13"/>
      <c r="Z950" s="13"/>
      <c r="AA950" s="13"/>
      <c r="AS950" s="14"/>
      <c r="AT950" s="14"/>
      <c r="AU950" s="14"/>
    </row>
    <row r="951" ht="15.75" customHeight="1">
      <c r="B951" s="158"/>
      <c r="E951" s="13"/>
      <c r="I951" s="13"/>
      <c r="P951" s="13"/>
      <c r="T951" s="13"/>
      <c r="X951" s="13"/>
      <c r="Y951" s="13"/>
      <c r="Z951" s="13"/>
      <c r="AA951" s="13"/>
      <c r="AS951" s="14"/>
      <c r="AT951" s="14"/>
      <c r="AU951" s="14"/>
    </row>
    <row r="952" ht="15.75" customHeight="1">
      <c r="B952" s="158"/>
      <c r="E952" s="13"/>
      <c r="I952" s="13"/>
      <c r="P952" s="13"/>
      <c r="T952" s="13"/>
      <c r="X952" s="13"/>
      <c r="Y952" s="13"/>
      <c r="Z952" s="13"/>
      <c r="AA952" s="13"/>
      <c r="AS952" s="14"/>
      <c r="AT952" s="14"/>
      <c r="AU952" s="14"/>
    </row>
    <row r="953" ht="15.75" customHeight="1">
      <c r="B953" s="158"/>
      <c r="E953" s="13"/>
      <c r="I953" s="13"/>
      <c r="P953" s="13"/>
      <c r="T953" s="13"/>
      <c r="X953" s="13"/>
      <c r="Y953" s="13"/>
      <c r="Z953" s="13"/>
      <c r="AA953" s="13"/>
      <c r="AS953" s="14"/>
      <c r="AT953" s="14"/>
      <c r="AU953" s="14"/>
    </row>
    <row r="954" ht="15.75" customHeight="1">
      <c r="B954" s="158"/>
      <c r="E954" s="13"/>
      <c r="I954" s="13"/>
      <c r="P954" s="13"/>
      <c r="T954" s="13"/>
      <c r="X954" s="13"/>
      <c r="Y954" s="13"/>
      <c r="Z954" s="13"/>
      <c r="AA954" s="13"/>
      <c r="AS954" s="14"/>
      <c r="AT954" s="14"/>
      <c r="AU954" s="14"/>
    </row>
    <row r="955" ht="15.75" customHeight="1">
      <c r="B955" s="158"/>
      <c r="E955" s="13"/>
      <c r="I955" s="13"/>
      <c r="P955" s="13"/>
      <c r="T955" s="13"/>
      <c r="X955" s="13"/>
      <c r="Y955" s="13"/>
      <c r="Z955" s="13"/>
      <c r="AA955" s="13"/>
      <c r="AS955" s="14"/>
      <c r="AT955" s="14"/>
      <c r="AU955" s="14"/>
    </row>
    <row r="956" ht="15.75" customHeight="1">
      <c r="B956" s="158"/>
      <c r="E956" s="13"/>
      <c r="I956" s="13"/>
      <c r="P956" s="13"/>
      <c r="T956" s="13"/>
      <c r="X956" s="13"/>
      <c r="Y956" s="13"/>
      <c r="Z956" s="13"/>
      <c r="AA956" s="13"/>
      <c r="AS956" s="14"/>
      <c r="AT956" s="14"/>
      <c r="AU956" s="14"/>
    </row>
    <row r="957" ht="15.75" customHeight="1">
      <c r="B957" s="158"/>
      <c r="E957" s="13"/>
      <c r="I957" s="13"/>
      <c r="P957" s="13"/>
      <c r="T957" s="13"/>
      <c r="X957" s="13"/>
      <c r="Y957" s="13"/>
      <c r="Z957" s="13"/>
      <c r="AA957" s="13"/>
      <c r="AS957" s="14"/>
      <c r="AT957" s="14"/>
      <c r="AU957" s="14"/>
    </row>
    <row r="958" ht="15.75" customHeight="1">
      <c r="B958" s="158"/>
      <c r="E958" s="13"/>
      <c r="I958" s="13"/>
      <c r="P958" s="13"/>
      <c r="T958" s="13"/>
      <c r="X958" s="13"/>
      <c r="Y958" s="13"/>
      <c r="Z958" s="13"/>
      <c r="AA958" s="13"/>
      <c r="AS958" s="14"/>
      <c r="AT958" s="14"/>
      <c r="AU958" s="14"/>
    </row>
    <row r="959" ht="15.75" customHeight="1">
      <c r="B959" s="158"/>
      <c r="E959" s="13"/>
      <c r="I959" s="13"/>
      <c r="P959" s="13"/>
      <c r="T959" s="13"/>
      <c r="X959" s="13"/>
      <c r="Y959" s="13"/>
      <c r="Z959" s="13"/>
      <c r="AA959" s="13"/>
      <c r="AS959" s="14"/>
      <c r="AT959" s="14"/>
      <c r="AU959" s="14"/>
    </row>
    <row r="960" ht="15.75" customHeight="1">
      <c r="B960" s="158"/>
      <c r="E960" s="13"/>
      <c r="I960" s="13"/>
      <c r="P960" s="13"/>
      <c r="T960" s="13"/>
      <c r="X960" s="13"/>
      <c r="Y960" s="13"/>
      <c r="Z960" s="13"/>
      <c r="AA960" s="13"/>
      <c r="AS960" s="14"/>
      <c r="AT960" s="14"/>
      <c r="AU960" s="14"/>
    </row>
    <row r="961" ht="15.75" customHeight="1">
      <c r="B961" s="158"/>
      <c r="E961" s="13"/>
      <c r="I961" s="13"/>
      <c r="P961" s="13"/>
      <c r="T961" s="13"/>
      <c r="X961" s="13"/>
      <c r="Y961" s="13"/>
      <c r="Z961" s="13"/>
      <c r="AA961" s="13"/>
      <c r="AS961" s="14"/>
      <c r="AT961" s="14"/>
      <c r="AU961" s="14"/>
    </row>
    <row r="962" ht="15.75" customHeight="1">
      <c r="B962" s="158"/>
      <c r="E962" s="13"/>
      <c r="I962" s="13"/>
      <c r="P962" s="13"/>
      <c r="T962" s="13"/>
      <c r="X962" s="13"/>
      <c r="Y962" s="13"/>
      <c r="Z962" s="13"/>
      <c r="AA962" s="13"/>
      <c r="AS962" s="14"/>
      <c r="AT962" s="14"/>
      <c r="AU962" s="14"/>
    </row>
    <row r="963" ht="15.75" customHeight="1">
      <c r="B963" s="158"/>
      <c r="E963" s="13"/>
      <c r="I963" s="13"/>
      <c r="P963" s="13"/>
      <c r="T963" s="13"/>
      <c r="X963" s="13"/>
      <c r="Y963" s="13"/>
      <c r="Z963" s="13"/>
      <c r="AA963" s="13"/>
      <c r="AS963" s="14"/>
      <c r="AT963" s="14"/>
      <c r="AU963" s="14"/>
    </row>
    <row r="964" ht="15.75" customHeight="1">
      <c r="B964" s="158"/>
      <c r="E964" s="13"/>
      <c r="I964" s="13"/>
      <c r="P964" s="13"/>
      <c r="T964" s="13"/>
      <c r="X964" s="13"/>
      <c r="Y964" s="13"/>
      <c r="Z964" s="13"/>
      <c r="AA964" s="13"/>
      <c r="AS964" s="14"/>
      <c r="AT964" s="14"/>
      <c r="AU964" s="14"/>
    </row>
    <row r="965" ht="15.75" customHeight="1">
      <c r="B965" s="158"/>
      <c r="E965" s="13"/>
      <c r="I965" s="13"/>
      <c r="P965" s="13"/>
      <c r="T965" s="13"/>
      <c r="X965" s="13"/>
      <c r="Y965" s="13"/>
      <c r="Z965" s="13"/>
      <c r="AA965" s="13"/>
      <c r="AS965" s="14"/>
      <c r="AT965" s="14"/>
      <c r="AU965" s="14"/>
    </row>
    <row r="966" ht="15.75" customHeight="1">
      <c r="B966" s="158"/>
      <c r="E966" s="13"/>
      <c r="I966" s="13"/>
      <c r="P966" s="13"/>
      <c r="T966" s="13"/>
      <c r="X966" s="13"/>
      <c r="Y966" s="13"/>
      <c r="Z966" s="13"/>
      <c r="AA966" s="13"/>
      <c r="AS966" s="14"/>
      <c r="AT966" s="14"/>
      <c r="AU966" s="14"/>
    </row>
    <row r="967" ht="15.75" customHeight="1">
      <c r="B967" s="158"/>
      <c r="E967" s="13"/>
      <c r="I967" s="13"/>
      <c r="P967" s="13"/>
      <c r="T967" s="13"/>
      <c r="X967" s="13"/>
      <c r="Y967" s="13"/>
      <c r="Z967" s="13"/>
      <c r="AA967" s="13"/>
      <c r="AS967" s="14"/>
      <c r="AT967" s="14"/>
      <c r="AU967" s="14"/>
    </row>
    <row r="968" ht="15.75" customHeight="1">
      <c r="B968" s="158"/>
      <c r="E968" s="13"/>
      <c r="I968" s="13"/>
      <c r="P968" s="13"/>
      <c r="T968" s="13"/>
      <c r="X968" s="13"/>
      <c r="Y968" s="13"/>
      <c r="Z968" s="13"/>
      <c r="AA968" s="13"/>
      <c r="AS968" s="14"/>
      <c r="AT968" s="14"/>
      <c r="AU968" s="14"/>
    </row>
    <row r="969" ht="15.75" customHeight="1">
      <c r="B969" s="158"/>
      <c r="E969" s="13"/>
      <c r="I969" s="13"/>
      <c r="P969" s="13"/>
      <c r="T969" s="13"/>
      <c r="X969" s="13"/>
      <c r="Y969" s="13"/>
      <c r="Z969" s="13"/>
      <c r="AA969" s="13"/>
      <c r="AS969" s="14"/>
      <c r="AT969" s="14"/>
      <c r="AU969" s="14"/>
    </row>
    <row r="970" ht="15.75" customHeight="1">
      <c r="B970" s="158"/>
      <c r="E970" s="13"/>
      <c r="I970" s="13"/>
      <c r="P970" s="13"/>
      <c r="T970" s="13"/>
      <c r="X970" s="13"/>
      <c r="Y970" s="13"/>
      <c r="Z970" s="13"/>
      <c r="AA970" s="13"/>
      <c r="AS970" s="14"/>
      <c r="AT970" s="14"/>
      <c r="AU970" s="14"/>
    </row>
    <row r="971" ht="15.75" customHeight="1">
      <c r="B971" s="158"/>
      <c r="E971" s="13"/>
      <c r="I971" s="13"/>
      <c r="P971" s="13"/>
      <c r="T971" s="13"/>
      <c r="X971" s="13"/>
      <c r="Y971" s="13"/>
      <c r="Z971" s="13"/>
      <c r="AA971" s="13"/>
      <c r="AS971" s="14"/>
      <c r="AT971" s="14"/>
      <c r="AU971" s="14"/>
    </row>
    <row r="972" ht="15.75" customHeight="1">
      <c r="B972" s="158"/>
      <c r="E972" s="13"/>
      <c r="I972" s="13"/>
      <c r="P972" s="13"/>
      <c r="T972" s="13"/>
      <c r="X972" s="13"/>
      <c r="Y972" s="13"/>
      <c r="Z972" s="13"/>
      <c r="AA972" s="13"/>
      <c r="AS972" s="14"/>
      <c r="AT972" s="14"/>
      <c r="AU972" s="14"/>
    </row>
    <row r="973" ht="15.75" customHeight="1">
      <c r="B973" s="158"/>
      <c r="E973" s="13"/>
      <c r="I973" s="13"/>
      <c r="P973" s="13"/>
      <c r="T973" s="13"/>
      <c r="X973" s="13"/>
      <c r="Y973" s="13"/>
      <c r="Z973" s="13"/>
      <c r="AA973" s="13"/>
      <c r="AS973" s="14"/>
      <c r="AT973" s="14"/>
      <c r="AU973" s="14"/>
    </row>
    <row r="974" ht="15.75" customHeight="1">
      <c r="B974" s="158"/>
      <c r="E974" s="13"/>
      <c r="I974" s="13"/>
      <c r="P974" s="13"/>
      <c r="T974" s="13"/>
      <c r="X974" s="13"/>
      <c r="Y974" s="13"/>
      <c r="Z974" s="13"/>
      <c r="AA974" s="13"/>
      <c r="AS974" s="14"/>
      <c r="AT974" s="14"/>
      <c r="AU974" s="14"/>
    </row>
    <row r="975" ht="15.75" customHeight="1">
      <c r="B975" s="158"/>
      <c r="E975" s="13"/>
      <c r="I975" s="13"/>
      <c r="P975" s="13"/>
      <c r="T975" s="13"/>
      <c r="X975" s="13"/>
      <c r="Y975" s="13"/>
      <c r="Z975" s="13"/>
      <c r="AA975" s="13"/>
      <c r="AS975" s="14"/>
      <c r="AT975" s="14"/>
      <c r="AU975" s="14"/>
    </row>
    <row r="976" ht="15.75" customHeight="1">
      <c r="B976" s="158"/>
      <c r="E976" s="13"/>
      <c r="I976" s="13"/>
      <c r="P976" s="13"/>
      <c r="T976" s="13"/>
      <c r="X976" s="13"/>
      <c r="Y976" s="13"/>
      <c r="Z976" s="13"/>
      <c r="AA976" s="13"/>
      <c r="AS976" s="14"/>
      <c r="AT976" s="14"/>
      <c r="AU976" s="14"/>
    </row>
    <row r="977" ht="15.75" customHeight="1">
      <c r="B977" s="158"/>
      <c r="E977" s="13"/>
      <c r="I977" s="13"/>
      <c r="P977" s="13"/>
      <c r="T977" s="13"/>
      <c r="X977" s="13"/>
      <c r="Y977" s="13"/>
      <c r="Z977" s="13"/>
      <c r="AA977" s="13"/>
      <c r="AS977" s="14"/>
      <c r="AT977" s="14"/>
      <c r="AU977" s="14"/>
    </row>
    <row r="978" ht="15.75" customHeight="1">
      <c r="B978" s="158"/>
      <c r="E978" s="13"/>
      <c r="I978" s="13"/>
      <c r="P978" s="13"/>
      <c r="T978" s="13"/>
      <c r="X978" s="13"/>
      <c r="Y978" s="13"/>
      <c r="Z978" s="13"/>
      <c r="AA978" s="13"/>
      <c r="AS978" s="14"/>
      <c r="AT978" s="14"/>
      <c r="AU978" s="14"/>
    </row>
    <row r="979" ht="15.75" customHeight="1">
      <c r="B979" s="158"/>
      <c r="E979" s="13"/>
      <c r="I979" s="13"/>
      <c r="P979" s="13"/>
      <c r="T979" s="13"/>
      <c r="X979" s="13"/>
      <c r="Y979" s="13"/>
      <c r="Z979" s="13"/>
      <c r="AA979" s="13"/>
      <c r="AS979" s="14"/>
      <c r="AT979" s="14"/>
      <c r="AU979" s="14"/>
    </row>
    <row r="980" ht="15.75" customHeight="1">
      <c r="B980" s="158"/>
      <c r="E980" s="13"/>
      <c r="I980" s="13"/>
      <c r="P980" s="13"/>
      <c r="T980" s="13"/>
      <c r="X980" s="13"/>
      <c r="Y980" s="13"/>
      <c r="Z980" s="13"/>
      <c r="AA980" s="13"/>
      <c r="AS980" s="14"/>
      <c r="AT980" s="14"/>
      <c r="AU980" s="14"/>
    </row>
    <row r="981" ht="15.75" customHeight="1">
      <c r="B981" s="158"/>
      <c r="E981" s="13"/>
      <c r="I981" s="13"/>
      <c r="P981" s="13"/>
      <c r="T981" s="13"/>
      <c r="X981" s="13"/>
      <c r="Y981" s="13"/>
      <c r="Z981" s="13"/>
      <c r="AA981" s="13"/>
      <c r="AS981" s="14"/>
      <c r="AT981" s="14"/>
      <c r="AU981" s="14"/>
    </row>
    <row r="982" ht="15.75" customHeight="1">
      <c r="B982" s="158"/>
      <c r="E982" s="13"/>
      <c r="I982" s="13"/>
      <c r="P982" s="13"/>
      <c r="T982" s="13"/>
      <c r="X982" s="13"/>
      <c r="Y982" s="13"/>
      <c r="Z982" s="13"/>
      <c r="AA982" s="13"/>
      <c r="AS982" s="14"/>
      <c r="AT982" s="14"/>
      <c r="AU982" s="14"/>
    </row>
    <row r="983" ht="15.75" customHeight="1">
      <c r="B983" s="158"/>
      <c r="E983" s="13"/>
      <c r="I983" s="13"/>
      <c r="P983" s="13"/>
      <c r="T983" s="13"/>
      <c r="X983" s="13"/>
      <c r="Y983" s="13"/>
      <c r="Z983" s="13"/>
      <c r="AA983" s="13"/>
      <c r="AS983" s="14"/>
      <c r="AT983" s="14"/>
      <c r="AU983" s="14"/>
    </row>
    <row r="984" ht="15.75" customHeight="1">
      <c r="B984" s="158"/>
      <c r="E984" s="13"/>
      <c r="I984" s="13"/>
      <c r="P984" s="13"/>
      <c r="T984" s="13"/>
      <c r="X984" s="13"/>
      <c r="Y984" s="13"/>
      <c r="Z984" s="13"/>
      <c r="AA984" s="13"/>
      <c r="AS984" s="14"/>
      <c r="AT984" s="14"/>
      <c r="AU984" s="14"/>
    </row>
    <row r="985" ht="15.75" customHeight="1">
      <c r="B985" s="158"/>
      <c r="E985" s="13"/>
      <c r="I985" s="13"/>
      <c r="P985" s="13"/>
      <c r="T985" s="13"/>
      <c r="X985" s="13"/>
      <c r="Y985" s="13"/>
      <c r="Z985" s="13"/>
      <c r="AA985" s="13"/>
      <c r="AS985" s="14"/>
      <c r="AT985" s="14"/>
      <c r="AU985" s="14"/>
    </row>
    <row r="986" ht="15.75" customHeight="1">
      <c r="B986" s="158"/>
      <c r="E986" s="13"/>
      <c r="I986" s="13"/>
      <c r="P986" s="13"/>
      <c r="T986" s="13"/>
      <c r="X986" s="13"/>
      <c r="Y986" s="13"/>
      <c r="Z986" s="13"/>
      <c r="AA986" s="13"/>
      <c r="AS986" s="14"/>
      <c r="AT986" s="14"/>
      <c r="AU986" s="14"/>
    </row>
    <row r="987" ht="15.75" customHeight="1">
      <c r="B987" s="158"/>
      <c r="E987" s="13"/>
      <c r="I987" s="13"/>
      <c r="P987" s="13"/>
      <c r="T987" s="13"/>
      <c r="X987" s="13"/>
      <c r="Y987" s="13"/>
      <c r="Z987" s="13"/>
      <c r="AA987" s="13"/>
      <c r="AS987" s="14"/>
      <c r="AT987" s="14"/>
      <c r="AU987" s="14"/>
    </row>
    <row r="988" ht="15.75" customHeight="1">
      <c r="B988" s="158"/>
      <c r="E988" s="13"/>
      <c r="I988" s="13"/>
      <c r="P988" s="13"/>
      <c r="T988" s="13"/>
      <c r="X988" s="13"/>
      <c r="Y988" s="13"/>
      <c r="Z988" s="13"/>
      <c r="AA988" s="13"/>
      <c r="AS988" s="14"/>
      <c r="AT988" s="14"/>
      <c r="AU988" s="14"/>
    </row>
    <row r="989" ht="15.75" customHeight="1">
      <c r="B989" s="158"/>
      <c r="E989" s="13"/>
      <c r="I989" s="13"/>
      <c r="P989" s="13"/>
      <c r="T989" s="13"/>
      <c r="X989" s="13"/>
      <c r="Y989" s="13"/>
      <c r="Z989" s="13"/>
      <c r="AA989" s="13"/>
      <c r="AS989" s="14"/>
      <c r="AT989" s="14"/>
      <c r="AU989" s="14"/>
    </row>
    <row r="990" ht="15.75" customHeight="1">
      <c r="B990" s="158"/>
      <c r="E990" s="13"/>
      <c r="I990" s="13"/>
      <c r="P990" s="13"/>
      <c r="T990" s="13"/>
      <c r="X990" s="13"/>
      <c r="Y990" s="13"/>
      <c r="Z990" s="13"/>
      <c r="AA990" s="13"/>
      <c r="AS990" s="14"/>
      <c r="AT990" s="14"/>
      <c r="AU990" s="14"/>
    </row>
    <row r="991" ht="15.75" customHeight="1">
      <c r="B991" s="158"/>
      <c r="E991" s="13"/>
      <c r="I991" s="13"/>
      <c r="P991" s="13"/>
      <c r="T991" s="13"/>
      <c r="X991" s="13"/>
      <c r="Y991" s="13"/>
      <c r="Z991" s="13"/>
      <c r="AA991" s="13"/>
      <c r="AS991" s="14"/>
      <c r="AT991" s="14"/>
      <c r="AU991" s="14"/>
    </row>
    <row r="992" ht="15.75" customHeight="1">
      <c r="B992" s="158"/>
      <c r="E992" s="13"/>
      <c r="I992" s="13"/>
      <c r="P992" s="13"/>
      <c r="T992" s="13"/>
      <c r="X992" s="13"/>
      <c r="Y992" s="13"/>
      <c r="Z992" s="13"/>
      <c r="AA992" s="13"/>
      <c r="AS992" s="14"/>
      <c r="AT992" s="14"/>
      <c r="AU992" s="14"/>
    </row>
    <row r="993" ht="15.75" customHeight="1">
      <c r="B993" s="158"/>
      <c r="E993" s="13"/>
      <c r="I993" s="13"/>
      <c r="P993" s="13"/>
      <c r="T993" s="13"/>
      <c r="X993" s="13"/>
      <c r="Y993" s="13"/>
      <c r="Z993" s="13"/>
      <c r="AA993" s="13"/>
      <c r="AS993" s="14"/>
      <c r="AT993" s="14"/>
      <c r="AU993" s="14"/>
    </row>
    <row r="994" ht="15.75" customHeight="1">
      <c r="B994" s="158"/>
      <c r="E994" s="13"/>
      <c r="I994" s="13"/>
      <c r="P994" s="13"/>
      <c r="T994" s="13"/>
      <c r="X994" s="13"/>
      <c r="Y994" s="13"/>
      <c r="Z994" s="13"/>
      <c r="AA994" s="13"/>
      <c r="AS994" s="14"/>
      <c r="AT994" s="14"/>
      <c r="AU994" s="14"/>
    </row>
    <row r="995" ht="15.75" customHeight="1">
      <c r="B995" s="158"/>
      <c r="E995" s="13"/>
      <c r="I995" s="13"/>
      <c r="P995" s="13"/>
      <c r="T995" s="13"/>
      <c r="X995" s="13"/>
      <c r="Y995" s="13"/>
      <c r="Z995" s="13"/>
      <c r="AA995" s="13"/>
      <c r="AS995" s="14"/>
      <c r="AT995" s="14"/>
      <c r="AU995" s="14"/>
    </row>
    <row r="996" ht="15.75" customHeight="1">
      <c r="B996" s="158"/>
      <c r="E996" s="13"/>
      <c r="I996" s="13"/>
      <c r="P996" s="13"/>
      <c r="T996" s="13"/>
      <c r="X996" s="13"/>
      <c r="Y996" s="13"/>
      <c r="Z996" s="13"/>
      <c r="AA996" s="13"/>
      <c r="AS996" s="14"/>
      <c r="AT996" s="14"/>
      <c r="AU996" s="14"/>
    </row>
    <row r="997" ht="15.75" customHeight="1">
      <c r="B997" s="158"/>
      <c r="E997" s="13"/>
      <c r="I997" s="13"/>
      <c r="P997" s="13"/>
      <c r="T997" s="13"/>
      <c r="X997" s="13"/>
      <c r="Y997" s="13"/>
      <c r="Z997" s="13"/>
      <c r="AA997" s="13"/>
      <c r="AS997" s="14"/>
      <c r="AT997" s="14"/>
      <c r="AU997" s="14"/>
    </row>
    <row r="998" ht="15.75" customHeight="1">
      <c r="B998" s="158"/>
      <c r="E998" s="13"/>
      <c r="I998" s="13"/>
      <c r="P998" s="13"/>
      <c r="T998" s="13"/>
      <c r="X998" s="13"/>
      <c r="Y998" s="13"/>
      <c r="Z998" s="13"/>
      <c r="AA998" s="13"/>
      <c r="AS998" s="14"/>
      <c r="AT998" s="14"/>
      <c r="AU998" s="14"/>
    </row>
    <row r="999" ht="15.75" customHeight="1">
      <c r="B999" s="158"/>
      <c r="E999" s="13"/>
      <c r="I999" s="13"/>
      <c r="P999" s="13"/>
      <c r="T999" s="13"/>
      <c r="X999" s="13"/>
      <c r="Y999" s="13"/>
      <c r="Z999" s="13"/>
      <c r="AA999" s="13"/>
      <c r="AS999" s="14"/>
      <c r="AT999" s="14"/>
      <c r="AU999" s="14"/>
    </row>
    <row r="1000" ht="15.75" customHeight="1">
      <c r="B1000" s="158"/>
      <c r="E1000" s="13"/>
      <c r="I1000" s="13"/>
      <c r="P1000" s="13"/>
      <c r="T1000" s="13"/>
      <c r="X1000" s="13"/>
      <c r="Y1000" s="13"/>
      <c r="Z1000" s="13"/>
      <c r="AA1000" s="13"/>
      <c r="AS1000" s="14"/>
      <c r="AT1000" s="14"/>
      <c r="AU1000" s="14"/>
    </row>
    <row r="1001" ht="15.75" customHeight="1">
      <c r="B1001" s="158"/>
      <c r="E1001" s="13"/>
      <c r="I1001" s="13"/>
      <c r="P1001" s="13"/>
      <c r="T1001" s="13"/>
      <c r="X1001" s="13"/>
      <c r="Y1001" s="13"/>
      <c r="Z1001" s="13"/>
      <c r="AA1001" s="13"/>
      <c r="AS1001" s="14"/>
      <c r="AT1001" s="14"/>
      <c r="AU1001" s="14"/>
    </row>
    <row r="1002" ht="15.75" customHeight="1">
      <c r="B1002" s="158"/>
      <c r="E1002" s="13"/>
      <c r="I1002" s="13"/>
      <c r="P1002" s="13"/>
      <c r="T1002" s="13"/>
      <c r="X1002" s="13"/>
      <c r="Y1002" s="13"/>
      <c r="Z1002" s="13"/>
      <c r="AA1002" s="13"/>
      <c r="AS1002" s="14"/>
      <c r="AT1002" s="14"/>
      <c r="AU1002" s="14"/>
    </row>
    <row r="1003" ht="15.75" customHeight="1">
      <c r="B1003" s="158"/>
      <c r="E1003" s="13"/>
      <c r="I1003" s="13"/>
      <c r="P1003" s="13"/>
      <c r="T1003" s="13"/>
      <c r="X1003" s="13"/>
      <c r="Y1003" s="13"/>
      <c r="Z1003" s="13"/>
      <c r="AA1003" s="13"/>
      <c r="AS1003" s="14"/>
      <c r="AT1003" s="14"/>
      <c r="AU1003" s="14"/>
    </row>
    <row r="1004" ht="15.75" customHeight="1">
      <c r="B1004" s="158"/>
      <c r="E1004" s="13"/>
      <c r="I1004" s="13"/>
      <c r="P1004" s="13"/>
      <c r="T1004" s="13"/>
      <c r="X1004" s="13"/>
      <c r="Y1004" s="13"/>
      <c r="Z1004" s="13"/>
      <c r="AA1004" s="13"/>
      <c r="AS1004" s="14"/>
      <c r="AT1004" s="14"/>
      <c r="AU1004" s="14"/>
    </row>
    <row r="1005" ht="15.75" customHeight="1">
      <c r="B1005" s="158"/>
      <c r="E1005" s="13"/>
      <c r="I1005" s="13"/>
      <c r="P1005" s="13"/>
      <c r="T1005" s="13"/>
      <c r="X1005" s="13"/>
      <c r="Y1005" s="13"/>
      <c r="Z1005" s="13"/>
      <c r="AA1005" s="13"/>
      <c r="AS1005" s="14"/>
      <c r="AT1005" s="14"/>
      <c r="AU1005" s="14"/>
    </row>
    <row r="1006" ht="15.75" customHeight="1">
      <c r="B1006" s="158"/>
      <c r="E1006" s="13"/>
      <c r="I1006" s="13"/>
      <c r="P1006" s="13"/>
      <c r="T1006" s="13"/>
      <c r="X1006" s="13"/>
      <c r="Y1006" s="13"/>
      <c r="Z1006" s="13"/>
      <c r="AA1006" s="13"/>
      <c r="AS1006" s="14"/>
      <c r="AT1006" s="14"/>
      <c r="AU1006" s="14"/>
    </row>
    <row r="1007" ht="15.75" customHeight="1">
      <c r="B1007" s="158"/>
      <c r="E1007" s="13"/>
      <c r="I1007" s="13"/>
      <c r="P1007" s="13"/>
      <c r="T1007" s="13"/>
      <c r="X1007" s="13"/>
      <c r="Y1007" s="13"/>
      <c r="Z1007" s="13"/>
      <c r="AA1007" s="13"/>
      <c r="AS1007" s="14"/>
      <c r="AT1007" s="14"/>
      <c r="AU1007" s="14"/>
    </row>
    <row r="1008" ht="15.75" customHeight="1">
      <c r="B1008" s="158"/>
      <c r="E1008" s="13"/>
      <c r="I1008" s="13"/>
      <c r="P1008" s="13"/>
      <c r="T1008" s="13"/>
      <c r="X1008" s="13"/>
      <c r="Y1008" s="13"/>
      <c r="Z1008" s="13"/>
      <c r="AA1008" s="13"/>
      <c r="AS1008" s="14"/>
      <c r="AT1008" s="14"/>
      <c r="AU1008" s="14"/>
    </row>
    <row r="1009" ht="15.75" customHeight="1">
      <c r="B1009" s="158"/>
      <c r="E1009" s="13"/>
      <c r="I1009" s="13"/>
      <c r="P1009" s="13"/>
      <c r="T1009" s="13"/>
      <c r="X1009" s="13"/>
      <c r="Y1009" s="13"/>
      <c r="Z1009" s="13"/>
      <c r="AA1009" s="13"/>
      <c r="AS1009" s="14"/>
      <c r="AT1009" s="14"/>
      <c r="AU1009" s="14"/>
    </row>
    <row r="1010" ht="15.75" customHeight="1">
      <c r="B1010" s="158"/>
      <c r="E1010" s="13"/>
      <c r="I1010" s="13"/>
      <c r="P1010" s="13"/>
      <c r="T1010" s="13"/>
      <c r="X1010" s="13"/>
      <c r="Y1010" s="13"/>
      <c r="Z1010" s="13"/>
      <c r="AA1010" s="13"/>
      <c r="AS1010" s="14"/>
      <c r="AT1010" s="14"/>
      <c r="AU1010" s="14"/>
    </row>
    <row r="1011" ht="15.75" customHeight="1">
      <c r="B1011" s="158"/>
      <c r="E1011" s="13"/>
      <c r="I1011" s="13"/>
      <c r="P1011" s="13"/>
      <c r="T1011" s="13"/>
      <c r="X1011" s="13"/>
      <c r="Y1011" s="13"/>
      <c r="Z1011" s="13"/>
      <c r="AA1011" s="13"/>
      <c r="AS1011" s="14"/>
      <c r="AT1011" s="14"/>
      <c r="AU1011" s="14"/>
    </row>
    <row r="1012" ht="15.75" customHeight="1">
      <c r="B1012" s="158"/>
      <c r="E1012" s="13"/>
      <c r="I1012" s="13"/>
      <c r="P1012" s="13"/>
      <c r="T1012" s="13"/>
      <c r="X1012" s="13"/>
      <c r="Y1012" s="13"/>
      <c r="Z1012" s="13"/>
      <c r="AA1012" s="13"/>
      <c r="AS1012" s="14"/>
      <c r="AT1012" s="14"/>
      <c r="AU1012" s="14"/>
    </row>
    <row r="1013" ht="15.75" customHeight="1">
      <c r="B1013" s="158"/>
      <c r="E1013" s="13"/>
      <c r="I1013" s="13"/>
      <c r="P1013" s="13"/>
      <c r="T1013" s="13"/>
      <c r="X1013" s="13"/>
      <c r="Y1013" s="13"/>
      <c r="Z1013" s="13"/>
      <c r="AA1013" s="13"/>
      <c r="AS1013" s="14"/>
      <c r="AT1013" s="14"/>
      <c r="AU1013" s="14"/>
    </row>
    <row r="1014" ht="15.75" customHeight="1">
      <c r="B1014" s="158"/>
      <c r="E1014" s="13"/>
      <c r="I1014" s="13"/>
      <c r="P1014" s="13"/>
      <c r="T1014" s="13"/>
      <c r="X1014" s="13"/>
      <c r="Y1014" s="13"/>
      <c r="Z1014" s="13"/>
      <c r="AA1014" s="13"/>
      <c r="AS1014" s="14"/>
      <c r="AT1014" s="14"/>
      <c r="AU1014" s="14"/>
    </row>
    <row r="1015" ht="15.75" customHeight="1">
      <c r="B1015" s="158"/>
      <c r="E1015" s="13"/>
      <c r="I1015" s="13"/>
      <c r="P1015" s="13"/>
      <c r="T1015" s="13"/>
      <c r="X1015" s="13"/>
      <c r="Y1015" s="13"/>
      <c r="Z1015" s="13"/>
      <c r="AA1015" s="13"/>
      <c r="AS1015" s="14"/>
      <c r="AT1015" s="14"/>
      <c r="AU1015" s="14"/>
    </row>
    <row r="1016" ht="15.75" customHeight="1">
      <c r="B1016" s="158"/>
      <c r="E1016" s="13"/>
      <c r="I1016" s="13"/>
      <c r="P1016" s="13"/>
      <c r="T1016" s="13"/>
      <c r="X1016" s="13"/>
      <c r="Y1016" s="13"/>
      <c r="Z1016" s="13"/>
      <c r="AA1016" s="13"/>
      <c r="AS1016" s="14"/>
      <c r="AT1016" s="14"/>
      <c r="AU1016" s="14"/>
    </row>
    <row r="1017" ht="15.75" customHeight="1">
      <c r="B1017" s="158"/>
      <c r="E1017" s="13"/>
      <c r="I1017" s="13"/>
      <c r="P1017" s="13"/>
      <c r="T1017" s="13"/>
      <c r="X1017" s="13"/>
      <c r="Y1017" s="13"/>
      <c r="Z1017" s="13"/>
      <c r="AA1017" s="13"/>
      <c r="AS1017" s="14"/>
      <c r="AT1017" s="14"/>
      <c r="AU1017" s="14"/>
    </row>
    <row r="1018" ht="15.75" customHeight="1">
      <c r="B1018" s="158"/>
      <c r="E1018" s="13"/>
      <c r="I1018" s="13"/>
      <c r="P1018" s="13"/>
      <c r="T1018" s="13"/>
      <c r="X1018" s="13"/>
      <c r="Y1018" s="13"/>
      <c r="Z1018" s="13"/>
      <c r="AA1018" s="13"/>
      <c r="AS1018" s="14"/>
      <c r="AT1018" s="14"/>
      <c r="AU1018" s="14"/>
    </row>
    <row r="1019" ht="15.75" customHeight="1">
      <c r="B1019" s="158"/>
      <c r="E1019" s="13"/>
      <c r="I1019" s="13"/>
      <c r="P1019" s="13"/>
      <c r="T1019" s="13"/>
      <c r="X1019" s="13"/>
      <c r="Y1019" s="13"/>
      <c r="Z1019" s="13"/>
      <c r="AA1019" s="13"/>
      <c r="AS1019" s="14"/>
      <c r="AT1019" s="14"/>
      <c r="AU1019" s="14"/>
    </row>
    <row r="1020" ht="15.75" customHeight="1">
      <c r="B1020" s="158"/>
      <c r="E1020" s="13"/>
      <c r="I1020" s="13"/>
      <c r="P1020" s="13"/>
      <c r="T1020" s="13"/>
      <c r="X1020" s="13"/>
      <c r="Y1020" s="13"/>
      <c r="Z1020" s="13"/>
      <c r="AA1020" s="13"/>
      <c r="AS1020" s="14"/>
      <c r="AT1020" s="14"/>
      <c r="AU1020" s="14"/>
    </row>
    <row r="1021" ht="15.75" customHeight="1">
      <c r="B1021" s="158"/>
      <c r="E1021" s="13"/>
      <c r="I1021" s="13"/>
      <c r="P1021" s="13"/>
      <c r="T1021" s="13"/>
      <c r="X1021" s="13"/>
      <c r="Y1021" s="13"/>
      <c r="Z1021" s="13"/>
      <c r="AA1021" s="13"/>
      <c r="AS1021" s="14"/>
      <c r="AT1021" s="14"/>
      <c r="AU1021" s="14"/>
    </row>
    <row r="1022" ht="15.75" customHeight="1">
      <c r="B1022" s="158"/>
      <c r="E1022" s="13"/>
      <c r="I1022" s="13"/>
      <c r="P1022" s="13"/>
      <c r="T1022" s="13"/>
      <c r="X1022" s="13"/>
      <c r="Y1022" s="13"/>
      <c r="Z1022" s="13"/>
      <c r="AA1022" s="13"/>
      <c r="AS1022" s="14"/>
      <c r="AT1022" s="14"/>
      <c r="AU1022" s="14"/>
    </row>
    <row r="1023" ht="15.75" customHeight="1">
      <c r="B1023" s="158"/>
      <c r="E1023" s="13"/>
      <c r="I1023" s="13"/>
      <c r="P1023" s="13"/>
      <c r="T1023" s="13"/>
      <c r="X1023" s="13"/>
      <c r="Y1023" s="13"/>
      <c r="Z1023" s="13"/>
      <c r="AA1023" s="13"/>
      <c r="AS1023" s="14"/>
      <c r="AT1023" s="14"/>
      <c r="AU1023" s="14"/>
    </row>
    <row r="1024" ht="15.75" customHeight="1">
      <c r="B1024" s="158"/>
      <c r="E1024" s="13"/>
      <c r="I1024" s="13"/>
      <c r="P1024" s="13"/>
      <c r="T1024" s="13"/>
      <c r="X1024" s="13"/>
      <c r="Y1024" s="13"/>
      <c r="Z1024" s="13"/>
      <c r="AA1024" s="13"/>
      <c r="AS1024" s="14"/>
      <c r="AT1024" s="14"/>
      <c r="AU1024" s="14"/>
    </row>
    <row r="1025" ht="15.75" customHeight="1">
      <c r="B1025" s="158"/>
      <c r="E1025" s="13"/>
      <c r="I1025" s="13"/>
      <c r="P1025" s="13"/>
      <c r="T1025" s="13"/>
      <c r="X1025" s="13"/>
      <c r="Y1025" s="13"/>
      <c r="Z1025" s="13"/>
      <c r="AA1025" s="13"/>
      <c r="AS1025" s="14"/>
      <c r="AT1025" s="14"/>
      <c r="AU1025" s="14"/>
    </row>
    <row r="1026" ht="15.75" customHeight="1">
      <c r="B1026" s="158"/>
      <c r="E1026" s="13"/>
      <c r="I1026" s="13"/>
      <c r="P1026" s="13"/>
      <c r="T1026" s="13"/>
      <c r="X1026" s="13"/>
      <c r="Y1026" s="13"/>
      <c r="Z1026" s="13"/>
      <c r="AA1026" s="13"/>
      <c r="AS1026" s="14"/>
      <c r="AT1026" s="14"/>
      <c r="AU1026" s="14"/>
    </row>
    <row r="1027" ht="15.75" customHeight="1">
      <c r="B1027" s="158"/>
      <c r="E1027" s="13"/>
      <c r="I1027" s="13"/>
      <c r="P1027" s="13"/>
      <c r="T1027" s="13"/>
      <c r="X1027" s="13"/>
      <c r="Y1027" s="13"/>
      <c r="Z1027" s="13"/>
      <c r="AA1027" s="13"/>
      <c r="AS1027" s="14"/>
      <c r="AT1027" s="14"/>
      <c r="AU1027" s="14"/>
    </row>
    <row r="1028" ht="15.75" customHeight="1">
      <c r="B1028" s="158"/>
      <c r="E1028" s="13"/>
      <c r="I1028" s="13"/>
      <c r="P1028" s="13"/>
      <c r="T1028" s="13"/>
      <c r="X1028" s="13"/>
      <c r="Y1028" s="13"/>
      <c r="Z1028" s="13"/>
      <c r="AA1028" s="13"/>
      <c r="AS1028" s="14"/>
      <c r="AT1028" s="14"/>
      <c r="AU1028" s="14"/>
    </row>
    <row r="1029" ht="15.75" customHeight="1">
      <c r="B1029" s="158"/>
      <c r="E1029" s="13"/>
      <c r="I1029" s="13"/>
      <c r="P1029" s="13"/>
      <c r="T1029" s="13"/>
      <c r="X1029" s="13"/>
      <c r="Y1029" s="13"/>
      <c r="Z1029" s="13"/>
      <c r="AA1029" s="13"/>
      <c r="AS1029" s="14"/>
      <c r="AT1029" s="14"/>
      <c r="AU1029" s="14"/>
    </row>
    <row r="1030" ht="15.75" customHeight="1">
      <c r="B1030" s="158"/>
      <c r="E1030" s="13"/>
      <c r="I1030" s="13"/>
      <c r="P1030" s="13"/>
      <c r="T1030" s="13"/>
      <c r="X1030" s="13"/>
      <c r="Y1030" s="13"/>
      <c r="Z1030" s="13"/>
      <c r="AA1030" s="13"/>
      <c r="AS1030" s="14"/>
      <c r="AT1030" s="14"/>
      <c r="AU1030" s="14"/>
    </row>
    <row r="1031" ht="15.75" customHeight="1">
      <c r="B1031" s="158"/>
      <c r="E1031" s="13"/>
      <c r="I1031" s="13"/>
      <c r="P1031" s="13"/>
      <c r="T1031" s="13"/>
      <c r="X1031" s="13"/>
      <c r="Y1031" s="13"/>
      <c r="Z1031" s="13"/>
      <c r="AA1031" s="13"/>
      <c r="AS1031" s="14"/>
      <c r="AT1031" s="14"/>
      <c r="AU1031" s="14"/>
    </row>
    <row r="1032" ht="15.75" customHeight="1">
      <c r="B1032" s="158"/>
      <c r="E1032" s="13"/>
      <c r="I1032" s="13"/>
      <c r="P1032" s="13"/>
      <c r="T1032" s="13"/>
      <c r="X1032" s="13"/>
      <c r="Y1032" s="13"/>
      <c r="Z1032" s="13"/>
      <c r="AA1032" s="13"/>
      <c r="AS1032" s="14"/>
      <c r="AT1032" s="14"/>
      <c r="AU1032" s="14"/>
    </row>
    <row r="1033" ht="15.75" customHeight="1">
      <c r="B1033" s="158"/>
      <c r="E1033" s="13"/>
      <c r="I1033" s="13"/>
      <c r="P1033" s="13"/>
      <c r="T1033" s="13"/>
      <c r="X1033" s="13"/>
      <c r="Y1033" s="13"/>
      <c r="Z1033" s="13"/>
      <c r="AA1033" s="13"/>
      <c r="AS1033" s="14"/>
      <c r="AT1033" s="14"/>
      <c r="AU1033" s="14"/>
    </row>
    <row r="1034" ht="15.75" customHeight="1">
      <c r="B1034" s="158"/>
      <c r="E1034" s="13"/>
      <c r="I1034" s="13"/>
      <c r="P1034" s="13"/>
      <c r="T1034" s="13"/>
      <c r="X1034" s="13"/>
      <c r="Y1034" s="13"/>
      <c r="Z1034" s="13"/>
      <c r="AA1034" s="13"/>
      <c r="AS1034" s="14"/>
      <c r="AT1034" s="14"/>
      <c r="AU1034" s="14"/>
    </row>
    <row r="1035" ht="15.75" customHeight="1">
      <c r="B1035" s="158"/>
      <c r="E1035" s="13"/>
      <c r="I1035" s="13"/>
      <c r="P1035" s="13"/>
      <c r="T1035" s="13"/>
      <c r="X1035" s="13"/>
      <c r="Y1035" s="13"/>
      <c r="Z1035" s="13"/>
      <c r="AA1035" s="13"/>
      <c r="AS1035" s="14"/>
      <c r="AT1035" s="14"/>
      <c r="AU1035" s="14"/>
    </row>
    <row r="1036" ht="15.75" customHeight="1">
      <c r="B1036" s="158"/>
      <c r="E1036" s="13"/>
      <c r="I1036" s="13"/>
      <c r="P1036" s="13"/>
      <c r="T1036" s="13"/>
      <c r="X1036" s="13"/>
      <c r="Y1036" s="13"/>
      <c r="Z1036" s="13"/>
      <c r="AA1036" s="13"/>
      <c r="AS1036" s="14"/>
      <c r="AT1036" s="14"/>
      <c r="AU1036" s="14"/>
    </row>
    <row r="1037" ht="15.75" customHeight="1">
      <c r="B1037" s="158"/>
      <c r="E1037" s="13"/>
      <c r="I1037" s="13"/>
      <c r="P1037" s="13"/>
      <c r="T1037" s="13"/>
      <c r="X1037" s="13"/>
      <c r="Y1037" s="13"/>
      <c r="Z1037" s="13"/>
      <c r="AA1037" s="13"/>
      <c r="AS1037" s="14"/>
      <c r="AT1037" s="14"/>
      <c r="AU1037" s="14"/>
    </row>
    <row r="1038" ht="15.75" customHeight="1">
      <c r="B1038" s="158"/>
      <c r="E1038" s="13"/>
      <c r="I1038" s="13"/>
      <c r="P1038" s="13"/>
      <c r="T1038" s="13"/>
      <c r="X1038" s="13"/>
      <c r="Y1038" s="13"/>
      <c r="Z1038" s="13"/>
      <c r="AA1038" s="13"/>
      <c r="AS1038" s="14"/>
      <c r="AT1038" s="14"/>
      <c r="AU1038" s="14"/>
    </row>
    <row r="1039" ht="15.75" customHeight="1">
      <c r="B1039" s="158"/>
      <c r="E1039" s="13"/>
      <c r="I1039" s="13"/>
      <c r="P1039" s="13"/>
      <c r="T1039" s="13"/>
      <c r="X1039" s="13"/>
      <c r="Y1039" s="13"/>
      <c r="Z1039" s="13"/>
      <c r="AA1039" s="13"/>
      <c r="AS1039" s="14"/>
      <c r="AT1039" s="14"/>
      <c r="AU1039" s="14"/>
    </row>
    <row r="1040" ht="15.75" customHeight="1">
      <c r="B1040" s="158"/>
      <c r="E1040" s="13"/>
      <c r="I1040" s="13"/>
      <c r="P1040" s="13"/>
      <c r="T1040" s="13"/>
      <c r="X1040" s="13"/>
      <c r="Y1040" s="13"/>
      <c r="Z1040" s="13"/>
      <c r="AA1040" s="13"/>
      <c r="AS1040" s="14"/>
      <c r="AT1040" s="14"/>
      <c r="AU1040" s="14"/>
    </row>
    <row r="1041" ht="15.75" customHeight="1">
      <c r="B1041" s="158"/>
      <c r="E1041" s="13"/>
      <c r="I1041" s="13"/>
      <c r="P1041" s="13"/>
      <c r="T1041" s="13"/>
      <c r="X1041" s="13"/>
      <c r="Y1041" s="13"/>
      <c r="Z1041" s="13"/>
      <c r="AA1041" s="13"/>
      <c r="AS1041" s="14"/>
      <c r="AT1041" s="14"/>
      <c r="AU1041" s="14"/>
    </row>
    <row r="1042" ht="15.75" customHeight="1">
      <c r="B1042" s="158"/>
      <c r="E1042" s="13"/>
      <c r="I1042" s="13"/>
      <c r="P1042" s="13"/>
      <c r="T1042" s="13"/>
      <c r="X1042" s="13"/>
      <c r="Y1042" s="13"/>
      <c r="Z1042" s="13"/>
      <c r="AA1042" s="13"/>
      <c r="AS1042" s="14"/>
      <c r="AT1042" s="14"/>
      <c r="AU1042" s="14"/>
    </row>
    <row r="1043" ht="15.75" customHeight="1">
      <c r="B1043" s="158"/>
      <c r="E1043" s="13"/>
      <c r="I1043" s="13"/>
      <c r="P1043" s="13"/>
      <c r="T1043" s="13"/>
      <c r="X1043" s="13"/>
      <c r="Y1043" s="13"/>
      <c r="Z1043" s="13"/>
      <c r="AA1043" s="13"/>
      <c r="AS1043" s="14"/>
      <c r="AT1043" s="14"/>
      <c r="AU1043" s="14"/>
    </row>
    <row r="1044" ht="15.75" customHeight="1">
      <c r="B1044" s="158"/>
      <c r="E1044" s="13"/>
      <c r="I1044" s="13"/>
      <c r="P1044" s="13"/>
      <c r="T1044" s="13"/>
      <c r="X1044" s="13"/>
      <c r="Y1044" s="13"/>
      <c r="Z1044" s="13"/>
      <c r="AA1044" s="13"/>
      <c r="AS1044" s="14"/>
      <c r="AT1044" s="14"/>
      <c r="AU1044" s="14"/>
    </row>
    <row r="1045" ht="15.75" customHeight="1">
      <c r="B1045" s="158"/>
      <c r="E1045" s="13"/>
      <c r="I1045" s="13"/>
      <c r="P1045" s="13"/>
      <c r="T1045" s="13"/>
      <c r="X1045" s="13"/>
      <c r="Y1045" s="13"/>
      <c r="Z1045" s="13"/>
      <c r="AA1045" s="13"/>
      <c r="AS1045" s="14"/>
      <c r="AT1045" s="14"/>
      <c r="AU1045" s="14"/>
    </row>
    <row r="1046" ht="15.75" customHeight="1">
      <c r="B1046" s="158"/>
      <c r="E1046" s="13"/>
      <c r="I1046" s="13"/>
      <c r="P1046" s="13"/>
      <c r="T1046" s="13"/>
      <c r="X1046" s="13"/>
      <c r="Y1046" s="13"/>
      <c r="Z1046" s="13"/>
      <c r="AA1046" s="13"/>
      <c r="AS1046" s="14"/>
      <c r="AT1046" s="14"/>
      <c r="AU1046" s="14"/>
    </row>
    <row r="1047" ht="15.75" customHeight="1">
      <c r="B1047" s="158"/>
      <c r="E1047" s="13"/>
      <c r="I1047" s="13"/>
      <c r="P1047" s="13"/>
      <c r="T1047" s="13"/>
      <c r="X1047" s="13"/>
      <c r="Y1047" s="13"/>
      <c r="Z1047" s="13"/>
      <c r="AA1047" s="13"/>
      <c r="AS1047" s="14"/>
      <c r="AT1047" s="14"/>
      <c r="AU1047" s="14"/>
    </row>
    <row r="1048" ht="15.75" customHeight="1">
      <c r="B1048" s="158"/>
      <c r="E1048" s="13"/>
      <c r="I1048" s="13"/>
      <c r="P1048" s="13"/>
      <c r="T1048" s="13"/>
      <c r="X1048" s="13"/>
      <c r="Y1048" s="13"/>
      <c r="Z1048" s="13"/>
      <c r="AA1048" s="13"/>
      <c r="AS1048" s="14"/>
      <c r="AT1048" s="14"/>
      <c r="AU1048" s="14"/>
    </row>
    <row r="1049" ht="15.75" customHeight="1">
      <c r="B1049" s="158"/>
      <c r="E1049" s="13"/>
      <c r="I1049" s="13"/>
      <c r="P1049" s="13"/>
      <c r="T1049" s="13"/>
      <c r="X1049" s="13"/>
      <c r="Y1049" s="13"/>
      <c r="Z1049" s="13"/>
      <c r="AA1049" s="13"/>
      <c r="AS1049" s="14"/>
      <c r="AT1049" s="14"/>
      <c r="AU1049" s="14"/>
    </row>
    <row r="1050" ht="15.75" customHeight="1">
      <c r="B1050" s="158"/>
      <c r="E1050" s="13"/>
      <c r="I1050" s="13"/>
      <c r="P1050" s="13"/>
      <c r="T1050" s="13"/>
      <c r="X1050" s="13"/>
      <c r="Y1050" s="13"/>
      <c r="Z1050" s="13"/>
      <c r="AA1050" s="13"/>
      <c r="AS1050" s="14"/>
      <c r="AT1050" s="14"/>
      <c r="AU1050" s="14"/>
    </row>
    <row r="1051" ht="15.75" customHeight="1">
      <c r="B1051" s="158"/>
      <c r="E1051" s="13"/>
      <c r="I1051" s="13"/>
      <c r="P1051" s="13"/>
      <c r="T1051" s="13"/>
      <c r="X1051" s="13"/>
      <c r="Y1051" s="13"/>
      <c r="Z1051" s="13"/>
      <c r="AA1051" s="13"/>
      <c r="AS1051" s="14"/>
      <c r="AT1051" s="14"/>
      <c r="AU1051" s="14"/>
    </row>
    <row r="1052" ht="15.75" customHeight="1">
      <c r="B1052" s="158"/>
      <c r="E1052" s="13"/>
      <c r="I1052" s="13"/>
      <c r="P1052" s="13"/>
      <c r="T1052" s="13"/>
      <c r="X1052" s="13"/>
      <c r="Y1052" s="13"/>
      <c r="Z1052" s="13"/>
      <c r="AA1052" s="13"/>
      <c r="AS1052" s="14"/>
      <c r="AT1052" s="14"/>
      <c r="AU1052" s="14"/>
    </row>
    <row r="1053" ht="15.75" customHeight="1">
      <c r="B1053" s="158"/>
      <c r="E1053" s="13"/>
      <c r="I1053" s="13"/>
      <c r="P1053" s="13"/>
      <c r="T1053" s="13"/>
      <c r="X1053" s="13"/>
      <c r="Y1053" s="13"/>
      <c r="Z1053" s="13"/>
      <c r="AA1053" s="13"/>
      <c r="AS1053" s="14"/>
      <c r="AT1053" s="14"/>
      <c r="AU1053" s="14"/>
    </row>
    <row r="1054" ht="15.75" customHeight="1">
      <c r="B1054" s="158"/>
      <c r="E1054" s="13"/>
      <c r="I1054" s="13"/>
      <c r="P1054" s="13"/>
      <c r="T1054" s="13"/>
      <c r="X1054" s="13"/>
      <c r="Y1054" s="13"/>
      <c r="Z1054" s="13"/>
      <c r="AA1054" s="13"/>
      <c r="AS1054" s="14"/>
      <c r="AT1054" s="14"/>
      <c r="AU1054" s="14"/>
    </row>
    <row r="1055" ht="15.75" customHeight="1">
      <c r="B1055" s="158"/>
      <c r="E1055" s="13"/>
      <c r="I1055" s="13"/>
      <c r="P1055" s="13"/>
      <c r="T1055" s="13"/>
      <c r="X1055" s="13"/>
      <c r="Y1055" s="13"/>
      <c r="Z1055" s="13"/>
      <c r="AA1055" s="13"/>
      <c r="AS1055" s="14"/>
      <c r="AT1055" s="14"/>
      <c r="AU1055" s="14"/>
    </row>
    <row r="1056" ht="15.75" customHeight="1">
      <c r="B1056" s="158"/>
      <c r="E1056" s="13"/>
      <c r="I1056" s="13"/>
      <c r="P1056" s="13"/>
      <c r="T1056" s="13"/>
      <c r="X1056" s="13"/>
      <c r="Y1056" s="13"/>
      <c r="Z1056" s="13"/>
      <c r="AA1056" s="13"/>
      <c r="AS1056" s="14"/>
      <c r="AT1056" s="14"/>
      <c r="AU1056" s="14"/>
    </row>
    <row r="1057" ht="15.75" customHeight="1">
      <c r="B1057" s="158"/>
      <c r="E1057" s="13"/>
      <c r="I1057" s="13"/>
      <c r="P1057" s="13"/>
      <c r="T1057" s="13"/>
      <c r="X1057" s="13"/>
      <c r="Y1057" s="13"/>
      <c r="Z1057" s="13"/>
      <c r="AA1057" s="13"/>
      <c r="AS1057" s="14"/>
      <c r="AT1057" s="14"/>
      <c r="AU1057" s="14"/>
    </row>
    <row r="1058" ht="15.75" customHeight="1">
      <c r="B1058" s="158"/>
      <c r="E1058" s="13"/>
      <c r="I1058" s="13"/>
      <c r="P1058" s="13"/>
      <c r="T1058" s="13"/>
      <c r="X1058" s="13"/>
      <c r="Y1058" s="13"/>
      <c r="Z1058" s="13"/>
      <c r="AA1058" s="13"/>
      <c r="AS1058" s="14"/>
      <c r="AT1058" s="14"/>
      <c r="AU1058" s="14"/>
    </row>
    <row r="1059" ht="15.75" customHeight="1">
      <c r="B1059" s="158"/>
      <c r="E1059" s="13"/>
      <c r="I1059" s="13"/>
      <c r="P1059" s="13"/>
      <c r="T1059" s="13"/>
      <c r="X1059" s="13"/>
      <c r="Y1059" s="13"/>
      <c r="Z1059" s="13"/>
      <c r="AA1059" s="13"/>
      <c r="AS1059" s="14"/>
      <c r="AT1059" s="14"/>
      <c r="AU1059" s="14"/>
    </row>
    <row r="1060" ht="15.75" customHeight="1">
      <c r="B1060" s="158"/>
      <c r="E1060" s="13"/>
      <c r="I1060" s="13"/>
      <c r="P1060" s="13"/>
      <c r="T1060" s="13"/>
      <c r="X1060" s="13"/>
      <c r="Y1060" s="13"/>
      <c r="Z1060" s="13"/>
      <c r="AA1060" s="13"/>
      <c r="AS1060" s="14"/>
      <c r="AT1060" s="14"/>
      <c r="AU1060" s="14"/>
    </row>
    <row r="1061" ht="15.75" customHeight="1">
      <c r="B1061" s="158"/>
      <c r="E1061" s="13"/>
      <c r="I1061" s="13"/>
      <c r="P1061" s="13"/>
      <c r="T1061" s="13"/>
      <c r="X1061" s="13"/>
      <c r="Y1061" s="13"/>
      <c r="Z1061" s="13"/>
      <c r="AA1061" s="13"/>
      <c r="AS1061" s="14"/>
      <c r="AT1061" s="14"/>
      <c r="AU1061" s="14"/>
    </row>
    <row r="1062" ht="15.75" customHeight="1">
      <c r="B1062" s="158"/>
      <c r="E1062" s="13"/>
      <c r="I1062" s="13"/>
      <c r="P1062" s="13"/>
      <c r="T1062" s="13"/>
      <c r="X1062" s="13"/>
      <c r="Y1062" s="13"/>
      <c r="Z1062" s="13"/>
      <c r="AA1062" s="13"/>
      <c r="AS1062" s="14"/>
      <c r="AT1062" s="14"/>
      <c r="AU1062" s="14"/>
    </row>
    <row r="1063" ht="15.75" customHeight="1">
      <c r="B1063" s="158"/>
      <c r="E1063" s="13"/>
      <c r="I1063" s="13"/>
      <c r="P1063" s="13"/>
      <c r="T1063" s="13"/>
      <c r="X1063" s="13"/>
      <c r="Y1063" s="13"/>
      <c r="Z1063" s="13"/>
      <c r="AA1063" s="13"/>
      <c r="AS1063" s="14"/>
      <c r="AT1063" s="14"/>
      <c r="AU1063" s="14"/>
    </row>
    <row r="1064" ht="15.75" customHeight="1">
      <c r="B1064" s="158"/>
      <c r="E1064" s="13"/>
      <c r="I1064" s="13"/>
      <c r="P1064" s="13"/>
      <c r="T1064" s="13"/>
      <c r="X1064" s="13"/>
      <c r="Y1064" s="13"/>
      <c r="Z1064" s="13"/>
      <c r="AA1064" s="13"/>
      <c r="AS1064" s="14"/>
      <c r="AT1064" s="14"/>
      <c r="AU1064" s="14"/>
    </row>
    <row r="1065" ht="15.75" customHeight="1">
      <c r="B1065" s="158"/>
      <c r="E1065" s="13"/>
      <c r="I1065" s="13"/>
      <c r="P1065" s="13"/>
      <c r="T1065" s="13"/>
      <c r="X1065" s="13"/>
      <c r="Y1065" s="13"/>
      <c r="Z1065" s="13"/>
      <c r="AA1065" s="13"/>
      <c r="AS1065" s="14"/>
      <c r="AT1065" s="14"/>
      <c r="AU1065" s="14"/>
    </row>
    <row r="1066" ht="15.75" customHeight="1">
      <c r="B1066" s="158"/>
      <c r="E1066" s="13"/>
      <c r="I1066" s="13"/>
      <c r="P1066" s="13"/>
      <c r="T1066" s="13"/>
      <c r="X1066" s="13"/>
      <c r="Y1066" s="13"/>
      <c r="Z1066" s="13"/>
      <c r="AA1066" s="13"/>
      <c r="AS1066" s="14"/>
      <c r="AT1066" s="14"/>
      <c r="AU1066" s="14"/>
    </row>
    <row r="1067" ht="15.75" customHeight="1">
      <c r="B1067" s="158"/>
      <c r="E1067" s="13"/>
      <c r="I1067" s="13"/>
      <c r="P1067" s="13"/>
      <c r="T1067" s="13"/>
      <c r="X1067" s="13"/>
      <c r="Y1067" s="13"/>
      <c r="Z1067" s="13"/>
      <c r="AA1067" s="13"/>
      <c r="AS1067" s="14"/>
      <c r="AT1067" s="14"/>
      <c r="AU1067" s="14"/>
    </row>
    <row r="1068" ht="15.75" customHeight="1">
      <c r="B1068" s="158"/>
      <c r="E1068" s="13"/>
      <c r="I1068" s="13"/>
      <c r="P1068" s="13"/>
      <c r="T1068" s="13"/>
      <c r="X1068" s="13"/>
      <c r="Y1068" s="13"/>
      <c r="Z1068" s="13"/>
      <c r="AA1068" s="13"/>
      <c r="AS1068" s="14"/>
      <c r="AT1068" s="14"/>
      <c r="AU1068" s="14"/>
    </row>
    <row r="1069" ht="15.75" customHeight="1">
      <c r="B1069" s="158"/>
      <c r="E1069" s="13"/>
      <c r="I1069" s="13"/>
      <c r="P1069" s="13"/>
      <c r="T1069" s="13"/>
      <c r="X1069" s="13"/>
      <c r="Y1069" s="13"/>
      <c r="Z1069" s="13"/>
      <c r="AA1069" s="13"/>
      <c r="AS1069" s="14"/>
      <c r="AT1069" s="14"/>
      <c r="AU1069" s="14"/>
    </row>
    <row r="1070" ht="15.75" customHeight="1">
      <c r="B1070" s="158"/>
      <c r="E1070" s="13"/>
      <c r="I1070" s="13"/>
      <c r="P1070" s="13"/>
      <c r="T1070" s="13"/>
      <c r="X1070" s="13"/>
      <c r="Y1070" s="13"/>
      <c r="Z1070" s="13"/>
      <c r="AA1070" s="13"/>
      <c r="AS1070" s="14"/>
      <c r="AT1070" s="14"/>
      <c r="AU1070" s="14"/>
    </row>
    <row r="1071" ht="15.75" customHeight="1">
      <c r="B1071" s="158"/>
      <c r="E1071" s="13"/>
      <c r="I1071" s="13"/>
      <c r="P1071" s="13"/>
      <c r="T1071" s="13"/>
      <c r="X1071" s="13"/>
      <c r="Y1071" s="13"/>
      <c r="Z1071" s="13"/>
      <c r="AA1071" s="13"/>
      <c r="AS1071" s="14"/>
      <c r="AT1071" s="14"/>
      <c r="AU1071" s="14"/>
    </row>
    <row r="1072" ht="15.75" customHeight="1">
      <c r="B1072" s="158"/>
      <c r="E1072" s="13"/>
      <c r="I1072" s="13"/>
      <c r="P1072" s="13"/>
      <c r="T1072" s="13"/>
      <c r="X1072" s="13"/>
      <c r="Y1072" s="13"/>
      <c r="Z1072" s="13"/>
      <c r="AA1072" s="13"/>
      <c r="AS1072" s="14"/>
      <c r="AT1072" s="14"/>
      <c r="AU1072" s="14"/>
    </row>
    <row r="1073" ht="15.75" customHeight="1">
      <c r="B1073" s="158"/>
      <c r="E1073" s="13"/>
      <c r="I1073" s="13"/>
      <c r="P1073" s="13"/>
      <c r="T1073" s="13"/>
      <c r="X1073" s="13"/>
      <c r="Y1073" s="13"/>
      <c r="Z1073" s="13"/>
      <c r="AA1073" s="13"/>
      <c r="AS1073" s="14"/>
      <c r="AT1073" s="14"/>
      <c r="AU1073" s="14"/>
    </row>
    <row r="1074" ht="15.75" customHeight="1">
      <c r="B1074" s="158"/>
      <c r="E1074" s="13"/>
      <c r="I1074" s="13"/>
      <c r="P1074" s="13"/>
      <c r="T1074" s="13"/>
      <c r="X1074" s="13"/>
      <c r="Y1074" s="13"/>
      <c r="Z1074" s="13"/>
      <c r="AA1074" s="13"/>
      <c r="AS1074" s="14"/>
      <c r="AT1074" s="14"/>
      <c r="AU1074" s="14"/>
    </row>
    <row r="1075" ht="15.75" customHeight="1">
      <c r="B1075" s="158"/>
      <c r="E1075" s="13"/>
      <c r="I1075" s="13"/>
      <c r="P1075" s="13"/>
      <c r="T1075" s="13"/>
      <c r="X1075" s="13"/>
      <c r="Y1075" s="13"/>
      <c r="Z1075" s="13"/>
      <c r="AA1075" s="13"/>
      <c r="AS1075" s="14"/>
      <c r="AT1075" s="14"/>
      <c r="AU1075" s="14"/>
    </row>
    <row r="1076" ht="15.75" customHeight="1">
      <c r="B1076" s="158"/>
      <c r="E1076" s="13"/>
      <c r="I1076" s="13"/>
      <c r="P1076" s="13"/>
      <c r="T1076" s="13"/>
      <c r="X1076" s="13"/>
      <c r="Y1076" s="13"/>
      <c r="Z1076" s="13"/>
      <c r="AA1076" s="13"/>
      <c r="AS1076" s="14"/>
      <c r="AT1076" s="14"/>
      <c r="AU1076" s="14"/>
    </row>
    <row r="1077" ht="15.75" customHeight="1">
      <c r="B1077" s="158"/>
      <c r="E1077" s="13"/>
      <c r="I1077" s="13"/>
      <c r="P1077" s="13"/>
      <c r="T1077" s="13"/>
      <c r="X1077" s="13"/>
      <c r="Y1077" s="13"/>
      <c r="Z1077" s="13"/>
      <c r="AA1077" s="13"/>
      <c r="AS1077" s="14"/>
      <c r="AT1077" s="14"/>
      <c r="AU1077" s="14"/>
    </row>
    <row r="1078" ht="15.75" customHeight="1">
      <c r="B1078" s="158"/>
      <c r="E1078" s="13"/>
      <c r="I1078" s="13"/>
      <c r="P1078" s="13"/>
      <c r="T1078" s="13"/>
      <c r="X1078" s="13"/>
      <c r="Y1078" s="13"/>
      <c r="Z1078" s="13"/>
      <c r="AA1078" s="13"/>
      <c r="AS1078" s="14"/>
      <c r="AT1078" s="14"/>
      <c r="AU1078" s="14"/>
    </row>
    <row r="1079" ht="15.75" customHeight="1">
      <c r="B1079" s="158"/>
      <c r="E1079" s="13"/>
      <c r="I1079" s="13"/>
      <c r="P1079" s="13"/>
      <c r="T1079" s="13"/>
      <c r="X1079" s="13"/>
      <c r="Y1079" s="13"/>
      <c r="Z1079" s="13"/>
      <c r="AA1079" s="13"/>
      <c r="AS1079" s="14"/>
      <c r="AT1079" s="14"/>
      <c r="AU1079" s="14"/>
    </row>
    <row r="1080" ht="15.75" customHeight="1">
      <c r="B1080" s="158"/>
      <c r="E1080" s="13"/>
      <c r="I1080" s="13"/>
      <c r="P1080" s="13"/>
      <c r="T1080" s="13"/>
      <c r="X1080" s="13"/>
      <c r="Y1080" s="13"/>
      <c r="Z1080" s="13"/>
      <c r="AA1080" s="13"/>
      <c r="AS1080" s="14"/>
      <c r="AT1080" s="14"/>
      <c r="AU1080" s="14"/>
    </row>
    <row r="1081" ht="15.75" customHeight="1">
      <c r="B1081" s="158"/>
      <c r="E1081" s="13"/>
      <c r="I1081" s="13"/>
      <c r="P1081" s="13"/>
      <c r="T1081" s="13"/>
      <c r="X1081" s="13"/>
      <c r="Y1081" s="13"/>
      <c r="Z1081" s="13"/>
      <c r="AA1081" s="13"/>
      <c r="AS1081" s="14"/>
      <c r="AT1081" s="14"/>
      <c r="AU1081" s="14"/>
    </row>
    <row r="1082" ht="15.75" customHeight="1">
      <c r="B1082" s="158"/>
      <c r="E1082" s="13"/>
      <c r="I1082" s="13"/>
      <c r="P1082" s="13"/>
      <c r="T1082" s="13"/>
      <c r="X1082" s="13"/>
      <c r="Y1082" s="13"/>
      <c r="Z1082" s="13"/>
      <c r="AA1082" s="13"/>
      <c r="AS1082" s="14"/>
      <c r="AT1082" s="14"/>
      <c r="AU1082" s="14"/>
    </row>
    <row r="1083" ht="15.75" customHeight="1">
      <c r="B1083" s="158"/>
      <c r="E1083" s="13"/>
      <c r="I1083" s="13"/>
      <c r="P1083" s="13"/>
      <c r="T1083" s="13"/>
      <c r="X1083" s="13"/>
      <c r="Y1083" s="13"/>
      <c r="Z1083" s="13"/>
      <c r="AA1083" s="13"/>
      <c r="AS1083" s="14"/>
      <c r="AT1083" s="14"/>
      <c r="AU1083" s="14"/>
    </row>
  </sheetData>
  <mergeCells count="49">
    <mergeCell ref="D4:G4"/>
    <mergeCell ref="H4:K4"/>
    <mergeCell ref="L4:O4"/>
    <mergeCell ref="P4:S4"/>
    <mergeCell ref="T4:W4"/>
    <mergeCell ref="X4:Z4"/>
    <mergeCell ref="A4:C4"/>
    <mergeCell ref="A5:C5"/>
    <mergeCell ref="AI15:AR15"/>
    <mergeCell ref="AI16:AR16"/>
    <mergeCell ref="AI17:AR17"/>
    <mergeCell ref="AE18:AL18"/>
    <mergeCell ref="AM18:AR18"/>
    <mergeCell ref="AE19:AK19"/>
    <mergeCell ref="AM19:AR20"/>
    <mergeCell ref="AE4:AQ4"/>
    <mergeCell ref="AE15:AF17"/>
    <mergeCell ref="H142:J145"/>
    <mergeCell ref="L142:N145"/>
    <mergeCell ref="P142:R145"/>
    <mergeCell ref="T142:V145"/>
    <mergeCell ref="X142:Z145"/>
    <mergeCell ref="B143:C143"/>
    <mergeCell ref="B144:C144"/>
    <mergeCell ref="B145:C145"/>
    <mergeCell ref="A2:C3"/>
    <mergeCell ref="D2:AB2"/>
    <mergeCell ref="D3:Z3"/>
    <mergeCell ref="AA3:AA145"/>
    <mergeCell ref="AC3:AC145"/>
    <mergeCell ref="AE3:AT3"/>
    <mergeCell ref="AE6:AT6"/>
    <mergeCell ref="AE20:AK20"/>
    <mergeCell ref="AE21:AL21"/>
    <mergeCell ref="AM21:AR21"/>
    <mergeCell ref="AE23:AE24"/>
    <mergeCell ref="AF23:AF24"/>
    <mergeCell ref="AF36:AO36"/>
    <mergeCell ref="AF37:AJ37"/>
    <mergeCell ref="AK37:AO37"/>
    <mergeCell ref="AF38:AJ38"/>
    <mergeCell ref="AF39:AJ39"/>
    <mergeCell ref="AF40:AJ40"/>
    <mergeCell ref="AF41:AJ41"/>
    <mergeCell ref="AF42:AJ42"/>
    <mergeCell ref="AF43:AO48"/>
    <mergeCell ref="B142:C142"/>
    <mergeCell ref="D142:F145"/>
    <mergeCell ref="B164:G164"/>
  </mergeCells>
  <printOptions/>
  <pageMargins bottom="0.75" footer="0.0" header="0.0" left="0.7" right="0.7" top="0.75"/>
  <pageSetup fitToHeight="0"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2015-09-02T15:06:25Z</dcterms:created>
  <dc:creator>User</dc:creator>
</cp:coreProperties>
</file>