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eory Assessment " sheetId="1" r:id="rId4"/>
  </sheets>
  <externalReferences>
    <externalReference r:id="rId5"/>
  </externalReferences>
  <definedNames/>
  <calcPr/>
  <extLst>
    <ext uri="GoogleSheetsCustomDataVersion2">
      <go:sheetsCustomData xmlns:go="http://customooxmlschemas.google.com/" r:id="rId6" roundtripDataChecksum="8hz1mbln5/cbZky09atcoO0x72td9s8js3R5VlqV/4A="/>
    </ext>
  </extLst>
</workbook>
</file>

<file path=xl/sharedStrings.xml><?xml version="1.0" encoding="utf-8"?>
<sst xmlns="http://schemas.openxmlformats.org/spreadsheetml/2006/main" count="85" uniqueCount="57">
  <si>
    <t xml:space="preserve">ASSESSMENT OF ATTAINMENT OF COURSE OUTCOMES </t>
  </si>
  <si>
    <t>Direct Tools</t>
  </si>
  <si>
    <t>Internal Assessment</t>
  </si>
  <si>
    <t>External Assessment</t>
  </si>
  <si>
    <t>COURSE OUTCOMES</t>
  </si>
  <si>
    <t>CO1</t>
  </si>
  <si>
    <t>CO2</t>
  </si>
  <si>
    <t>CO3</t>
  </si>
  <si>
    <t>CO4</t>
  </si>
  <si>
    <t>CO5</t>
  </si>
  <si>
    <t xml:space="preserve">ALL CO'S </t>
  </si>
  <si>
    <t>SPLIT UP MARKS</t>
  </si>
  <si>
    <t>S.NO</t>
  </si>
  <si>
    <t>REG. NO</t>
  </si>
  <si>
    <t>NAME</t>
  </si>
  <si>
    <t>IA1</t>
  </si>
  <si>
    <t>MODEL</t>
  </si>
  <si>
    <t>TOTAL (Normalized Score 20%)</t>
  </si>
  <si>
    <t>IA2</t>
  </si>
  <si>
    <t>UNIVERSITY GRADE</t>
  </si>
  <si>
    <t>KGiSL  INSTITUTE OF TECHNOLOGY, COIMBATORE - 641035</t>
  </si>
  <si>
    <t>Course Code :</t>
  </si>
  <si>
    <t>Course  Name :</t>
  </si>
  <si>
    <t>Faculty Name :</t>
  </si>
  <si>
    <t>Academic Year :</t>
  </si>
  <si>
    <t xml:space="preserve">2022 - 2023 (EVEN)   </t>
  </si>
  <si>
    <t>Class :</t>
  </si>
  <si>
    <t>Regulation :</t>
  </si>
  <si>
    <t>R2021- AUC</t>
  </si>
  <si>
    <t>Department :</t>
  </si>
  <si>
    <t>Computer Science &amp; Engineering</t>
  </si>
  <si>
    <t>ATTAINMENT LEVEL</t>
  </si>
  <si>
    <t>% of students scoring the expected marks</t>
  </si>
  <si>
    <t>Weightage</t>
  </si>
  <si>
    <t>OVERALL WEIGHTAGE IN CO'S</t>
  </si>
  <si>
    <t>Course End Survey</t>
  </si>
  <si>
    <t>CO NO</t>
  </si>
  <si>
    <t>ATT LEVEL</t>
  </si>
  <si>
    <t>C304.1</t>
  </si>
  <si>
    <t>C304.2</t>
  </si>
  <si>
    <t>C304.3</t>
  </si>
  <si>
    <t>C304.4</t>
  </si>
  <si>
    <t>C304.5</t>
  </si>
  <si>
    <t>Indirect Tools</t>
  </si>
  <si>
    <t xml:space="preserve"> CO'S </t>
  </si>
  <si>
    <t>Expected proficiency Level</t>
  </si>
  <si>
    <t xml:space="preserve">No of Students Exp Prof Level				</t>
  </si>
  <si>
    <t>CO attainment  in %</t>
  </si>
  <si>
    <t>CO attainment in levels</t>
  </si>
  <si>
    <t>Indirect Attainment data is derived from the IQAC-issued Course End Survey, verified by the IQAC, and approved by the Principal.
The collected student survey data is consolidated and verified by the IQAC cell.</t>
  </si>
  <si>
    <t>B+</t>
  </si>
  <si>
    <t>B</t>
  </si>
  <si>
    <t>Expected proficiency / marks in %</t>
  </si>
  <si>
    <t>No of Students scored the expected marks</t>
  </si>
  <si>
    <t>Course Outcome attainment  in %</t>
  </si>
  <si>
    <t>Course Outcome attainment in levels</t>
  </si>
  <si>
    <t>\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</si>
</sst>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3">
    <font>
      <sz val="11.0"/>
      <color theme="1"/>
      <name val="Calibri"/>
      <scheme val="minor"/>
    </font>
    <font>
      <b/>
      <sz val="10.0"/>
      <color rgb="FF000000"/>
      <name val="Arial"/>
    </font>
    <font>
      <sz val="10.0"/>
      <color rgb="FF000000"/>
      <name val="Arial"/>
    </font>
    <font/>
    <font>
      <b/>
      <sz val="11.0"/>
      <color rgb="FF000000"/>
      <name val="Arial"/>
    </font>
    <font>
      <sz val="11.0"/>
      <color theme="1"/>
      <name val="Calibri"/>
    </font>
    <font>
      <b/>
      <sz val="14.0"/>
      <color rgb="FF000000"/>
      <name val="Calibri"/>
    </font>
    <font>
      <b/>
      <sz val="11.0"/>
      <color theme="1"/>
      <name val="Calibri"/>
    </font>
    <font>
      <sz val="11.0"/>
      <color rgb="FF000000"/>
      <name val="Arial"/>
    </font>
    <font>
      <b/>
      <sz val="9.0"/>
      <color rgb="FF000000"/>
      <name val="Arial"/>
    </font>
    <font>
      <sz val="10.0"/>
      <color rgb="FF000000"/>
      <name val="Cambria"/>
    </font>
    <font>
      <sz val="12.0"/>
      <color rgb="FF000000"/>
      <name val="Times New Roman"/>
    </font>
    <font>
      <b/>
      <sz val="11.0"/>
      <color theme="1"/>
      <name val="Arial"/>
    </font>
    <font>
      <sz val="11.0"/>
      <color theme="1"/>
      <name val="Arial"/>
    </font>
    <font>
      <b/>
      <sz val="10.0"/>
      <color rgb="FFC00000"/>
      <name val="Arial"/>
    </font>
    <font>
      <b/>
      <sz val="10.0"/>
      <color rgb="FF0070C0"/>
      <name val="Arial"/>
    </font>
    <font>
      <b/>
      <sz val="11.0"/>
      <color theme="1"/>
      <name val="Times New Roman"/>
    </font>
    <font>
      <b/>
      <sz val="12.0"/>
      <color theme="1"/>
      <name val="Arial"/>
    </font>
    <font>
      <b/>
      <sz val="12.0"/>
      <color rgb="FF000000"/>
      <name val="Times New Roman"/>
    </font>
    <font>
      <b/>
      <sz val="9.0"/>
      <color rgb="FF000000"/>
      <name val="Libre Franklin"/>
    </font>
    <font>
      <b/>
      <sz val="11.0"/>
      <color rgb="FF000000"/>
      <name val="Libre Franklin"/>
    </font>
    <font>
      <b/>
      <sz val="12.0"/>
      <color rgb="FF000000"/>
      <name val="Libre Franklin"/>
    </font>
    <font>
      <b/>
      <sz val="10.0"/>
      <color rgb="FF000000"/>
      <name val="Libre Franklin"/>
    </font>
    <font>
      <b/>
      <sz val="11.0"/>
      <color theme="1"/>
      <name val="Libre Franklin"/>
    </font>
    <font>
      <b/>
      <sz val="8.0"/>
      <color rgb="FF000000"/>
      <name val="Times New Roman"/>
    </font>
    <font>
      <b/>
      <sz val="11.0"/>
      <color rgb="FF000000"/>
      <name val="Times New Roman"/>
    </font>
    <font>
      <i/>
      <sz val="11.0"/>
      <color theme="1"/>
      <name val="Calibri"/>
    </font>
    <font>
      <b/>
      <sz val="12.0"/>
      <color theme="1"/>
      <name val="Times New Roman"/>
    </font>
    <font>
      <b/>
      <sz val="10.0"/>
      <color theme="1"/>
      <name val="Arial"/>
    </font>
    <font>
      <sz val="12.0"/>
      <color theme="1"/>
      <name val="Arial"/>
    </font>
    <font>
      <b/>
      <sz val="12.0"/>
      <color rgb="FF000000"/>
      <name val="Arial"/>
    </font>
    <font>
      <sz val="12.0"/>
      <color rgb="FF000000"/>
      <name val="Arial"/>
    </font>
    <font>
      <sz val="11.0"/>
      <color rgb="FFFF0000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FBD4B4"/>
        <bgColor rgb="FFFBD4B4"/>
      </patternFill>
    </fill>
    <fill>
      <patternFill patternType="solid">
        <fgColor rgb="FFEAF1DD"/>
        <bgColor rgb="FFEAF1DD"/>
      </patternFill>
    </fill>
    <fill>
      <patternFill patternType="solid">
        <fgColor theme="0"/>
        <bgColor theme="0"/>
      </patternFill>
    </fill>
    <fill>
      <patternFill patternType="solid">
        <fgColor rgb="FFDAEEF3"/>
        <bgColor rgb="FFDAEEF3"/>
      </patternFill>
    </fill>
    <fill>
      <patternFill patternType="solid">
        <fgColor rgb="FFDBE5F1"/>
        <bgColor rgb="FFDBE5F1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FABF8F"/>
        <bgColor rgb="FFFABF8F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CCFFCC"/>
        <bgColor rgb="FFCCFFCC"/>
      </patternFill>
    </fill>
    <fill>
      <patternFill patternType="solid">
        <fgColor rgb="FFE5DFEC"/>
        <bgColor rgb="FFE5DFEC"/>
      </patternFill>
    </fill>
    <fill>
      <patternFill patternType="solid">
        <fgColor rgb="FF92D050"/>
        <bgColor rgb="FF92D050"/>
      </patternFill>
    </fill>
    <fill>
      <patternFill patternType="solid">
        <fgColor rgb="FFCCC0D9"/>
        <bgColor rgb="FFCCC0D9"/>
      </patternFill>
    </fill>
    <fill>
      <patternFill patternType="solid">
        <fgColor rgb="FFE5B8B7"/>
        <bgColor rgb="FFE5B8B7"/>
      </patternFill>
    </fill>
  </fills>
  <borders count="4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/>
    </border>
    <border>
      <bottom/>
    </border>
    <border>
      <right style="thin">
        <color rgb="FF000000"/>
      </right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thin">
        <color rgb="FF000000"/>
      </right>
      <top style="double">
        <color rgb="FF000000"/>
      </top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thin">
        <color rgb="FF000000"/>
      </right>
      <bottom style="double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  <border>
      <left/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Font="1"/>
    <xf borderId="0" fillId="0" fontId="2" numFmtId="0" xfId="0" applyAlignment="1" applyFont="1">
      <alignment horizontal="center" vertical="center"/>
    </xf>
    <xf borderId="0" fillId="0" fontId="2" numFmtId="1" xfId="0" applyAlignment="1" applyFont="1" applyNumberFormat="1">
      <alignment horizontal="center" vertical="center"/>
    </xf>
    <xf borderId="1" fillId="2" fontId="1" numFmtId="0" xfId="0" applyAlignment="1" applyBorder="1" applyFill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3" fontId="4" numFmtId="0" xfId="0" applyAlignment="1" applyBorder="1" applyFill="1" applyFont="1">
      <alignment horizontal="center" vertical="center"/>
    </xf>
    <xf borderId="5" fillId="0" fontId="3" numFmtId="0" xfId="0" applyBorder="1" applyFont="1"/>
    <xf borderId="6" fillId="0" fontId="3" numFmtId="0" xfId="0" applyBorder="1" applyFont="1"/>
    <xf borderId="7" fillId="4" fontId="4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Font="1"/>
    <xf borderId="0" fillId="0" fontId="5" numFmtId="0" xfId="0" applyAlignment="1" applyFont="1">
      <alignment horizontal="center" vertical="center"/>
    </xf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4" fillId="5" fontId="4" numFmtId="0" xfId="0" applyAlignment="1" applyBorder="1" applyFill="1" applyFont="1">
      <alignment horizontal="center" vertical="center"/>
    </xf>
    <xf borderId="11" fillId="0" fontId="3" numFmtId="0" xfId="0" applyBorder="1" applyFont="1"/>
    <xf borderId="12" fillId="4" fontId="5" numFmtId="0" xfId="0" applyAlignment="1" applyBorder="1" applyFont="1">
      <alignment horizontal="center"/>
    </xf>
    <xf borderId="13" fillId="5" fontId="4" numFmtId="0" xfId="0" applyAlignment="1" applyBorder="1" applyFont="1">
      <alignment horizontal="center" shrinkToFit="0" vertical="center" wrapText="1"/>
    </xf>
    <xf borderId="14" fillId="0" fontId="3" numFmtId="0" xfId="0" applyBorder="1" applyFont="1"/>
    <xf borderId="0" fillId="0" fontId="6" numFmtId="0" xfId="0" applyAlignment="1" applyFont="1">
      <alignment horizontal="center" vertical="center"/>
    </xf>
    <xf borderId="4" fillId="5" fontId="1" numFmtId="0" xfId="0" applyAlignment="1" applyBorder="1" applyFont="1">
      <alignment horizontal="center" shrinkToFit="0" vertical="center" wrapText="1"/>
    </xf>
    <xf borderId="15" fillId="6" fontId="4" numFmtId="0" xfId="0" applyAlignment="1" applyBorder="1" applyFill="1" applyFont="1">
      <alignment horizontal="center" shrinkToFit="0" vertical="center" wrapText="1"/>
    </xf>
    <xf borderId="16" fillId="0" fontId="3" numFmtId="0" xfId="0" applyBorder="1" applyFont="1"/>
    <xf borderId="17" fillId="0" fontId="3" numFmtId="0" xfId="0" applyBorder="1" applyFont="1"/>
    <xf borderId="18" fillId="0" fontId="3" numFmtId="0" xfId="0" applyBorder="1" applyFont="1"/>
    <xf borderId="13" fillId="6" fontId="4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4" fillId="7" fontId="1" numFmtId="0" xfId="0" applyAlignment="1" applyBorder="1" applyFill="1" applyFont="1">
      <alignment horizontal="center" vertical="center"/>
    </xf>
    <xf borderId="19" fillId="8" fontId="4" numFmtId="0" xfId="0" applyAlignment="1" applyBorder="1" applyFill="1" applyFont="1">
      <alignment horizontal="center" vertical="center"/>
    </xf>
    <xf borderId="19" fillId="9" fontId="4" numFmtId="0" xfId="0" applyAlignment="1" applyBorder="1" applyFill="1" applyFont="1">
      <alignment horizontal="center" vertical="center"/>
    </xf>
    <xf borderId="13" fillId="8" fontId="4" numFmtId="0" xfId="0" applyAlignment="1" applyBorder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8" numFmtId="0" xfId="0" applyFont="1"/>
    <xf borderId="19" fillId="0" fontId="1" numFmtId="0" xfId="0" applyAlignment="1" applyBorder="1" applyFont="1">
      <alignment horizontal="center" vertical="center"/>
    </xf>
    <xf borderId="19" fillId="10" fontId="1" numFmtId="0" xfId="0" applyAlignment="1" applyBorder="1" applyFill="1" applyFont="1">
      <alignment horizontal="center" shrinkToFit="0" textRotation="90" vertical="center" wrapText="1"/>
    </xf>
    <xf borderId="19" fillId="7" fontId="9" numFmtId="0" xfId="0" applyAlignment="1" applyBorder="1" applyFont="1">
      <alignment horizontal="center" shrinkToFit="0" textRotation="90" vertical="center" wrapText="1"/>
    </xf>
    <xf borderId="13" fillId="10" fontId="1" numFmtId="0" xfId="0" applyAlignment="1" applyBorder="1" applyFont="1">
      <alignment horizontal="center" shrinkToFit="0" vertical="center" wrapText="1"/>
    </xf>
    <xf borderId="19" fillId="0" fontId="10" numFmtId="0" xfId="0" applyAlignment="1" applyBorder="1" applyFont="1">
      <alignment horizontal="center" vertical="center"/>
    </xf>
    <xf borderId="19" fillId="0" fontId="11" numFmtId="1" xfId="0" applyAlignment="1" applyBorder="1" applyFont="1" applyNumberFormat="1">
      <alignment horizontal="left" shrinkToFit="0" wrapText="1"/>
    </xf>
    <xf borderId="19" fillId="0" fontId="11" numFmtId="0" xfId="0" applyAlignment="1" applyBorder="1" applyFont="1">
      <alignment horizontal="left" shrinkToFit="0" wrapText="1"/>
    </xf>
    <xf borderId="19" fillId="8" fontId="12" numFmtId="0" xfId="0" applyAlignment="1" applyBorder="1" applyFont="1">
      <alignment horizontal="right"/>
    </xf>
    <xf borderId="19" fillId="8" fontId="13" numFmtId="0" xfId="0" applyAlignment="1" applyBorder="1" applyFont="1">
      <alignment horizontal="center" vertical="center"/>
    </xf>
    <xf borderId="19" fillId="0" fontId="4" numFmtId="1" xfId="0" applyAlignment="1" applyBorder="1" applyFont="1" applyNumberFormat="1">
      <alignment horizontal="center" vertical="center"/>
    </xf>
    <xf borderId="19" fillId="8" fontId="12" numFmtId="0" xfId="0" applyAlignment="1" applyBorder="1" applyFont="1">
      <alignment horizontal="center"/>
    </xf>
    <xf borderId="0" fillId="0" fontId="8" numFmtId="1" xfId="0" applyAlignment="1" applyFont="1" applyNumberFormat="1">
      <alignment horizontal="center" vertical="center"/>
    </xf>
    <xf borderId="0" fillId="0" fontId="14" numFmtId="0" xfId="0" applyAlignment="1" applyFont="1">
      <alignment horizontal="right"/>
    </xf>
    <xf borderId="20" fillId="4" fontId="15" numFmtId="0" xfId="0" applyAlignment="1" applyBorder="1" applyFont="1">
      <alignment horizontal="left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21" fillId="8" fontId="16" numFmtId="0" xfId="0" applyAlignment="1" applyBorder="1" applyFont="1">
      <alignment horizontal="center"/>
    </xf>
    <xf borderId="20" fillId="11" fontId="17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8" numFmtId="0" xfId="0" applyAlignment="1" applyFont="1">
      <alignment horizontal="center" shrinkToFit="0" vertical="center" wrapText="1"/>
    </xf>
    <xf borderId="0" fillId="0" fontId="1" numFmtId="1" xfId="0" applyAlignment="1" applyFont="1" applyNumberFormat="1">
      <alignment horizontal="center" vertical="center"/>
    </xf>
    <xf borderId="1" fillId="0" fontId="19" numFmtId="0" xfId="0" applyAlignment="1" applyBorder="1" applyFont="1">
      <alignment horizontal="center" shrinkToFit="0" vertical="center" wrapText="1"/>
    </xf>
    <xf borderId="4" fillId="0" fontId="20" numFmtId="0" xfId="0" applyAlignment="1" applyBorder="1" applyFont="1">
      <alignment horizontal="center" vertical="center"/>
    </xf>
    <xf borderId="13" fillId="12" fontId="21" numFmtId="1" xfId="0" applyAlignment="1" applyBorder="1" applyFill="1" applyFont="1" applyNumberFormat="1">
      <alignment readingOrder="0" vertical="center"/>
    </xf>
    <xf borderId="22" fillId="12" fontId="21" numFmtId="0" xfId="0" applyAlignment="1" applyBorder="1" applyFont="1">
      <alignment horizontal="left" vertical="center"/>
    </xf>
    <xf borderId="23" fillId="0" fontId="3" numFmtId="0" xfId="0" applyBorder="1" applyFont="1"/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13" fillId="12" fontId="21" numFmtId="1" xfId="0" applyBorder="1" applyFont="1" applyNumberFormat="1"/>
    <xf borderId="22" fillId="12" fontId="21" numFmtId="0" xfId="0" applyAlignment="1" applyBorder="1" applyFont="1">
      <alignment horizontal="left"/>
    </xf>
    <xf borderId="4" fillId="13" fontId="22" numFmtId="0" xfId="0" applyAlignment="1" applyBorder="1" applyFill="1" applyFont="1">
      <alignment horizontal="center" shrinkToFit="0" vertical="center" wrapText="1"/>
    </xf>
    <xf borderId="4" fillId="5" fontId="22" numFmtId="0" xfId="0" applyAlignment="1" applyBorder="1" applyFont="1">
      <alignment horizontal="center" vertical="center"/>
    </xf>
    <xf borderId="4" fillId="4" fontId="22" numFmtId="0" xfId="0" applyAlignment="1" applyBorder="1" applyFont="1">
      <alignment horizontal="center" shrinkToFit="0" wrapText="1"/>
    </xf>
    <xf borderId="13" fillId="8" fontId="20" numFmtId="9" xfId="0" applyAlignment="1" applyBorder="1" applyFont="1" applyNumberFormat="1">
      <alignment horizontal="center" vertical="center"/>
    </xf>
    <xf borderId="1" fillId="8" fontId="20" numFmtId="9" xfId="0" applyAlignment="1" applyBorder="1" applyFont="1" applyNumberFormat="1">
      <alignment horizontal="center" vertical="center"/>
    </xf>
    <xf borderId="27" fillId="0" fontId="3" numFmtId="0" xfId="0" applyBorder="1" applyFont="1"/>
    <xf borderId="4" fillId="4" fontId="23" numFmtId="0" xfId="0" applyAlignment="1" applyBorder="1" applyFont="1">
      <alignment horizontal="center"/>
    </xf>
    <xf borderId="4" fillId="8" fontId="20" numFmtId="9" xfId="0" applyAlignment="1" applyBorder="1" applyFont="1" applyNumberFormat="1">
      <alignment horizontal="center" vertical="center"/>
    </xf>
    <xf borderId="0" fillId="0" fontId="2" numFmtId="2" xfId="0" applyAlignment="1" applyFont="1" applyNumberFormat="1">
      <alignment horizontal="center" vertical="center"/>
    </xf>
    <xf borderId="7" fillId="0" fontId="24" numFmtId="0" xfId="0" applyAlignment="1" applyBorder="1" applyFont="1">
      <alignment horizontal="center" shrinkToFit="0" vertical="center" wrapText="1"/>
    </xf>
    <xf borderId="0" fillId="0" fontId="5" numFmtId="2" xfId="0" applyAlignment="1" applyFont="1" applyNumberFormat="1">
      <alignment horizontal="center"/>
    </xf>
    <xf borderId="28" fillId="0" fontId="3" numFmtId="0" xfId="0" applyBorder="1" applyFont="1"/>
    <xf borderId="28" fillId="0" fontId="8" numFmtId="0" xfId="0" applyAlignment="1" applyBorder="1" applyFont="1">
      <alignment horizontal="center" vertical="center"/>
    </xf>
    <xf borderId="21" fillId="14" fontId="2" numFmtId="2" xfId="0" applyAlignment="1" applyBorder="1" applyFill="1" applyFont="1" applyNumberFormat="1">
      <alignment horizontal="center" vertical="center"/>
    </xf>
    <xf borderId="19" fillId="14" fontId="2" numFmtId="2" xfId="0" applyAlignment="1" applyBorder="1" applyFont="1" applyNumberFormat="1">
      <alignment horizontal="center" vertical="center"/>
    </xf>
    <xf borderId="19" fillId="14" fontId="5" numFmtId="2" xfId="0" applyAlignment="1" applyBorder="1" applyFont="1" applyNumberFormat="1">
      <alignment horizontal="center"/>
    </xf>
    <xf borderId="4" fillId="2" fontId="7" numFmtId="0" xfId="0" applyAlignment="1" applyBorder="1" applyFont="1">
      <alignment horizontal="center"/>
    </xf>
    <xf borderId="4" fillId="3" fontId="4" numFmtId="0" xfId="0" applyAlignment="1" applyBorder="1" applyFont="1">
      <alignment horizontal="center" shrinkToFit="0" vertical="center" wrapText="1"/>
    </xf>
    <xf borderId="4" fillId="5" fontId="4" numFmtId="0" xfId="0" applyAlignment="1" applyBorder="1" applyFont="1">
      <alignment horizontal="center" shrinkToFit="0" vertical="center" wrapText="1"/>
    </xf>
    <xf borderId="4" fillId="6" fontId="4" numFmtId="0" xfId="0" applyAlignment="1" applyBorder="1" applyFont="1">
      <alignment horizontal="center" shrinkToFit="0" vertical="center" wrapText="1"/>
    </xf>
    <xf borderId="19" fillId="10" fontId="1" numFmtId="0" xfId="0" applyAlignment="1" applyBorder="1" applyFont="1">
      <alignment horizontal="center" shrinkToFit="0" vertical="center" wrapText="1"/>
    </xf>
    <xf borderId="4" fillId="10" fontId="25" numFmtId="0" xfId="0" applyAlignment="1" applyBorder="1" applyFont="1">
      <alignment horizontal="center" shrinkToFit="0" wrapText="1"/>
    </xf>
    <xf borderId="19" fillId="0" fontId="5" numFmtId="0" xfId="0" applyAlignment="1" applyBorder="1" applyFont="1">
      <alignment horizontal="center" vertical="center"/>
    </xf>
    <xf borderId="4" fillId="10" fontId="25" numFmtId="0" xfId="0" applyAlignment="1" applyBorder="1" applyFont="1">
      <alignment horizontal="center" readingOrder="0" shrinkToFit="0" wrapText="1"/>
    </xf>
    <xf borderId="4" fillId="10" fontId="1" numFmtId="0" xfId="0" applyAlignment="1" applyBorder="1" applyFont="1">
      <alignment horizontal="center" shrinkToFit="0" vertical="center" wrapText="1"/>
    </xf>
    <xf borderId="11" fillId="0" fontId="5" numFmtId="1" xfId="0" applyAlignment="1" applyBorder="1" applyFont="1" applyNumberFormat="1">
      <alignment horizontal="center"/>
    </xf>
    <xf borderId="19" fillId="0" fontId="5" numFmtId="1" xfId="0" applyAlignment="1" applyBorder="1" applyFont="1" applyNumberFormat="1">
      <alignment horizontal="center"/>
    </xf>
    <xf borderId="29" fillId="10" fontId="1" numFmtId="0" xfId="0" applyAlignment="1" applyBorder="1" applyFont="1">
      <alignment horizontal="center" shrinkToFit="0" vertical="center" wrapText="1"/>
    </xf>
    <xf borderId="30" fillId="0" fontId="3" numFmtId="0" xfId="0" applyBorder="1" applyFont="1"/>
    <xf borderId="31" fillId="0" fontId="3" numFmtId="0" xfId="0" applyBorder="1" applyFont="1"/>
    <xf borderId="32" fillId="14" fontId="8" numFmtId="1" xfId="0" applyAlignment="1" applyBorder="1" applyFont="1" applyNumberFormat="1">
      <alignment horizontal="center" vertical="center"/>
    </xf>
    <xf borderId="33" fillId="14" fontId="8" numFmtId="1" xfId="0" applyAlignment="1" applyBorder="1" applyFont="1" applyNumberFormat="1">
      <alignment horizontal="center" vertical="center"/>
    </xf>
    <xf borderId="1" fillId="0" fontId="26" numFmtId="0" xfId="0" applyAlignment="1" applyBorder="1" applyFont="1">
      <alignment horizontal="center" shrinkToFit="0" vertical="center" wrapText="1"/>
    </xf>
    <xf borderId="34" fillId="15" fontId="7" numFmtId="0" xfId="0" applyAlignment="1" applyBorder="1" applyFill="1" applyFont="1">
      <alignment horizontal="center" vertical="center"/>
    </xf>
    <xf borderId="35" fillId="0" fontId="3" numFmtId="0" xfId="0" applyBorder="1" applyFont="1"/>
    <xf borderId="36" fillId="0" fontId="3" numFmtId="0" xfId="0" applyBorder="1" applyFont="1"/>
    <xf borderId="37" fillId="7" fontId="4" numFmtId="1" xfId="0" applyAlignment="1" applyBorder="1" applyFont="1" applyNumberFormat="1">
      <alignment horizontal="center" vertical="center"/>
    </xf>
    <xf borderId="13" fillId="7" fontId="27" numFmtId="0" xfId="0" applyAlignment="1" applyBorder="1" applyFont="1">
      <alignment horizontal="center" shrinkToFit="0" vertical="center" wrapText="1"/>
    </xf>
    <xf borderId="19" fillId="0" fontId="2" numFmtId="0" xfId="0" applyAlignment="1" applyBorder="1" applyFont="1">
      <alignment horizontal="center" vertical="center"/>
    </xf>
    <xf borderId="4" fillId="10" fontId="28" numFmtId="0" xfId="0" applyAlignment="1" applyBorder="1" applyFont="1">
      <alignment horizontal="center" shrinkToFit="0" vertical="center" wrapText="1"/>
    </xf>
    <xf borderId="38" fillId="0" fontId="3" numFmtId="0" xfId="0" applyBorder="1" applyFont="1"/>
    <xf borderId="39" fillId="5" fontId="8" numFmtId="1" xfId="0" applyAlignment="1" applyBorder="1" applyFont="1" applyNumberFormat="1">
      <alignment horizontal="center" vertical="center"/>
    </xf>
    <xf borderId="13" fillId="5" fontId="8" numFmtId="1" xfId="0" applyAlignment="1" applyBorder="1" applyFont="1" applyNumberFormat="1">
      <alignment horizontal="center" vertical="center"/>
    </xf>
    <xf borderId="20" fillId="11" fontId="29" numFmtId="0" xfId="0" applyAlignment="1" applyBorder="1" applyFont="1">
      <alignment horizontal="center" vertical="center"/>
    </xf>
    <xf borderId="39" fillId="16" fontId="8" numFmtId="1" xfId="0" applyAlignment="1" applyBorder="1" applyFill="1" applyFont="1" applyNumberFormat="1">
      <alignment horizontal="center" vertical="center"/>
    </xf>
    <xf borderId="13" fillId="16" fontId="8" numFmtId="1" xfId="0" applyAlignment="1" applyBorder="1" applyFont="1" applyNumberFormat="1">
      <alignment horizontal="center" vertical="center"/>
    </xf>
    <xf borderId="0" fillId="0" fontId="30" numFmtId="0" xfId="0" applyAlignment="1" applyFont="1">
      <alignment vertical="center"/>
    </xf>
    <xf borderId="0" fillId="0" fontId="30" numFmtId="0" xfId="0" applyFont="1"/>
    <xf borderId="40" fillId="0" fontId="3" numFmtId="0" xfId="0" applyBorder="1" applyFont="1"/>
    <xf borderId="41" fillId="0" fontId="3" numFmtId="0" xfId="0" applyBorder="1" applyFont="1"/>
    <xf borderId="42" fillId="0" fontId="3" numFmtId="0" xfId="0" applyBorder="1" applyFont="1"/>
    <xf borderId="43" fillId="14" fontId="8" numFmtId="1" xfId="0" applyAlignment="1" applyBorder="1" applyFont="1" applyNumberFormat="1">
      <alignment horizontal="center" vertical="center"/>
    </xf>
    <xf borderId="44" fillId="0" fontId="3" numFmtId="0" xfId="0" applyBorder="1" applyFont="1"/>
    <xf borderId="19" fillId="14" fontId="8" numFmtId="1" xfId="0" applyAlignment="1" applyBorder="1" applyFont="1" applyNumberFormat="1">
      <alignment horizontal="center" vertical="center"/>
    </xf>
    <xf borderId="0" fillId="0" fontId="8" numFmtId="0" xfId="0" applyAlignment="1" applyFont="1">
      <alignment horizontal="center" vertical="center"/>
    </xf>
    <xf borderId="0" fillId="0" fontId="8" numFmtId="0" xfId="0" applyAlignment="1" applyFont="1">
      <alignment horizontal="center"/>
    </xf>
    <xf borderId="0" fillId="0" fontId="4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30" numFmtId="0" xfId="0" applyAlignment="1" applyFont="1">
      <alignment vertical="top"/>
    </xf>
    <xf borderId="0" fillId="0" fontId="31" numFmtId="0" xfId="0" applyFont="1"/>
    <xf borderId="0" fillId="0" fontId="4" numFmtId="0" xfId="0" applyAlignment="1" applyFont="1">
      <alignment horizontal="left" vertical="center"/>
    </xf>
    <xf borderId="0" fillId="0" fontId="2" numFmtId="0" xfId="0" applyAlignment="1" applyFont="1">
      <alignment horizontal="center" shrinkToFit="0" wrapText="1"/>
    </xf>
    <xf borderId="0" fillId="0" fontId="5" numFmtId="1" xfId="0" applyAlignment="1" applyFont="1" applyNumberFormat="1">
      <alignment vertical="center"/>
    </xf>
    <xf borderId="0" fillId="0" fontId="30" numFmtId="0" xfId="0" applyAlignment="1" applyFont="1">
      <alignment horizontal="center" vertical="center"/>
    </xf>
    <xf borderId="0" fillId="0" fontId="30" numFmtId="0" xfId="0" applyAlignment="1" applyFont="1">
      <alignment horizontal="left"/>
    </xf>
    <xf borderId="0" fillId="0" fontId="32" numFmtId="0" xfId="0" applyFont="1"/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0" fontId="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FF"/>
                </a:solidFill>
                <a:latin typeface="+mn-lt"/>
              </a:defRPr>
            </a:pPr>
            <a:r>
              <a:rPr b="1" i="0" sz="1200">
                <a:solidFill>
                  <a:srgbClr val="0000FF"/>
                </a:solidFill>
                <a:latin typeface="+mn-lt"/>
              </a:rPr>
              <a:t>C304 - COURSE OUTCOMES ATTAINMENT LEVELS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Attainment Level</c:v>
          </c:tx>
          <c:spPr>
            <a:solidFill>
              <a:srgbClr val="9BBB59"/>
            </a:solidFill>
            <a:ln cmpd="sng">
              <a:solidFill>
                <a:srgbClr val="000000"/>
              </a:solidFill>
            </a:ln>
          </c:spPr>
          <c:cat>
            <c:strRef>
              <c:f>'Theory Assessment '!$AB$25:$AB$29</c:f>
            </c:strRef>
          </c:cat>
          <c:val>
            <c:numRef>
              <c:f>'Theory Assessment '!$AC$25:$AC$29</c:f>
              <c:numCache/>
            </c:numRef>
          </c:val>
        </c:ser>
        <c:ser>
          <c:idx val="1"/>
          <c:order val="1"/>
          <c:cat>
            <c:strRef>
              <c:f>'Theory Assessment '!$AB$25:$AB$29</c:f>
            </c:strRef>
          </c:cat>
          <c:val>
            <c:numRef>
              <c:f>'Theory Assessment '!$AD$22:$AD$23</c:f>
              <c:numCache/>
            </c:numRef>
          </c:val>
        </c:ser>
        <c:ser>
          <c:idx val="2"/>
          <c:order val="2"/>
          <c:cat>
            <c:strRef>
              <c:f>'Theory Assessment '!$AB$25:$AB$29</c:f>
            </c:strRef>
          </c:cat>
          <c:val>
            <c:numRef>
              <c:f>'Theory Assessment '!$AE$22:$AE$23</c:f>
              <c:numCache/>
            </c:numRef>
          </c:val>
        </c:ser>
        <c:overlap val="100"/>
        <c:axId val="2007260666"/>
        <c:axId val="1229657731"/>
      </c:barChart>
      <c:catAx>
        <c:axId val="20072606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229657731"/>
      </c:catAx>
      <c:valAx>
        <c:axId val="1229657731"/>
        <c:scaling>
          <c:orientation val="minMax"/>
          <c:max val="3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007260666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31</xdr:col>
      <xdr:colOff>161925</xdr:colOff>
      <xdr:row>21</xdr:row>
      <xdr:rowOff>190500</xdr:rowOff>
    </xdr:from>
    <xdr:ext cx="2914650" cy="1800225"/>
    <xdr:graphicFrame>
      <xdr:nvGraphicFramePr>
        <xdr:cNvPr id="90247098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27</xdr:col>
      <xdr:colOff>85725</xdr:colOff>
      <xdr:row>5</xdr:row>
      <xdr:rowOff>342900</xdr:rowOff>
    </xdr:from>
    <xdr:ext cx="742950" cy="514350"/>
    <xdr:pic>
      <xdr:nvPicPr>
        <xdr:cNvPr descr="NEW logo (2).png"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Dept%20THEORY%20Analytical%20template_R17%20V2%20AtSheet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Theory Assessment "/>
    </sheetNames>
    <sheetDataSet>
      <sheetData sheetId="0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5.29"/>
    <col customWidth="1" min="2" max="2" width="18.0"/>
    <col customWidth="1" min="3" max="3" width="30.0"/>
    <col customWidth="1" min="4" max="5" width="4.71"/>
    <col customWidth="1" hidden="1" min="6" max="6" width="5.71"/>
    <col customWidth="1" min="7" max="7" width="5.71"/>
    <col customWidth="1" min="8" max="9" width="4.71"/>
    <col customWidth="1" hidden="1" min="10" max="10" width="4.71"/>
    <col customWidth="1" min="11" max="13" width="4.71"/>
    <col customWidth="1" hidden="1" min="14" max="14" width="4.71"/>
    <col customWidth="1" min="15" max="17" width="4.71"/>
    <col customWidth="1" hidden="1" min="18" max="18" width="4.71"/>
    <col customWidth="1" min="19" max="20" width="4.71"/>
    <col customWidth="1" hidden="1" min="21" max="22" width="4.71"/>
    <col customWidth="1" min="23" max="24" width="4.71"/>
    <col customWidth="1" min="25" max="25" width="15.71"/>
    <col customWidth="1" min="26" max="27" width="4.71"/>
    <col customWidth="1" min="28" max="28" width="7.71"/>
    <col customWidth="1" min="29" max="29" width="7.57"/>
    <col customWidth="1" min="30" max="30" width="4.71"/>
    <col customWidth="1" min="31" max="31" width="5.14"/>
    <col customWidth="1" min="32" max="33" width="5.43"/>
    <col customWidth="1" min="34" max="34" width="5.71"/>
    <col customWidth="1" min="35" max="35" width="7.43"/>
    <col customWidth="1" min="36" max="36" width="6.71"/>
    <col customWidth="1" min="37" max="37" width="4.71"/>
    <col customWidth="1" min="38" max="39" width="6.14"/>
    <col customWidth="1" min="40" max="40" width="6.43"/>
    <col customWidth="1" min="41" max="41" width="5.29"/>
    <col customWidth="1" min="42" max="43" width="3.71"/>
    <col customWidth="1" min="44" max="44" width="9.14"/>
  </cols>
  <sheetData>
    <row r="1"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3"/>
      <c r="AQ1" s="3"/>
      <c r="AR1" s="4"/>
    </row>
    <row r="2" ht="19.5" customHeight="1">
      <c r="A2" s="5" t="s">
        <v>0</v>
      </c>
      <c r="B2" s="6"/>
      <c r="C2" s="7"/>
      <c r="D2" s="8" t="s">
        <v>1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10"/>
      <c r="Z2" s="11"/>
      <c r="AA2" s="12"/>
      <c r="AB2" s="12"/>
      <c r="AD2" s="13"/>
      <c r="AP2" s="14"/>
      <c r="AQ2" s="14"/>
      <c r="AR2" s="14"/>
    </row>
    <row r="3" ht="30.0" customHeight="1">
      <c r="A3" s="15"/>
      <c r="B3" s="16"/>
      <c r="C3" s="17"/>
      <c r="D3" s="18" t="s">
        <v>2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19"/>
      <c r="X3" s="20"/>
      <c r="Y3" s="21" t="s">
        <v>3</v>
      </c>
      <c r="Z3" s="22"/>
      <c r="AA3" s="12"/>
      <c r="AB3" s="23"/>
      <c r="AR3" s="14"/>
    </row>
    <row r="4" ht="15.0" customHeight="1">
      <c r="A4" s="24" t="s">
        <v>4</v>
      </c>
      <c r="B4" s="9"/>
      <c r="C4" s="19"/>
      <c r="D4" s="25" t="s">
        <v>5</v>
      </c>
      <c r="E4" s="26"/>
      <c r="F4" s="26"/>
      <c r="G4" s="27"/>
      <c r="H4" s="25" t="s">
        <v>6</v>
      </c>
      <c r="I4" s="26"/>
      <c r="J4" s="26"/>
      <c r="K4" s="27"/>
      <c r="L4" s="25" t="s">
        <v>7</v>
      </c>
      <c r="M4" s="26"/>
      <c r="N4" s="26"/>
      <c r="O4" s="27"/>
      <c r="P4" s="25" t="s">
        <v>8</v>
      </c>
      <c r="Q4" s="26"/>
      <c r="R4" s="26"/>
      <c r="S4" s="27"/>
      <c r="T4" s="25" t="s">
        <v>9</v>
      </c>
      <c r="U4" s="26"/>
      <c r="V4" s="26"/>
      <c r="W4" s="27"/>
      <c r="X4" s="28"/>
      <c r="Y4" s="29" t="s">
        <v>10</v>
      </c>
      <c r="Z4" s="22"/>
      <c r="AA4" s="12"/>
      <c r="AB4" s="30"/>
    </row>
    <row r="5" ht="17.25" customHeight="1">
      <c r="A5" s="31" t="s">
        <v>11</v>
      </c>
      <c r="B5" s="9"/>
      <c r="C5" s="19"/>
      <c r="D5" s="32">
        <v>30.0</v>
      </c>
      <c r="E5" s="32">
        <v>20.0</v>
      </c>
      <c r="F5" s="32"/>
      <c r="G5" s="33">
        <v>20.0</v>
      </c>
      <c r="H5" s="32">
        <v>20.0</v>
      </c>
      <c r="I5" s="32">
        <v>20.0</v>
      </c>
      <c r="J5" s="32"/>
      <c r="K5" s="33">
        <v>20.0</v>
      </c>
      <c r="L5" s="32">
        <v>30.0</v>
      </c>
      <c r="M5" s="32">
        <v>20.0</v>
      </c>
      <c r="N5" s="32"/>
      <c r="O5" s="33">
        <v>20.0</v>
      </c>
      <c r="P5" s="32">
        <v>20.0</v>
      </c>
      <c r="Q5" s="32">
        <v>20.0</v>
      </c>
      <c r="R5" s="32"/>
      <c r="S5" s="33">
        <v>20.0</v>
      </c>
      <c r="T5" s="32">
        <v>20.0</v>
      </c>
      <c r="U5" s="32"/>
      <c r="V5" s="32"/>
      <c r="W5" s="33">
        <v>20.0</v>
      </c>
      <c r="X5" s="28"/>
      <c r="Y5" s="34">
        <v>100.0</v>
      </c>
      <c r="Z5" s="22"/>
      <c r="AA5" s="12"/>
      <c r="AG5" s="35"/>
      <c r="AH5" s="35"/>
      <c r="AI5" s="35"/>
      <c r="AJ5" s="36"/>
    </row>
    <row r="6" ht="91.5" customHeight="1">
      <c r="A6" s="37" t="s">
        <v>12</v>
      </c>
      <c r="B6" s="37" t="s">
        <v>13</v>
      </c>
      <c r="C6" s="37" t="s">
        <v>14</v>
      </c>
      <c r="D6" s="38" t="s">
        <v>15</v>
      </c>
      <c r="E6" s="38" t="s">
        <v>16</v>
      </c>
      <c r="F6" s="38"/>
      <c r="G6" s="39" t="s">
        <v>17</v>
      </c>
      <c r="H6" s="38" t="s">
        <v>15</v>
      </c>
      <c r="I6" s="38" t="s">
        <v>16</v>
      </c>
      <c r="J6" s="38"/>
      <c r="K6" s="39" t="s">
        <v>17</v>
      </c>
      <c r="L6" s="38" t="s">
        <v>18</v>
      </c>
      <c r="M6" s="38" t="s">
        <v>16</v>
      </c>
      <c r="N6" s="38"/>
      <c r="O6" s="39" t="s">
        <v>17</v>
      </c>
      <c r="P6" s="38" t="s">
        <v>18</v>
      </c>
      <c r="Q6" s="38" t="s">
        <v>16</v>
      </c>
      <c r="R6" s="38"/>
      <c r="S6" s="39" t="s">
        <v>17</v>
      </c>
      <c r="T6" s="38" t="s">
        <v>16</v>
      </c>
      <c r="U6" s="38"/>
      <c r="V6" s="38"/>
      <c r="W6" s="39" t="s">
        <v>17</v>
      </c>
      <c r="X6" s="28"/>
      <c r="Y6" s="40" t="s">
        <v>19</v>
      </c>
      <c r="Z6" s="22"/>
      <c r="AA6" s="35"/>
      <c r="AB6" s="23" t="s">
        <v>20</v>
      </c>
    </row>
    <row r="7" ht="16.5" customHeight="1">
      <c r="A7" s="41">
        <v>1.0</v>
      </c>
      <c r="B7" s="42"/>
      <c r="C7" s="43"/>
      <c r="D7" s="44">
        <v>25.0</v>
      </c>
      <c r="E7" s="44">
        <v>7.0</v>
      </c>
      <c r="F7" s="45"/>
      <c r="G7" s="46">
        <f t="shared" ref="G7:G141" si="1">IFERROR(ROUND((SUM(D7:F7)/SUM(D$5:F$5))*G$5,0),0)</f>
        <v>13</v>
      </c>
      <c r="H7" s="44">
        <v>10.0</v>
      </c>
      <c r="I7" s="44">
        <v>15.0</v>
      </c>
      <c r="J7" s="45"/>
      <c r="K7" s="46">
        <f t="shared" ref="K7:K141" si="2">IFERROR(ROUND((SUM(H7:J7)/SUM(H$5:J$5))*K$5,0),0)</f>
        <v>13</v>
      </c>
      <c r="L7" s="44">
        <v>16.0</v>
      </c>
      <c r="M7" s="44">
        <v>10.0</v>
      </c>
      <c r="N7" s="44"/>
      <c r="O7" s="46">
        <f t="shared" ref="O7:O141" si="3">IFERROR(ROUND((SUM(L7:N7)/SUM(L$5:N$5))*O$5,0),0)</f>
        <v>10</v>
      </c>
      <c r="P7" s="32">
        <v>10.0</v>
      </c>
      <c r="Q7" s="32">
        <v>15.0</v>
      </c>
      <c r="R7" s="44"/>
      <c r="S7" s="46">
        <f t="shared" ref="S7:S141" si="4">IFERROR(ROUND((SUM(P7:R7)/SUM(P$5:R$5))*S$5,0),0)</f>
        <v>13</v>
      </c>
      <c r="T7" s="32">
        <v>20.0</v>
      </c>
      <c r="U7" s="32"/>
      <c r="V7" s="44"/>
      <c r="W7" s="46">
        <f t="shared" ref="W7:W141" si="5">IFERROR(ROUND((SUM(T7:V7)/SUM(T$5:V$5))*W$5,0),0)</f>
        <v>20</v>
      </c>
      <c r="X7" s="28"/>
      <c r="Y7" s="47"/>
      <c r="Z7" s="22"/>
      <c r="AA7" s="48"/>
      <c r="AB7" s="13"/>
      <c r="AC7" s="49" t="s">
        <v>21</v>
      </c>
      <c r="AD7" s="13"/>
      <c r="AE7" s="50"/>
      <c r="AF7" s="35"/>
      <c r="AG7" s="13"/>
      <c r="AH7" s="13"/>
      <c r="AI7" s="13"/>
      <c r="AJ7" s="13"/>
      <c r="AK7" s="13"/>
      <c r="AL7" s="13"/>
      <c r="AM7" s="13"/>
      <c r="AN7" s="13"/>
      <c r="AO7" s="51"/>
      <c r="AP7" s="52"/>
      <c r="AQ7" s="36"/>
      <c r="AR7" s="36"/>
      <c r="AS7" s="36"/>
      <c r="AT7" s="36"/>
      <c r="AU7" s="36"/>
      <c r="AV7" s="36"/>
      <c r="AW7" s="36"/>
      <c r="AX7" s="36"/>
      <c r="AY7" s="36"/>
      <c r="AZ7" s="36"/>
    </row>
    <row r="8" ht="16.5" customHeight="1">
      <c r="A8" s="41">
        <v>2.0</v>
      </c>
      <c r="B8" s="42"/>
      <c r="C8" s="43"/>
      <c r="D8" s="44"/>
      <c r="E8" s="44"/>
      <c r="F8" s="45"/>
      <c r="G8" s="46">
        <f t="shared" si="1"/>
        <v>0</v>
      </c>
      <c r="H8" s="44"/>
      <c r="I8" s="44"/>
      <c r="J8" s="45"/>
      <c r="K8" s="46">
        <f t="shared" si="2"/>
        <v>0</v>
      </c>
      <c r="L8" s="44"/>
      <c r="M8" s="44"/>
      <c r="N8" s="44"/>
      <c r="O8" s="46">
        <f t="shared" si="3"/>
        <v>0</v>
      </c>
      <c r="P8" s="32"/>
      <c r="Q8" s="32"/>
      <c r="R8" s="44"/>
      <c r="S8" s="46">
        <f t="shared" si="4"/>
        <v>0</v>
      </c>
      <c r="T8" s="32"/>
      <c r="U8" s="32"/>
      <c r="V8" s="44"/>
      <c r="W8" s="46">
        <f t="shared" si="5"/>
        <v>0</v>
      </c>
      <c r="X8" s="28"/>
      <c r="Y8" s="53"/>
      <c r="Z8" s="22"/>
      <c r="AA8" s="48"/>
      <c r="AB8" s="13"/>
      <c r="AC8" s="49" t="s">
        <v>22</v>
      </c>
      <c r="AD8" s="13"/>
      <c r="AE8" s="50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</row>
    <row r="9" ht="16.5" customHeight="1">
      <c r="A9" s="41">
        <v>3.0</v>
      </c>
      <c r="B9" s="42"/>
      <c r="C9" s="43"/>
      <c r="D9" s="44"/>
      <c r="E9" s="44"/>
      <c r="F9" s="45"/>
      <c r="G9" s="46">
        <f t="shared" si="1"/>
        <v>0</v>
      </c>
      <c r="H9" s="44"/>
      <c r="I9" s="44"/>
      <c r="J9" s="45"/>
      <c r="K9" s="46">
        <f t="shared" si="2"/>
        <v>0</v>
      </c>
      <c r="L9" s="44"/>
      <c r="M9" s="44"/>
      <c r="N9" s="44"/>
      <c r="O9" s="46">
        <f t="shared" si="3"/>
        <v>0</v>
      </c>
      <c r="P9" s="32"/>
      <c r="Q9" s="32"/>
      <c r="R9" s="44"/>
      <c r="S9" s="46">
        <f t="shared" si="4"/>
        <v>0</v>
      </c>
      <c r="T9" s="32"/>
      <c r="U9" s="32"/>
      <c r="V9" s="44"/>
      <c r="W9" s="46">
        <f t="shared" si="5"/>
        <v>0</v>
      </c>
      <c r="X9" s="28"/>
      <c r="Y9" s="53"/>
      <c r="Z9" s="22"/>
      <c r="AA9" s="48"/>
      <c r="AB9" s="13"/>
      <c r="AC9" s="49" t="s">
        <v>23</v>
      </c>
      <c r="AD9" s="13"/>
      <c r="AE9" s="50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</row>
    <row r="10" ht="16.5" customHeight="1">
      <c r="A10" s="41">
        <v>4.0</v>
      </c>
      <c r="B10" s="42"/>
      <c r="C10" s="43"/>
      <c r="D10" s="44"/>
      <c r="E10" s="44"/>
      <c r="F10" s="45"/>
      <c r="G10" s="46">
        <f t="shared" si="1"/>
        <v>0</v>
      </c>
      <c r="H10" s="44"/>
      <c r="I10" s="44"/>
      <c r="J10" s="45"/>
      <c r="K10" s="46">
        <f t="shared" si="2"/>
        <v>0</v>
      </c>
      <c r="L10" s="44"/>
      <c r="M10" s="44"/>
      <c r="N10" s="44"/>
      <c r="O10" s="46">
        <f t="shared" si="3"/>
        <v>0</v>
      </c>
      <c r="P10" s="32"/>
      <c r="Q10" s="32"/>
      <c r="R10" s="44"/>
      <c r="S10" s="46">
        <f t="shared" si="4"/>
        <v>0</v>
      </c>
      <c r="T10" s="32"/>
      <c r="U10" s="32"/>
      <c r="V10" s="44"/>
      <c r="W10" s="46">
        <f t="shared" si="5"/>
        <v>0</v>
      </c>
      <c r="X10" s="28"/>
      <c r="Y10" s="53"/>
      <c r="Z10" s="22"/>
      <c r="AA10" s="48"/>
      <c r="AB10" s="13"/>
      <c r="AC10" s="49" t="s">
        <v>24</v>
      </c>
      <c r="AD10" s="13"/>
      <c r="AE10" s="50" t="s">
        <v>25</v>
      </c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</row>
    <row r="11" ht="16.5" customHeight="1">
      <c r="A11" s="41">
        <v>5.0</v>
      </c>
      <c r="B11" s="42"/>
      <c r="C11" s="43"/>
      <c r="D11" s="44"/>
      <c r="E11" s="44"/>
      <c r="F11" s="45"/>
      <c r="G11" s="46">
        <f t="shared" si="1"/>
        <v>0</v>
      </c>
      <c r="H11" s="44"/>
      <c r="I11" s="44"/>
      <c r="J11" s="45"/>
      <c r="K11" s="46">
        <f t="shared" si="2"/>
        <v>0</v>
      </c>
      <c r="L11" s="44"/>
      <c r="M11" s="44"/>
      <c r="N11" s="44"/>
      <c r="O11" s="46">
        <f t="shared" si="3"/>
        <v>0</v>
      </c>
      <c r="P11" s="32"/>
      <c r="Q11" s="32"/>
      <c r="R11" s="44"/>
      <c r="S11" s="46">
        <f t="shared" si="4"/>
        <v>0</v>
      </c>
      <c r="T11" s="32"/>
      <c r="U11" s="32"/>
      <c r="V11" s="44"/>
      <c r="W11" s="46">
        <f t="shared" si="5"/>
        <v>0</v>
      </c>
      <c r="X11" s="28"/>
      <c r="Y11" s="53"/>
      <c r="Z11" s="22"/>
      <c r="AA11" s="48"/>
      <c r="AB11" s="13"/>
      <c r="AC11" s="49" t="s">
        <v>26</v>
      </c>
      <c r="AD11" s="13"/>
      <c r="AE11" s="50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</row>
    <row r="12" ht="16.5" customHeight="1">
      <c r="A12" s="41">
        <v>6.0</v>
      </c>
      <c r="B12" s="42"/>
      <c r="C12" s="43"/>
      <c r="D12" s="44"/>
      <c r="E12" s="44"/>
      <c r="F12" s="45"/>
      <c r="G12" s="46">
        <f t="shared" si="1"/>
        <v>0</v>
      </c>
      <c r="H12" s="44"/>
      <c r="I12" s="44"/>
      <c r="J12" s="45"/>
      <c r="K12" s="46">
        <f t="shared" si="2"/>
        <v>0</v>
      </c>
      <c r="L12" s="44"/>
      <c r="M12" s="44"/>
      <c r="N12" s="44"/>
      <c r="O12" s="46">
        <f t="shared" si="3"/>
        <v>0</v>
      </c>
      <c r="P12" s="32"/>
      <c r="Q12" s="32"/>
      <c r="R12" s="44"/>
      <c r="S12" s="46">
        <f t="shared" si="4"/>
        <v>0</v>
      </c>
      <c r="T12" s="32"/>
      <c r="U12" s="32"/>
      <c r="V12" s="44"/>
      <c r="W12" s="46">
        <f t="shared" si="5"/>
        <v>0</v>
      </c>
      <c r="X12" s="28"/>
      <c r="Y12" s="53"/>
      <c r="Z12" s="22"/>
      <c r="AA12" s="48"/>
      <c r="AB12" s="13"/>
      <c r="AC12" s="49" t="s">
        <v>27</v>
      </c>
      <c r="AD12" s="13"/>
      <c r="AE12" s="50" t="s">
        <v>28</v>
      </c>
      <c r="AF12" s="13"/>
      <c r="AG12" s="13"/>
      <c r="AH12" s="13"/>
      <c r="AI12" s="13"/>
      <c r="AJ12" s="13"/>
      <c r="AK12" s="13"/>
      <c r="AL12" s="13"/>
      <c r="AM12" s="13"/>
      <c r="AN12" s="13"/>
      <c r="AO12" s="54"/>
      <c r="AP12" s="3"/>
      <c r="AQ12" s="3"/>
      <c r="AR12" s="14"/>
    </row>
    <row r="13" ht="16.5" customHeight="1">
      <c r="A13" s="41">
        <v>7.0</v>
      </c>
      <c r="B13" s="42"/>
      <c r="C13" s="43"/>
      <c r="D13" s="44"/>
      <c r="E13" s="44"/>
      <c r="F13" s="45"/>
      <c r="G13" s="46">
        <f t="shared" si="1"/>
        <v>0</v>
      </c>
      <c r="H13" s="44"/>
      <c r="I13" s="44"/>
      <c r="J13" s="45"/>
      <c r="K13" s="46">
        <f t="shared" si="2"/>
        <v>0</v>
      </c>
      <c r="L13" s="44"/>
      <c r="M13" s="44"/>
      <c r="N13" s="44"/>
      <c r="O13" s="46">
        <f t="shared" si="3"/>
        <v>0</v>
      </c>
      <c r="P13" s="32"/>
      <c r="Q13" s="32"/>
      <c r="R13" s="44"/>
      <c r="S13" s="46">
        <f t="shared" si="4"/>
        <v>0</v>
      </c>
      <c r="T13" s="32"/>
      <c r="U13" s="32"/>
      <c r="V13" s="44"/>
      <c r="W13" s="46">
        <f t="shared" si="5"/>
        <v>0</v>
      </c>
      <c r="X13" s="28"/>
      <c r="Y13" s="53"/>
      <c r="Z13" s="22"/>
      <c r="AA13" s="48"/>
      <c r="AB13" s="13"/>
      <c r="AC13" s="49" t="s">
        <v>29</v>
      </c>
      <c r="AD13" s="13"/>
      <c r="AE13" s="50" t="s">
        <v>30</v>
      </c>
      <c r="AF13" s="13"/>
      <c r="AG13" s="13"/>
      <c r="AH13" s="13"/>
      <c r="AI13" s="13"/>
      <c r="AJ13" s="13"/>
      <c r="AK13" s="13"/>
      <c r="AL13" s="13"/>
      <c r="AM13" s="13"/>
      <c r="AN13" s="13"/>
      <c r="AO13" s="54"/>
      <c r="AP13" s="3"/>
      <c r="AQ13" s="3"/>
      <c r="AR13" s="14"/>
    </row>
    <row r="14" ht="16.5" customHeight="1">
      <c r="A14" s="41">
        <v>8.0</v>
      </c>
      <c r="B14" s="42"/>
      <c r="C14" s="43"/>
      <c r="D14" s="44"/>
      <c r="E14" s="44"/>
      <c r="F14" s="45"/>
      <c r="G14" s="46">
        <f t="shared" si="1"/>
        <v>0</v>
      </c>
      <c r="H14" s="44"/>
      <c r="I14" s="44"/>
      <c r="J14" s="45"/>
      <c r="K14" s="46">
        <f t="shared" si="2"/>
        <v>0</v>
      </c>
      <c r="L14" s="44"/>
      <c r="M14" s="44"/>
      <c r="N14" s="44"/>
      <c r="O14" s="46">
        <f t="shared" si="3"/>
        <v>0</v>
      </c>
      <c r="P14" s="32"/>
      <c r="Q14" s="32"/>
      <c r="R14" s="44"/>
      <c r="S14" s="46">
        <f t="shared" si="4"/>
        <v>0</v>
      </c>
      <c r="T14" s="32"/>
      <c r="U14" s="32"/>
      <c r="V14" s="44"/>
      <c r="W14" s="46">
        <f t="shared" si="5"/>
        <v>0</v>
      </c>
      <c r="X14" s="28"/>
      <c r="Y14" s="53"/>
      <c r="Z14" s="22"/>
      <c r="AA14" s="48"/>
      <c r="AB14" s="48"/>
      <c r="AC14" s="48"/>
      <c r="AD14" s="48"/>
      <c r="AE14" s="48"/>
      <c r="AF14" s="13"/>
      <c r="AG14" s="13"/>
      <c r="AH14" s="55"/>
      <c r="AI14" s="55"/>
      <c r="AJ14" s="56"/>
      <c r="AK14" s="57"/>
      <c r="AL14" s="57"/>
      <c r="AM14" s="57"/>
      <c r="AN14" s="57"/>
      <c r="AO14" s="54"/>
      <c r="AP14" s="3"/>
      <c r="AQ14" s="3"/>
      <c r="AR14" s="14"/>
    </row>
    <row r="15" ht="16.5" customHeight="1">
      <c r="A15" s="41">
        <v>9.0</v>
      </c>
      <c r="B15" s="42"/>
      <c r="C15" s="43"/>
      <c r="D15" s="44"/>
      <c r="E15" s="44"/>
      <c r="F15" s="45"/>
      <c r="G15" s="46">
        <f t="shared" si="1"/>
        <v>0</v>
      </c>
      <c r="H15" s="44"/>
      <c r="I15" s="44"/>
      <c r="J15" s="45"/>
      <c r="K15" s="46">
        <f t="shared" si="2"/>
        <v>0</v>
      </c>
      <c r="L15" s="44"/>
      <c r="M15" s="44"/>
      <c r="N15" s="44"/>
      <c r="O15" s="46">
        <f t="shared" si="3"/>
        <v>0</v>
      </c>
      <c r="P15" s="32"/>
      <c r="Q15" s="32"/>
      <c r="R15" s="44"/>
      <c r="S15" s="46">
        <f t="shared" si="4"/>
        <v>0</v>
      </c>
      <c r="T15" s="32"/>
      <c r="U15" s="32"/>
      <c r="V15" s="44"/>
      <c r="W15" s="46">
        <f t="shared" si="5"/>
        <v>0</v>
      </c>
      <c r="X15" s="28"/>
      <c r="Y15" s="53"/>
      <c r="Z15" s="22"/>
      <c r="AA15" s="48"/>
      <c r="AB15" s="58" t="s">
        <v>31</v>
      </c>
      <c r="AC15" s="7"/>
      <c r="AD15" s="59">
        <v>1.0</v>
      </c>
      <c r="AE15" s="60">
        <v>50.0</v>
      </c>
      <c r="AF15" s="61" t="s">
        <v>32</v>
      </c>
      <c r="AG15" s="9"/>
      <c r="AH15" s="9"/>
      <c r="AI15" s="9"/>
      <c r="AJ15" s="9"/>
      <c r="AK15" s="9"/>
      <c r="AL15" s="9"/>
      <c r="AM15" s="9"/>
      <c r="AN15" s="9"/>
      <c r="AO15" s="19"/>
      <c r="AP15" s="3"/>
      <c r="AQ15" s="3"/>
      <c r="AR15" s="14"/>
    </row>
    <row r="16" ht="16.5" customHeight="1">
      <c r="A16" s="41">
        <v>10.0</v>
      </c>
      <c r="B16" s="42"/>
      <c r="C16" s="43"/>
      <c r="D16" s="44"/>
      <c r="E16" s="44"/>
      <c r="F16" s="45"/>
      <c r="G16" s="46">
        <f t="shared" si="1"/>
        <v>0</v>
      </c>
      <c r="H16" s="44"/>
      <c r="I16" s="44"/>
      <c r="J16" s="45"/>
      <c r="K16" s="46">
        <f t="shared" si="2"/>
        <v>0</v>
      </c>
      <c r="L16" s="44"/>
      <c r="M16" s="44"/>
      <c r="N16" s="44"/>
      <c r="O16" s="46">
        <f t="shared" si="3"/>
        <v>0</v>
      </c>
      <c r="P16" s="32"/>
      <c r="Q16" s="32"/>
      <c r="R16" s="44"/>
      <c r="S16" s="46">
        <f t="shared" si="4"/>
        <v>0</v>
      </c>
      <c r="T16" s="32"/>
      <c r="U16" s="32"/>
      <c r="V16" s="44"/>
      <c r="W16" s="46">
        <f t="shared" si="5"/>
        <v>0</v>
      </c>
      <c r="X16" s="28"/>
      <c r="Y16" s="53"/>
      <c r="Z16" s="22"/>
      <c r="AA16" s="48"/>
      <c r="AB16" s="62"/>
      <c r="AC16" s="63"/>
      <c r="AD16" s="59">
        <v>2.0</v>
      </c>
      <c r="AE16" s="60">
        <v>60.0</v>
      </c>
      <c r="AF16" s="61" t="s">
        <v>32</v>
      </c>
      <c r="AG16" s="9"/>
      <c r="AH16" s="9"/>
      <c r="AI16" s="9"/>
      <c r="AJ16" s="9"/>
      <c r="AK16" s="9"/>
      <c r="AL16" s="9"/>
      <c r="AM16" s="9"/>
      <c r="AN16" s="9"/>
      <c r="AO16" s="19"/>
      <c r="AP16" s="3"/>
      <c r="AQ16" s="3"/>
      <c r="AR16" s="14"/>
    </row>
    <row r="17" ht="16.5" customHeight="1">
      <c r="A17" s="41">
        <v>11.0</v>
      </c>
      <c r="B17" s="42"/>
      <c r="C17" s="43"/>
      <c r="D17" s="44"/>
      <c r="E17" s="44"/>
      <c r="F17" s="45"/>
      <c r="G17" s="46">
        <f t="shared" si="1"/>
        <v>0</v>
      </c>
      <c r="H17" s="44"/>
      <c r="I17" s="44"/>
      <c r="J17" s="45"/>
      <c r="K17" s="46">
        <f t="shared" si="2"/>
        <v>0</v>
      </c>
      <c r="L17" s="44"/>
      <c r="M17" s="44"/>
      <c r="N17" s="44"/>
      <c r="O17" s="46">
        <f t="shared" si="3"/>
        <v>0</v>
      </c>
      <c r="P17" s="32"/>
      <c r="Q17" s="32"/>
      <c r="R17" s="44"/>
      <c r="S17" s="46">
        <f t="shared" si="4"/>
        <v>0</v>
      </c>
      <c r="T17" s="32"/>
      <c r="U17" s="32"/>
      <c r="V17" s="44"/>
      <c r="W17" s="46">
        <f t="shared" si="5"/>
        <v>0</v>
      </c>
      <c r="X17" s="28"/>
      <c r="Y17" s="53"/>
      <c r="Z17" s="22"/>
      <c r="AA17" s="48"/>
      <c r="AB17" s="64"/>
      <c r="AC17" s="65"/>
      <c r="AD17" s="59">
        <v>3.0</v>
      </c>
      <c r="AE17" s="66">
        <v>70.0</v>
      </c>
      <c r="AF17" s="67" t="s">
        <v>32</v>
      </c>
      <c r="AG17" s="9"/>
      <c r="AH17" s="9"/>
      <c r="AI17" s="9"/>
      <c r="AJ17" s="9"/>
      <c r="AK17" s="9"/>
      <c r="AL17" s="9"/>
      <c r="AM17" s="9"/>
      <c r="AN17" s="9"/>
      <c r="AO17" s="19"/>
      <c r="AP17" s="3"/>
      <c r="AQ17" s="3"/>
      <c r="AR17" s="14"/>
    </row>
    <row r="18" ht="16.5" customHeight="1">
      <c r="A18" s="41">
        <v>12.0</v>
      </c>
      <c r="B18" s="42"/>
      <c r="C18" s="43"/>
      <c r="D18" s="44"/>
      <c r="E18" s="44"/>
      <c r="F18" s="45"/>
      <c r="G18" s="46">
        <f t="shared" si="1"/>
        <v>0</v>
      </c>
      <c r="H18" s="44"/>
      <c r="I18" s="44"/>
      <c r="J18" s="45"/>
      <c r="K18" s="46">
        <f t="shared" si="2"/>
        <v>0</v>
      </c>
      <c r="L18" s="44"/>
      <c r="M18" s="44"/>
      <c r="N18" s="44"/>
      <c r="O18" s="46">
        <f t="shared" si="3"/>
        <v>0</v>
      </c>
      <c r="P18" s="32"/>
      <c r="Q18" s="32"/>
      <c r="R18" s="44"/>
      <c r="S18" s="46">
        <f t="shared" si="4"/>
        <v>0</v>
      </c>
      <c r="T18" s="32"/>
      <c r="U18" s="32"/>
      <c r="V18" s="44"/>
      <c r="W18" s="46">
        <f t="shared" si="5"/>
        <v>0</v>
      </c>
      <c r="X18" s="28"/>
      <c r="Y18" s="53"/>
      <c r="Z18" s="22"/>
      <c r="AA18" s="48"/>
      <c r="AB18" s="68" t="s">
        <v>33</v>
      </c>
      <c r="AC18" s="9"/>
      <c r="AD18" s="9"/>
      <c r="AE18" s="9"/>
      <c r="AF18" s="9"/>
      <c r="AG18" s="9"/>
      <c r="AH18" s="9"/>
      <c r="AI18" s="10"/>
      <c r="AJ18" s="69" t="s">
        <v>34</v>
      </c>
      <c r="AK18" s="9"/>
      <c r="AL18" s="9"/>
      <c r="AM18" s="9"/>
      <c r="AN18" s="9"/>
      <c r="AO18" s="19"/>
      <c r="AP18" s="3"/>
      <c r="AQ18" s="3"/>
      <c r="AR18" s="14"/>
    </row>
    <row r="19" ht="16.5" customHeight="1">
      <c r="A19" s="41">
        <v>13.0</v>
      </c>
      <c r="B19" s="42"/>
      <c r="C19" s="43"/>
      <c r="D19" s="44"/>
      <c r="E19" s="44"/>
      <c r="F19" s="45"/>
      <c r="G19" s="46">
        <f t="shared" si="1"/>
        <v>0</v>
      </c>
      <c r="H19" s="44"/>
      <c r="I19" s="44"/>
      <c r="J19" s="45"/>
      <c r="K19" s="46">
        <f t="shared" si="2"/>
        <v>0</v>
      </c>
      <c r="L19" s="44"/>
      <c r="M19" s="44"/>
      <c r="N19" s="44"/>
      <c r="O19" s="46">
        <f t="shared" si="3"/>
        <v>0</v>
      </c>
      <c r="P19" s="32"/>
      <c r="Q19" s="32"/>
      <c r="R19" s="44"/>
      <c r="S19" s="46">
        <f t="shared" si="4"/>
        <v>0</v>
      </c>
      <c r="T19" s="32"/>
      <c r="U19" s="32"/>
      <c r="V19" s="44"/>
      <c r="W19" s="46">
        <f t="shared" si="5"/>
        <v>0</v>
      </c>
      <c r="X19" s="28"/>
      <c r="Y19" s="53"/>
      <c r="Z19" s="22"/>
      <c r="AA19" s="48"/>
      <c r="AB19" s="70" t="s">
        <v>2</v>
      </c>
      <c r="AC19" s="9"/>
      <c r="AD19" s="9"/>
      <c r="AE19" s="9"/>
      <c r="AF19" s="9"/>
      <c r="AG19" s="9"/>
      <c r="AH19" s="19"/>
      <c r="AI19" s="71">
        <v>0.2</v>
      </c>
      <c r="AJ19" s="72">
        <v>0.9</v>
      </c>
      <c r="AK19" s="6"/>
      <c r="AL19" s="6"/>
      <c r="AM19" s="6"/>
      <c r="AN19" s="6"/>
      <c r="AO19" s="7"/>
      <c r="AP19" s="3"/>
      <c r="AQ19" s="3"/>
      <c r="AR19" s="14"/>
    </row>
    <row r="20" ht="16.5" customHeight="1">
      <c r="A20" s="41">
        <v>14.0</v>
      </c>
      <c r="B20" s="42"/>
      <c r="C20" s="43"/>
      <c r="D20" s="44"/>
      <c r="E20" s="44"/>
      <c r="F20" s="45"/>
      <c r="G20" s="46">
        <f t="shared" si="1"/>
        <v>0</v>
      </c>
      <c r="H20" s="44"/>
      <c r="I20" s="44"/>
      <c r="J20" s="45"/>
      <c r="K20" s="46">
        <f t="shared" si="2"/>
        <v>0</v>
      </c>
      <c r="L20" s="44"/>
      <c r="M20" s="44"/>
      <c r="N20" s="44"/>
      <c r="O20" s="46">
        <f t="shared" si="3"/>
        <v>0</v>
      </c>
      <c r="P20" s="32"/>
      <c r="Q20" s="32"/>
      <c r="R20" s="44"/>
      <c r="S20" s="46">
        <f t="shared" si="4"/>
        <v>0</v>
      </c>
      <c r="T20" s="32"/>
      <c r="U20" s="32"/>
      <c r="V20" s="44"/>
      <c r="W20" s="46">
        <f t="shared" si="5"/>
        <v>0</v>
      </c>
      <c r="X20" s="28"/>
      <c r="Y20" s="53"/>
      <c r="Z20" s="22"/>
      <c r="AA20" s="48"/>
      <c r="AB20" s="70" t="s">
        <v>3</v>
      </c>
      <c r="AC20" s="9"/>
      <c r="AD20" s="9"/>
      <c r="AE20" s="9"/>
      <c r="AF20" s="9"/>
      <c r="AG20" s="9"/>
      <c r="AH20" s="19"/>
      <c r="AI20" s="71">
        <v>0.8</v>
      </c>
      <c r="AJ20" s="64"/>
      <c r="AK20" s="73"/>
      <c r="AL20" s="73"/>
      <c r="AM20" s="73"/>
      <c r="AN20" s="73"/>
      <c r="AO20" s="65"/>
      <c r="AP20" s="3"/>
      <c r="AQ20" s="3"/>
      <c r="AR20" s="14"/>
    </row>
    <row r="21" ht="16.5" customHeight="1">
      <c r="A21" s="41">
        <v>15.0</v>
      </c>
      <c r="B21" s="42"/>
      <c r="C21" s="43"/>
      <c r="D21" s="44"/>
      <c r="E21" s="44"/>
      <c r="F21" s="45"/>
      <c r="G21" s="46">
        <f t="shared" si="1"/>
        <v>0</v>
      </c>
      <c r="H21" s="44"/>
      <c r="I21" s="44"/>
      <c r="J21" s="45"/>
      <c r="K21" s="46">
        <f t="shared" si="2"/>
        <v>0</v>
      </c>
      <c r="L21" s="44"/>
      <c r="M21" s="44"/>
      <c r="N21" s="44"/>
      <c r="O21" s="46">
        <f t="shared" si="3"/>
        <v>0</v>
      </c>
      <c r="P21" s="32"/>
      <c r="Q21" s="32"/>
      <c r="R21" s="44"/>
      <c r="S21" s="46">
        <f t="shared" si="4"/>
        <v>0</v>
      </c>
      <c r="T21" s="32"/>
      <c r="U21" s="32"/>
      <c r="V21" s="44"/>
      <c r="W21" s="46">
        <f t="shared" si="5"/>
        <v>0</v>
      </c>
      <c r="X21" s="28"/>
      <c r="Y21" s="53"/>
      <c r="Z21" s="22"/>
      <c r="AA21" s="48"/>
      <c r="AB21" s="74" t="s">
        <v>35</v>
      </c>
      <c r="AC21" s="9"/>
      <c r="AD21" s="9"/>
      <c r="AE21" s="9"/>
      <c r="AF21" s="9"/>
      <c r="AG21" s="9"/>
      <c r="AH21" s="9"/>
      <c r="AI21" s="10"/>
      <c r="AJ21" s="75">
        <v>0.1</v>
      </c>
      <c r="AK21" s="9"/>
      <c r="AL21" s="9"/>
      <c r="AM21" s="9"/>
      <c r="AN21" s="9"/>
      <c r="AO21" s="19"/>
      <c r="AP21" s="3"/>
      <c r="AQ21" s="3"/>
      <c r="AR21" s="14"/>
    </row>
    <row r="22" ht="16.5" customHeight="1">
      <c r="A22" s="41">
        <v>16.0</v>
      </c>
      <c r="B22" s="42"/>
      <c r="C22" s="43"/>
      <c r="D22" s="44"/>
      <c r="E22" s="44"/>
      <c r="F22" s="45"/>
      <c r="G22" s="46">
        <f t="shared" si="1"/>
        <v>0</v>
      </c>
      <c r="H22" s="44"/>
      <c r="I22" s="44"/>
      <c r="J22" s="45"/>
      <c r="K22" s="46">
        <f t="shared" si="2"/>
        <v>0</v>
      </c>
      <c r="L22" s="44"/>
      <c r="M22" s="44"/>
      <c r="N22" s="44"/>
      <c r="O22" s="46">
        <f t="shared" si="3"/>
        <v>0</v>
      </c>
      <c r="P22" s="32"/>
      <c r="Q22" s="32"/>
      <c r="R22" s="44"/>
      <c r="S22" s="46">
        <f t="shared" si="4"/>
        <v>0</v>
      </c>
      <c r="T22" s="32"/>
      <c r="U22" s="32"/>
      <c r="V22" s="44"/>
      <c r="W22" s="46">
        <f t="shared" si="5"/>
        <v>0</v>
      </c>
      <c r="X22" s="28"/>
      <c r="Y22" s="53"/>
      <c r="Z22" s="22"/>
      <c r="AA22" s="48"/>
      <c r="AB22" s="13"/>
      <c r="AC22" s="13"/>
      <c r="AD22" s="76"/>
      <c r="AE22" s="76"/>
      <c r="AF22" s="13"/>
      <c r="AG22" s="76"/>
      <c r="AH22" s="76"/>
      <c r="AI22" s="76"/>
      <c r="AJ22" s="51"/>
      <c r="AK22" s="36"/>
      <c r="AL22" s="36"/>
      <c r="AM22" s="36"/>
      <c r="AN22" s="13"/>
      <c r="AO22" s="54"/>
      <c r="AP22" s="3"/>
      <c r="AQ22" s="3"/>
      <c r="AR22" s="14"/>
    </row>
    <row r="23" ht="16.5" customHeight="1">
      <c r="A23" s="41">
        <v>17.0</v>
      </c>
      <c r="B23" s="42"/>
      <c r="C23" s="43"/>
      <c r="D23" s="44"/>
      <c r="E23" s="44"/>
      <c r="F23" s="45"/>
      <c r="G23" s="46">
        <f t="shared" si="1"/>
        <v>0</v>
      </c>
      <c r="H23" s="44"/>
      <c r="I23" s="44"/>
      <c r="J23" s="45"/>
      <c r="K23" s="46">
        <f t="shared" si="2"/>
        <v>0</v>
      </c>
      <c r="L23" s="44"/>
      <c r="M23" s="44"/>
      <c r="N23" s="44"/>
      <c r="O23" s="46">
        <f t="shared" si="3"/>
        <v>0</v>
      </c>
      <c r="P23" s="32"/>
      <c r="Q23" s="32"/>
      <c r="R23" s="44"/>
      <c r="S23" s="46">
        <f t="shared" si="4"/>
        <v>0</v>
      </c>
      <c r="T23" s="32"/>
      <c r="U23" s="32"/>
      <c r="V23" s="44"/>
      <c r="W23" s="46">
        <f t="shared" si="5"/>
        <v>0</v>
      </c>
      <c r="X23" s="28"/>
      <c r="Y23" s="53"/>
      <c r="Z23" s="22"/>
      <c r="AA23" s="48"/>
      <c r="AB23" s="77" t="s">
        <v>36</v>
      </c>
      <c r="AC23" s="77" t="s">
        <v>37</v>
      </c>
      <c r="AD23" s="78"/>
      <c r="AE23" s="78"/>
      <c r="AF23" s="13"/>
      <c r="AG23" s="78"/>
      <c r="AH23" s="78"/>
      <c r="AI23" s="78"/>
      <c r="AJ23" s="51"/>
      <c r="AK23" s="36"/>
      <c r="AL23" s="36"/>
      <c r="AM23" s="36"/>
      <c r="AN23" s="13"/>
      <c r="AO23" s="54"/>
      <c r="AP23" s="3"/>
      <c r="AQ23" s="3"/>
      <c r="AR23" s="14"/>
    </row>
    <row r="24" ht="16.5" customHeight="1">
      <c r="A24" s="41">
        <v>18.0</v>
      </c>
      <c r="B24" s="42"/>
      <c r="C24" s="43"/>
      <c r="D24" s="44"/>
      <c r="E24" s="44"/>
      <c r="F24" s="45"/>
      <c r="G24" s="46">
        <f t="shared" si="1"/>
        <v>0</v>
      </c>
      <c r="H24" s="44"/>
      <c r="I24" s="44"/>
      <c r="J24" s="45"/>
      <c r="K24" s="46">
        <f t="shared" si="2"/>
        <v>0</v>
      </c>
      <c r="L24" s="44"/>
      <c r="M24" s="44"/>
      <c r="N24" s="44"/>
      <c r="O24" s="46">
        <f t="shared" si="3"/>
        <v>0</v>
      </c>
      <c r="P24" s="32"/>
      <c r="Q24" s="32"/>
      <c r="R24" s="44"/>
      <c r="S24" s="46">
        <f t="shared" si="4"/>
        <v>0</v>
      </c>
      <c r="T24" s="32"/>
      <c r="U24" s="32"/>
      <c r="V24" s="44"/>
      <c r="W24" s="46">
        <f t="shared" si="5"/>
        <v>0</v>
      </c>
      <c r="X24" s="28"/>
      <c r="Y24" s="53"/>
      <c r="Z24" s="22"/>
      <c r="AA24" s="48"/>
      <c r="AB24" s="79"/>
      <c r="AC24" s="79"/>
      <c r="AD24" s="36"/>
      <c r="AE24" s="36"/>
      <c r="AF24" s="36"/>
      <c r="AG24" s="76"/>
      <c r="AH24" s="76"/>
      <c r="AI24" s="76"/>
      <c r="AJ24" s="36"/>
      <c r="AK24" s="36"/>
      <c r="AL24" s="36"/>
      <c r="AM24" s="36"/>
      <c r="AN24" s="13"/>
      <c r="AO24" s="54"/>
      <c r="AP24" s="3"/>
      <c r="AQ24" s="3"/>
      <c r="AR24" s="14"/>
    </row>
    <row r="25" ht="16.5" customHeight="1">
      <c r="A25" s="41">
        <v>19.0</v>
      </c>
      <c r="B25" s="42"/>
      <c r="C25" s="43"/>
      <c r="D25" s="44"/>
      <c r="E25" s="44"/>
      <c r="F25" s="45"/>
      <c r="G25" s="46">
        <f t="shared" si="1"/>
        <v>0</v>
      </c>
      <c r="H25" s="44"/>
      <c r="I25" s="44"/>
      <c r="J25" s="45"/>
      <c r="K25" s="46">
        <f t="shared" si="2"/>
        <v>0</v>
      </c>
      <c r="L25" s="44"/>
      <c r="M25" s="44"/>
      <c r="N25" s="44"/>
      <c r="O25" s="46">
        <f t="shared" si="3"/>
        <v>0</v>
      </c>
      <c r="P25" s="32"/>
      <c r="Q25" s="32"/>
      <c r="R25" s="44"/>
      <c r="S25" s="46">
        <f t="shared" si="4"/>
        <v>0</v>
      </c>
      <c r="T25" s="32"/>
      <c r="U25" s="32"/>
      <c r="V25" s="44"/>
      <c r="W25" s="46">
        <f t="shared" si="5"/>
        <v>0</v>
      </c>
      <c r="X25" s="28"/>
      <c r="Y25" s="53"/>
      <c r="Z25" s="22"/>
      <c r="AA25" s="48"/>
      <c r="AB25" s="80" t="s">
        <v>38</v>
      </c>
      <c r="AC25" s="81">
        <f>(((G145*AI19)+(Y145*AI20)) * AJ19) + (AH42*AJ21)</f>
        <v>1.74</v>
      </c>
      <c r="AD25" s="48"/>
      <c r="AE25" s="48"/>
      <c r="AF25" s="13"/>
      <c r="AG25" s="13"/>
      <c r="AH25" s="55"/>
      <c r="AI25" s="55"/>
      <c r="AJ25" s="56"/>
      <c r="AK25" s="57"/>
      <c r="AL25" s="57"/>
      <c r="AM25" s="57"/>
      <c r="AN25" s="57"/>
      <c r="AO25" s="54"/>
      <c r="AP25" s="3"/>
      <c r="AQ25" s="3"/>
      <c r="AR25" s="14"/>
    </row>
    <row r="26" ht="16.5" customHeight="1">
      <c r="A26" s="41">
        <v>20.0</v>
      </c>
      <c r="B26" s="42"/>
      <c r="C26" s="43"/>
      <c r="D26" s="44"/>
      <c r="E26" s="44"/>
      <c r="F26" s="45"/>
      <c r="G26" s="46">
        <f t="shared" si="1"/>
        <v>0</v>
      </c>
      <c r="H26" s="44"/>
      <c r="I26" s="44"/>
      <c r="J26" s="45"/>
      <c r="K26" s="46">
        <f t="shared" si="2"/>
        <v>0</v>
      </c>
      <c r="L26" s="44"/>
      <c r="M26" s="44"/>
      <c r="N26" s="44"/>
      <c r="O26" s="46">
        <f t="shared" si="3"/>
        <v>0</v>
      </c>
      <c r="P26" s="32"/>
      <c r="Q26" s="32"/>
      <c r="R26" s="44"/>
      <c r="S26" s="46">
        <f t="shared" si="4"/>
        <v>0</v>
      </c>
      <c r="T26" s="32"/>
      <c r="U26" s="32"/>
      <c r="V26" s="44"/>
      <c r="W26" s="46">
        <f t="shared" si="5"/>
        <v>0</v>
      </c>
      <c r="X26" s="28"/>
      <c r="Y26" s="53"/>
      <c r="Z26" s="22"/>
      <c r="AA26" s="48"/>
      <c r="AB26" s="80" t="s">
        <v>39</v>
      </c>
      <c r="AC26" s="82">
        <f>(((K145*AI19)+(Y145*AI20)) * AJ19) + (AI42*AJ21)</f>
        <v>1.74</v>
      </c>
      <c r="AD26" s="48"/>
      <c r="AE26" s="48"/>
      <c r="AF26" s="13"/>
      <c r="AG26" s="13"/>
      <c r="AH26" s="55"/>
      <c r="AI26" s="55"/>
      <c r="AJ26" s="56"/>
      <c r="AK26" s="57"/>
      <c r="AL26" s="57"/>
      <c r="AM26" s="57"/>
      <c r="AN26" s="57"/>
      <c r="AO26" s="54"/>
      <c r="AP26" s="3"/>
      <c r="AQ26" s="3"/>
      <c r="AR26" s="14"/>
    </row>
    <row r="27" ht="16.5" customHeight="1">
      <c r="A27" s="41">
        <v>21.0</v>
      </c>
      <c r="B27" s="42"/>
      <c r="C27" s="43"/>
      <c r="D27" s="44"/>
      <c r="E27" s="44"/>
      <c r="F27" s="45"/>
      <c r="G27" s="46">
        <f t="shared" si="1"/>
        <v>0</v>
      </c>
      <c r="H27" s="44"/>
      <c r="I27" s="44"/>
      <c r="J27" s="45"/>
      <c r="K27" s="46">
        <f t="shared" si="2"/>
        <v>0</v>
      </c>
      <c r="L27" s="44"/>
      <c r="M27" s="44"/>
      <c r="N27" s="44"/>
      <c r="O27" s="46">
        <f t="shared" si="3"/>
        <v>0</v>
      </c>
      <c r="P27" s="32"/>
      <c r="Q27" s="32"/>
      <c r="R27" s="44"/>
      <c r="S27" s="46">
        <f t="shared" si="4"/>
        <v>0</v>
      </c>
      <c r="T27" s="32"/>
      <c r="U27" s="32"/>
      <c r="V27" s="44"/>
      <c r="W27" s="46">
        <f t="shared" si="5"/>
        <v>0</v>
      </c>
      <c r="X27" s="28"/>
      <c r="Y27" s="53"/>
      <c r="Z27" s="22"/>
      <c r="AA27" s="48"/>
      <c r="AB27" s="80" t="s">
        <v>40</v>
      </c>
      <c r="AC27" s="82">
        <f>(((O145*AI19)+(Y145*AI20)) * AJ19) + (AJ42*AJ21)</f>
        <v>1.74</v>
      </c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54"/>
      <c r="AP27" s="3"/>
      <c r="AQ27" s="3"/>
      <c r="AR27" s="14"/>
    </row>
    <row r="28" ht="16.5" customHeight="1">
      <c r="A28" s="41">
        <v>22.0</v>
      </c>
      <c r="B28" s="42"/>
      <c r="C28" s="43"/>
      <c r="D28" s="44"/>
      <c r="E28" s="44"/>
      <c r="F28" s="45"/>
      <c r="G28" s="46">
        <f t="shared" si="1"/>
        <v>0</v>
      </c>
      <c r="H28" s="44"/>
      <c r="I28" s="44"/>
      <c r="J28" s="45"/>
      <c r="K28" s="46">
        <f t="shared" si="2"/>
        <v>0</v>
      </c>
      <c r="L28" s="44"/>
      <c r="M28" s="44"/>
      <c r="N28" s="44"/>
      <c r="O28" s="46">
        <f t="shared" si="3"/>
        <v>0</v>
      </c>
      <c r="P28" s="32"/>
      <c r="Q28" s="32"/>
      <c r="R28" s="44"/>
      <c r="S28" s="46">
        <f t="shared" si="4"/>
        <v>0</v>
      </c>
      <c r="T28" s="32"/>
      <c r="U28" s="32"/>
      <c r="V28" s="44"/>
      <c r="W28" s="46">
        <f t="shared" si="5"/>
        <v>0</v>
      </c>
      <c r="X28" s="28"/>
      <c r="Y28" s="53"/>
      <c r="Z28" s="22"/>
      <c r="AA28" s="48"/>
      <c r="AB28" s="80" t="s">
        <v>41</v>
      </c>
      <c r="AC28" s="82">
        <f>(((S145*AI19)+(Y145*AI20)) * AJ19) + (AK42*AJ21)</f>
        <v>1.74</v>
      </c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54"/>
      <c r="AP28" s="3"/>
      <c r="AQ28" s="3"/>
      <c r="AR28" s="14"/>
    </row>
    <row r="29" ht="16.5" customHeight="1">
      <c r="A29" s="41">
        <v>23.0</v>
      </c>
      <c r="B29" s="42"/>
      <c r="C29" s="43"/>
      <c r="D29" s="44"/>
      <c r="E29" s="44"/>
      <c r="F29" s="45"/>
      <c r="G29" s="46">
        <f t="shared" si="1"/>
        <v>0</v>
      </c>
      <c r="H29" s="44"/>
      <c r="I29" s="44"/>
      <c r="J29" s="45"/>
      <c r="K29" s="46">
        <f t="shared" si="2"/>
        <v>0</v>
      </c>
      <c r="L29" s="44"/>
      <c r="M29" s="44"/>
      <c r="N29" s="44"/>
      <c r="O29" s="46">
        <f t="shared" si="3"/>
        <v>0</v>
      </c>
      <c r="P29" s="32"/>
      <c r="Q29" s="32"/>
      <c r="R29" s="44"/>
      <c r="S29" s="46">
        <f t="shared" si="4"/>
        <v>0</v>
      </c>
      <c r="T29" s="32"/>
      <c r="U29" s="32"/>
      <c r="V29" s="44"/>
      <c r="W29" s="46">
        <f t="shared" si="5"/>
        <v>0</v>
      </c>
      <c r="X29" s="28"/>
      <c r="Y29" s="53"/>
      <c r="Z29" s="22"/>
      <c r="AA29" s="48"/>
      <c r="AB29" s="80" t="s">
        <v>42</v>
      </c>
      <c r="AC29" s="83">
        <f>(((W145*AI19)+(Y145*AI20)) * AJ19) + (AL42*AJ21)</f>
        <v>1.74</v>
      </c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54"/>
      <c r="AP29" s="3"/>
      <c r="AQ29" s="3"/>
      <c r="AR29" s="14"/>
    </row>
    <row r="30" ht="16.5" customHeight="1">
      <c r="A30" s="41">
        <v>24.0</v>
      </c>
      <c r="B30" s="42"/>
      <c r="C30" s="43"/>
      <c r="D30" s="44"/>
      <c r="E30" s="44"/>
      <c r="F30" s="45"/>
      <c r="G30" s="46">
        <f t="shared" si="1"/>
        <v>0</v>
      </c>
      <c r="H30" s="44"/>
      <c r="I30" s="44"/>
      <c r="J30" s="45"/>
      <c r="K30" s="46">
        <f t="shared" si="2"/>
        <v>0</v>
      </c>
      <c r="L30" s="44"/>
      <c r="M30" s="44"/>
      <c r="N30" s="44"/>
      <c r="O30" s="46">
        <f t="shared" si="3"/>
        <v>0</v>
      </c>
      <c r="P30" s="32"/>
      <c r="Q30" s="32"/>
      <c r="R30" s="44"/>
      <c r="S30" s="46">
        <f t="shared" si="4"/>
        <v>0</v>
      </c>
      <c r="T30" s="32"/>
      <c r="U30" s="32"/>
      <c r="V30" s="44"/>
      <c r="W30" s="46">
        <f t="shared" si="5"/>
        <v>0</v>
      </c>
      <c r="X30" s="28"/>
      <c r="Y30" s="53"/>
      <c r="Z30" s="22"/>
      <c r="AA30" s="48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54"/>
      <c r="AP30" s="3"/>
      <c r="AQ30" s="3"/>
      <c r="AR30" s="14"/>
    </row>
    <row r="31" ht="16.5" customHeight="1">
      <c r="A31" s="41">
        <v>25.0</v>
      </c>
      <c r="B31" s="42"/>
      <c r="C31" s="43"/>
      <c r="D31" s="44"/>
      <c r="E31" s="44"/>
      <c r="F31" s="45"/>
      <c r="G31" s="46">
        <f t="shared" si="1"/>
        <v>0</v>
      </c>
      <c r="H31" s="44"/>
      <c r="I31" s="44"/>
      <c r="J31" s="45"/>
      <c r="K31" s="46">
        <f t="shared" si="2"/>
        <v>0</v>
      </c>
      <c r="L31" s="44"/>
      <c r="M31" s="44"/>
      <c r="N31" s="44"/>
      <c r="O31" s="46">
        <f t="shared" si="3"/>
        <v>0</v>
      </c>
      <c r="P31" s="32"/>
      <c r="Q31" s="32"/>
      <c r="R31" s="44"/>
      <c r="S31" s="46">
        <f t="shared" si="4"/>
        <v>0</v>
      </c>
      <c r="T31" s="32"/>
      <c r="U31" s="32"/>
      <c r="V31" s="44"/>
      <c r="W31" s="46">
        <f t="shared" si="5"/>
        <v>0</v>
      </c>
      <c r="X31" s="28"/>
      <c r="Y31" s="53"/>
      <c r="Z31" s="22"/>
      <c r="AA31" s="48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54"/>
      <c r="AP31" s="3"/>
      <c r="AQ31" s="3"/>
      <c r="AR31" s="14"/>
    </row>
    <row r="32" ht="16.5" customHeight="1">
      <c r="A32" s="41">
        <v>26.0</v>
      </c>
      <c r="B32" s="42"/>
      <c r="C32" s="43"/>
      <c r="D32" s="44"/>
      <c r="E32" s="44"/>
      <c r="F32" s="45"/>
      <c r="G32" s="46">
        <f t="shared" si="1"/>
        <v>0</v>
      </c>
      <c r="H32" s="44"/>
      <c r="I32" s="44"/>
      <c r="J32" s="45"/>
      <c r="K32" s="46">
        <f t="shared" si="2"/>
        <v>0</v>
      </c>
      <c r="L32" s="44"/>
      <c r="M32" s="44"/>
      <c r="N32" s="44"/>
      <c r="O32" s="46">
        <f t="shared" si="3"/>
        <v>0</v>
      </c>
      <c r="P32" s="32"/>
      <c r="Q32" s="32"/>
      <c r="R32" s="44"/>
      <c r="S32" s="46">
        <f t="shared" si="4"/>
        <v>0</v>
      </c>
      <c r="T32" s="32"/>
      <c r="U32" s="32"/>
      <c r="V32" s="44"/>
      <c r="W32" s="46">
        <f t="shared" si="5"/>
        <v>0</v>
      </c>
      <c r="X32" s="28"/>
      <c r="Y32" s="53"/>
      <c r="Z32" s="22"/>
      <c r="AA32" s="48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54"/>
      <c r="AP32" s="3"/>
      <c r="AQ32" s="3"/>
      <c r="AR32" s="14"/>
    </row>
    <row r="33" ht="16.5" customHeight="1">
      <c r="A33" s="41">
        <v>27.0</v>
      </c>
      <c r="B33" s="42"/>
      <c r="C33" s="43"/>
      <c r="D33" s="44"/>
      <c r="E33" s="44"/>
      <c r="F33" s="45"/>
      <c r="G33" s="46">
        <f t="shared" si="1"/>
        <v>0</v>
      </c>
      <c r="H33" s="44"/>
      <c r="I33" s="44"/>
      <c r="J33" s="45"/>
      <c r="K33" s="46">
        <f t="shared" si="2"/>
        <v>0</v>
      </c>
      <c r="L33" s="44"/>
      <c r="M33" s="44"/>
      <c r="N33" s="44"/>
      <c r="O33" s="46">
        <f t="shared" si="3"/>
        <v>0</v>
      </c>
      <c r="P33" s="32"/>
      <c r="Q33" s="32"/>
      <c r="R33" s="44"/>
      <c r="S33" s="46">
        <f t="shared" si="4"/>
        <v>0</v>
      </c>
      <c r="T33" s="32"/>
      <c r="U33" s="32"/>
      <c r="V33" s="44"/>
      <c r="W33" s="46">
        <f t="shared" si="5"/>
        <v>0</v>
      </c>
      <c r="X33" s="28"/>
      <c r="Y33" s="53"/>
      <c r="Z33" s="22"/>
      <c r="AA33" s="48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54"/>
      <c r="AP33" s="3"/>
      <c r="AQ33" s="3"/>
      <c r="AR33" s="14"/>
    </row>
    <row r="34" ht="16.5" customHeight="1">
      <c r="A34" s="41">
        <v>28.0</v>
      </c>
      <c r="B34" s="42"/>
      <c r="C34" s="43"/>
      <c r="D34" s="44"/>
      <c r="E34" s="44"/>
      <c r="F34" s="45"/>
      <c r="G34" s="46">
        <f t="shared" si="1"/>
        <v>0</v>
      </c>
      <c r="H34" s="44"/>
      <c r="I34" s="44"/>
      <c r="J34" s="45"/>
      <c r="K34" s="46">
        <f t="shared" si="2"/>
        <v>0</v>
      </c>
      <c r="L34" s="44"/>
      <c r="M34" s="44"/>
      <c r="N34" s="44"/>
      <c r="O34" s="46">
        <f t="shared" si="3"/>
        <v>0</v>
      </c>
      <c r="P34" s="32"/>
      <c r="Q34" s="32"/>
      <c r="R34" s="44"/>
      <c r="S34" s="46">
        <f t="shared" si="4"/>
        <v>0</v>
      </c>
      <c r="T34" s="32"/>
      <c r="U34" s="32"/>
      <c r="V34" s="44"/>
      <c r="W34" s="46">
        <f t="shared" si="5"/>
        <v>0</v>
      </c>
      <c r="X34" s="28"/>
      <c r="Y34" s="53"/>
      <c r="Z34" s="22"/>
      <c r="AA34" s="48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54"/>
      <c r="AP34" s="3"/>
      <c r="AQ34" s="3"/>
      <c r="AR34" s="14"/>
    </row>
    <row r="35" ht="16.5" customHeight="1">
      <c r="A35" s="41">
        <v>29.0</v>
      </c>
      <c r="B35" s="42"/>
      <c r="C35" s="43"/>
      <c r="D35" s="44"/>
      <c r="E35" s="44"/>
      <c r="F35" s="45"/>
      <c r="G35" s="46">
        <f t="shared" si="1"/>
        <v>0</v>
      </c>
      <c r="H35" s="44"/>
      <c r="I35" s="44"/>
      <c r="J35" s="45"/>
      <c r="K35" s="46">
        <f t="shared" si="2"/>
        <v>0</v>
      </c>
      <c r="L35" s="44"/>
      <c r="M35" s="44"/>
      <c r="N35" s="44"/>
      <c r="O35" s="46">
        <f t="shared" si="3"/>
        <v>0</v>
      </c>
      <c r="P35" s="32"/>
      <c r="Q35" s="32"/>
      <c r="R35" s="44"/>
      <c r="S35" s="46">
        <f t="shared" si="4"/>
        <v>0</v>
      </c>
      <c r="T35" s="32"/>
      <c r="U35" s="32"/>
      <c r="V35" s="44"/>
      <c r="W35" s="46">
        <f t="shared" si="5"/>
        <v>0</v>
      </c>
      <c r="X35" s="28"/>
      <c r="Y35" s="53"/>
      <c r="Z35" s="22"/>
      <c r="AA35" s="48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54"/>
      <c r="AP35" s="3"/>
      <c r="AQ35" s="3"/>
      <c r="AR35" s="14"/>
    </row>
    <row r="36" ht="16.5" customHeight="1">
      <c r="A36" s="41">
        <v>30.0</v>
      </c>
      <c r="B36" s="42"/>
      <c r="C36" s="43"/>
      <c r="D36" s="44"/>
      <c r="E36" s="44"/>
      <c r="F36" s="45"/>
      <c r="G36" s="46">
        <f t="shared" si="1"/>
        <v>0</v>
      </c>
      <c r="H36" s="44"/>
      <c r="I36" s="44"/>
      <c r="J36" s="45"/>
      <c r="K36" s="46">
        <f t="shared" si="2"/>
        <v>0</v>
      </c>
      <c r="L36" s="44"/>
      <c r="M36" s="44"/>
      <c r="N36" s="44"/>
      <c r="O36" s="46">
        <f t="shared" si="3"/>
        <v>0</v>
      </c>
      <c r="P36" s="32"/>
      <c r="Q36" s="32"/>
      <c r="R36" s="44"/>
      <c r="S36" s="46">
        <f t="shared" si="4"/>
        <v>0</v>
      </c>
      <c r="T36" s="32"/>
      <c r="U36" s="32"/>
      <c r="V36" s="44"/>
      <c r="W36" s="46">
        <f t="shared" si="5"/>
        <v>0</v>
      </c>
      <c r="X36" s="28"/>
      <c r="Y36" s="53"/>
      <c r="Z36" s="22"/>
      <c r="AA36" s="48"/>
      <c r="AB36" s="13"/>
      <c r="AC36" s="84" t="s">
        <v>0</v>
      </c>
      <c r="AD36" s="9"/>
      <c r="AE36" s="9"/>
      <c r="AF36" s="9"/>
      <c r="AG36" s="9"/>
      <c r="AH36" s="9"/>
      <c r="AI36" s="9"/>
      <c r="AJ36" s="9"/>
      <c r="AK36" s="9"/>
      <c r="AL36" s="19"/>
      <c r="AM36" s="13"/>
      <c r="AN36" s="13"/>
      <c r="AO36" s="54"/>
      <c r="AP36" s="3"/>
      <c r="AQ36" s="3"/>
      <c r="AR36" s="14"/>
    </row>
    <row r="37" ht="16.5" customHeight="1">
      <c r="A37" s="41">
        <v>31.0</v>
      </c>
      <c r="B37" s="42"/>
      <c r="C37" s="43"/>
      <c r="D37" s="44"/>
      <c r="E37" s="44"/>
      <c r="F37" s="45"/>
      <c r="G37" s="46">
        <f t="shared" si="1"/>
        <v>0</v>
      </c>
      <c r="H37" s="44"/>
      <c r="I37" s="44"/>
      <c r="J37" s="45"/>
      <c r="K37" s="46">
        <f t="shared" si="2"/>
        <v>0</v>
      </c>
      <c r="L37" s="44"/>
      <c r="M37" s="44"/>
      <c r="N37" s="44"/>
      <c r="O37" s="46">
        <f t="shared" si="3"/>
        <v>0</v>
      </c>
      <c r="P37" s="32"/>
      <c r="Q37" s="32"/>
      <c r="R37" s="44"/>
      <c r="S37" s="46">
        <f t="shared" si="4"/>
        <v>0</v>
      </c>
      <c r="T37" s="32"/>
      <c r="U37" s="32"/>
      <c r="V37" s="44"/>
      <c r="W37" s="46">
        <f t="shared" si="5"/>
        <v>0</v>
      </c>
      <c r="X37" s="28"/>
      <c r="Y37" s="53"/>
      <c r="Z37" s="22"/>
      <c r="AA37" s="48"/>
      <c r="AB37" s="13"/>
      <c r="AC37" s="85" t="s">
        <v>43</v>
      </c>
      <c r="AD37" s="9"/>
      <c r="AE37" s="9"/>
      <c r="AF37" s="9"/>
      <c r="AG37" s="19"/>
      <c r="AH37" s="86" t="s">
        <v>35</v>
      </c>
      <c r="AI37" s="9"/>
      <c r="AJ37" s="9"/>
      <c r="AK37" s="9"/>
      <c r="AL37" s="19"/>
      <c r="AM37" s="13"/>
      <c r="AN37" s="13"/>
      <c r="AO37" s="54"/>
      <c r="AP37" s="3"/>
      <c r="AQ37" s="3"/>
      <c r="AR37" s="14"/>
    </row>
    <row r="38" ht="16.5" customHeight="1">
      <c r="A38" s="41">
        <v>32.0</v>
      </c>
      <c r="B38" s="42"/>
      <c r="C38" s="43"/>
      <c r="D38" s="44"/>
      <c r="E38" s="44"/>
      <c r="F38" s="45"/>
      <c r="G38" s="46">
        <f t="shared" si="1"/>
        <v>0</v>
      </c>
      <c r="H38" s="44"/>
      <c r="I38" s="44"/>
      <c r="J38" s="45"/>
      <c r="K38" s="46">
        <f t="shared" si="2"/>
        <v>0</v>
      </c>
      <c r="L38" s="44"/>
      <c r="M38" s="44"/>
      <c r="N38" s="44"/>
      <c r="O38" s="46">
        <f t="shared" si="3"/>
        <v>0</v>
      </c>
      <c r="P38" s="32"/>
      <c r="Q38" s="32"/>
      <c r="R38" s="44"/>
      <c r="S38" s="46">
        <f t="shared" si="4"/>
        <v>0</v>
      </c>
      <c r="T38" s="32"/>
      <c r="U38" s="32"/>
      <c r="V38" s="44"/>
      <c r="W38" s="46">
        <f t="shared" si="5"/>
        <v>0</v>
      </c>
      <c r="X38" s="28"/>
      <c r="Y38" s="53"/>
      <c r="Z38" s="22"/>
      <c r="AA38" s="48"/>
      <c r="AB38" s="13"/>
      <c r="AC38" s="87" t="s">
        <v>44</v>
      </c>
      <c r="AD38" s="9"/>
      <c r="AE38" s="9"/>
      <c r="AF38" s="9"/>
      <c r="AG38" s="19"/>
      <c r="AH38" s="88" t="s">
        <v>5</v>
      </c>
      <c r="AI38" s="88" t="s">
        <v>6</v>
      </c>
      <c r="AJ38" s="88" t="s">
        <v>7</v>
      </c>
      <c r="AK38" s="88" t="s">
        <v>8</v>
      </c>
      <c r="AL38" s="88" t="s">
        <v>9</v>
      </c>
      <c r="AM38" s="13"/>
      <c r="AN38" s="13"/>
      <c r="AO38" s="54"/>
      <c r="AP38" s="3"/>
      <c r="AQ38" s="3"/>
      <c r="AR38" s="14"/>
    </row>
    <row r="39" ht="16.5" customHeight="1">
      <c r="A39" s="41">
        <v>33.0</v>
      </c>
      <c r="B39" s="42"/>
      <c r="C39" s="43"/>
      <c r="D39" s="44"/>
      <c r="E39" s="44"/>
      <c r="F39" s="45"/>
      <c r="G39" s="46">
        <f t="shared" si="1"/>
        <v>0</v>
      </c>
      <c r="H39" s="44"/>
      <c r="I39" s="44"/>
      <c r="J39" s="45"/>
      <c r="K39" s="46">
        <f t="shared" si="2"/>
        <v>0</v>
      </c>
      <c r="L39" s="44"/>
      <c r="M39" s="44"/>
      <c r="N39" s="44"/>
      <c r="O39" s="46">
        <f t="shared" si="3"/>
        <v>0</v>
      </c>
      <c r="P39" s="32"/>
      <c r="Q39" s="32"/>
      <c r="R39" s="44"/>
      <c r="S39" s="46">
        <f t="shared" si="4"/>
        <v>0</v>
      </c>
      <c r="T39" s="32"/>
      <c r="U39" s="32"/>
      <c r="V39" s="44"/>
      <c r="W39" s="46">
        <f t="shared" si="5"/>
        <v>0</v>
      </c>
      <c r="X39" s="28"/>
      <c r="Y39" s="53"/>
      <c r="Z39" s="22"/>
      <c r="AA39" s="48"/>
      <c r="AB39" s="13"/>
      <c r="AC39" s="89" t="s">
        <v>45</v>
      </c>
      <c r="AD39" s="9"/>
      <c r="AE39" s="9"/>
      <c r="AF39" s="9"/>
      <c r="AG39" s="19"/>
      <c r="AH39" s="90">
        <v>3.0</v>
      </c>
      <c r="AI39" s="90">
        <v>3.0</v>
      </c>
      <c r="AJ39" s="90">
        <v>3.0</v>
      </c>
      <c r="AK39" s="90">
        <v>3.0</v>
      </c>
      <c r="AL39" s="90">
        <v>3.0</v>
      </c>
      <c r="AM39" s="13"/>
      <c r="AN39" s="13"/>
      <c r="AO39" s="54"/>
      <c r="AP39" s="3"/>
      <c r="AQ39" s="3"/>
      <c r="AR39" s="14"/>
    </row>
    <row r="40" ht="16.5" customHeight="1">
      <c r="A40" s="41">
        <v>34.0</v>
      </c>
      <c r="B40" s="42"/>
      <c r="C40" s="43"/>
      <c r="D40" s="44"/>
      <c r="E40" s="44"/>
      <c r="F40" s="45"/>
      <c r="G40" s="46">
        <f t="shared" si="1"/>
        <v>0</v>
      </c>
      <c r="H40" s="44"/>
      <c r="I40" s="44"/>
      <c r="J40" s="45"/>
      <c r="K40" s="46">
        <f t="shared" si="2"/>
        <v>0</v>
      </c>
      <c r="L40" s="44"/>
      <c r="M40" s="44"/>
      <c r="N40" s="44"/>
      <c r="O40" s="46">
        <f t="shared" si="3"/>
        <v>0</v>
      </c>
      <c r="P40" s="32"/>
      <c r="Q40" s="32"/>
      <c r="R40" s="44"/>
      <c r="S40" s="46">
        <f t="shared" si="4"/>
        <v>0</v>
      </c>
      <c r="T40" s="32"/>
      <c r="U40" s="32"/>
      <c r="V40" s="44"/>
      <c r="W40" s="46">
        <f t="shared" si="5"/>
        <v>0</v>
      </c>
      <c r="X40" s="28"/>
      <c r="Y40" s="53"/>
      <c r="Z40" s="22"/>
      <c r="AA40" s="48"/>
      <c r="AB40" s="13"/>
      <c r="AC40" s="91" t="s">
        <v>46</v>
      </c>
      <c r="AD40" s="9"/>
      <c r="AE40" s="9"/>
      <c r="AF40" s="9"/>
      <c r="AG40" s="19"/>
      <c r="AH40" s="90">
        <v>63.0</v>
      </c>
      <c r="AI40" s="90">
        <v>63.0</v>
      </c>
      <c r="AJ40" s="90">
        <v>62.0</v>
      </c>
      <c r="AK40" s="90">
        <v>53.0</v>
      </c>
      <c r="AL40" s="90">
        <v>54.0</v>
      </c>
      <c r="AM40" s="13"/>
      <c r="AN40" s="13"/>
      <c r="AO40" s="54"/>
      <c r="AP40" s="3"/>
      <c r="AQ40" s="3"/>
      <c r="AR40" s="14"/>
    </row>
    <row r="41" ht="16.5" customHeight="1">
      <c r="A41" s="41">
        <v>35.0</v>
      </c>
      <c r="B41" s="42"/>
      <c r="C41" s="43"/>
      <c r="D41" s="44"/>
      <c r="E41" s="44"/>
      <c r="F41" s="45"/>
      <c r="G41" s="46">
        <f t="shared" si="1"/>
        <v>0</v>
      </c>
      <c r="H41" s="44"/>
      <c r="I41" s="44"/>
      <c r="J41" s="45"/>
      <c r="K41" s="46">
        <f t="shared" si="2"/>
        <v>0</v>
      </c>
      <c r="L41" s="44"/>
      <c r="M41" s="44"/>
      <c r="N41" s="44"/>
      <c r="O41" s="46">
        <f t="shared" si="3"/>
        <v>0</v>
      </c>
      <c r="P41" s="32"/>
      <c r="Q41" s="32"/>
      <c r="R41" s="44"/>
      <c r="S41" s="46">
        <f t="shared" si="4"/>
        <v>0</v>
      </c>
      <c r="T41" s="32"/>
      <c r="U41" s="32"/>
      <c r="V41" s="44"/>
      <c r="W41" s="46">
        <f t="shared" si="5"/>
        <v>0</v>
      </c>
      <c r="X41" s="28"/>
      <c r="Y41" s="53"/>
      <c r="Z41" s="22"/>
      <c r="AA41" s="48"/>
      <c r="AB41" s="13"/>
      <c r="AC41" s="92" t="s">
        <v>47</v>
      </c>
      <c r="AD41" s="9"/>
      <c r="AE41" s="9"/>
      <c r="AF41" s="9"/>
      <c r="AG41" s="19"/>
      <c r="AH41" s="93">
        <v>100.0</v>
      </c>
      <c r="AI41" s="94">
        <v>100.0</v>
      </c>
      <c r="AJ41" s="94">
        <v>98.4126984126984</v>
      </c>
      <c r="AK41" s="94">
        <v>84.12698412698413</v>
      </c>
      <c r="AL41" s="94">
        <v>85.71428571428571</v>
      </c>
      <c r="AM41" s="13"/>
      <c r="AN41" s="13"/>
      <c r="AO41" s="54"/>
      <c r="AP41" s="3"/>
      <c r="AQ41" s="3"/>
      <c r="AR41" s="14"/>
    </row>
    <row r="42" ht="16.5" customHeight="1">
      <c r="A42" s="41">
        <v>36.0</v>
      </c>
      <c r="B42" s="42"/>
      <c r="C42" s="43"/>
      <c r="D42" s="44"/>
      <c r="E42" s="44"/>
      <c r="F42" s="45"/>
      <c r="G42" s="46">
        <f t="shared" si="1"/>
        <v>0</v>
      </c>
      <c r="H42" s="44"/>
      <c r="I42" s="44"/>
      <c r="J42" s="45"/>
      <c r="K42" s="46">
        <f t="shared" si="2"/>
        <v>0</v>
      </c>
      <c r="L42" s="44"/>
      <c r="M42" s="44"/>
      <c r="N42" s="44"/>
      <c r="O42" s="46">
        <f t="shared" si="3"/>
        <v>0</v>
      </c>
      <c r="P42" s="32"/>
      <c r="Q42" s="32"/>
      <c r="R42" s="44"/>
      <c r="S42" s="46">
        <f t="shared" si="4"/>
        <v>0</v>
      </c>
      <c r="T42" s="32"/>
      <c r="U42" s="32"/>
      <c r="V42" s="44"/>
      <c r="W42" s="46">
        <f t="shared" si="5"/>
        <v>0</v>
      </c>
      <c r="X42" s="28"/>
      <c r="Y42" s="53"/>
      <c r="Z42" s="22"/>
      <c r="AA42" s="48"/>
      <c r="AB42" s="13"/>
      <c r="AC42" s="95" t="s">
        <v>48</v>
      </c>
      <c r="AD42" s="96"/>
      <c r="AE42" s="96"/>
      <c r="AF42" s="96"/>
      <c r="AG42" s="97"/>
      <c r="AH42" s="98">
        <f t="shared" ref="AH42:AL42" si="6">IF(AH41&gt;$AE$17,3,(IF(AH41&gt;=$AE$16,2,(IF(AH41&gt;$AE$15,1,0)))))</f>
        <v>3</v>
      </c>
      <c r="AI42" s="99">
        <f t="shared" si="6"/>
        <v>3</v>
      </c>
      <c r="AJ42" s="99">
        <f t="shared" si="6"/>
        <v>3</v>
      </c>
      <c r="AK42" s="99">
        <f t="shared" si="6"/>
        <v>3</v>
      </c>
      <c r="AL42" s="99">
        <f t="shared" si="6"/>
        <v>3</v>
      </c>
      <c r="AM42" s="13"/>
      <c r="AN42" s="13"/>
      <c r="AO42" s="54"/>
      <c r="AP42" s="3"/>
      <c r="AQ42" s="3"/>
      <c r="AR42" s="14"/>
    </row>
    <row r="43" ht="16.5" customHeight="1">
      <c r="A43" s="41">
        <v>37.0</v>
      </c>
      <c r="B43" s="42"/>
      <c r="C43" s="43"/>
      <c r="D43" s="44"/>
      <c r="E43" s="44"/>
      <c r="F43" s="45"/>
      <c r="G43" s="46">
        <f t="shared" si="1"/>
        <v>0</v>
      </c>
      <c r="H43" s="44"/>
      <c r="I43" s="44"/>
      <c r="J43" s="45"/>
      <c r="K43" s="46">
        <f t="shared" si="2"/>
        <v>0</v>
      </c>
      <c r="L43" s="44"/>
      <c r="M43" s="44"/>
      <c r="N43" s="44"/>
      <c r="O43" s="46">
        <f t="shared" si="3"/>
        <v>0</v>
      </c>
      <c r="P43" s="32"/>
      <c r="Q43" s="32"/>
      <c r="R43" s="44"/>
      <c r="S43" s="46">
        <f t="shared" si="4"/>
        <v>0</v>
      </c>
      <c r="T43" s="32"/>
      <c r="U43" s="32"/>
      <c r="V43" s="44"/>
      <c r="W43" s="46">
        <f t="shared" si="5"/>
        <v>0</v>
      </c>
      <c r="X43" s="28"/>
      <c r="Y43" s="53"/>
      <c r="Z43" s="22"/>
      <c r="AA43" s="48"/>
      <c r="AB43" s="13"/>
      <c r="AC43" s="100" t="s">
        <v>49</v>
      </c>
      <c r="AD43" s="6"/>
      <c r="AE43" s="6"/>
      <c r="AF43" s="6"/>
      <c r="AG43" s="6"/>
      <c r="AH43" s="6"/>
      <c r="AI43" s="6"/>
      <c r="AJ43" s="6"/>
      <c r="AK43" s="6"/>
      <c r="AL43" s="7"/>
      <c r="AM43" s="13"/>
      <c r="AN43" s="13"/>
      <c r="AO43" s="54"/>
      <c r="AP43" s="3"/>
      <c r="AQ43" s="3"/>
      <c r="AR43" s="14"/>
    </row>
    <row r="44" ht="16.5" customHeight="1">
      <c r="A44" s="41">
        <v>38.0</v>
      </c>
      <c r="B44" s="42"/>
      <c r="C44" s="43"/>
      <c r="D44" s="44"/>
      <c r="E44" s="44"/>
      <c r="F44" s="45"/>
      <c r="G44" s="46">
        <f t="shared" si="1"/>
        <v>0</v>
      </c>
      <c r="H44" s="44"/>
      <c r="I44" s="44"/>
      <c r="J44" s="45"/>
      <c r="K44" s="46">
        <f t="shared" si="2"/>
        <v>0</v>
      </c>
      <c r="L44" s="44"/>
      <c r="M44" s="44"/>
      <c r="N44" s="44"/>
      <c r="O44" s="46">
        <f t="shared" si="3"/>
        <v>0</v>
      </c>
      <c r="P44" s="32"/>
      <c r="Q44" s="32"/>
      <c r="R44" s="44"/>
      <c r="S44" s="46">
        <f t="shared" si="4"/>
        <v>0</v>
      </c>
      <c r="T44" s="32"/>
      <c r="U44" s="32"/>
      <c r="V44" s="44"/>
      <c r="W44" s="46">
        <f t="shared" si="5"/>
        <v>0</v>
      </c>
      <c r="X44" s="28"/>
      <c r="Y44" s="53"/>
      <c r="Z44" s="22"/>
      <c r="AA44" s="48"/>
      <c r="AB44" s="13"/>
      <c r="AC44" s="62"/>
      <c r="AL44" s="63"/>
      <c r="AM44" s="13"/>
      <c r="AN44" s="13"/>
      <c r="AO44" s="54"/>
      <c r="AP44" s="3"/>
      <c r="AQ44" s="3"/>
      <c r="AR44" s="14"/>
    </row>
    <row r="45" ht="16.5" customHeight="1">
      <c r="A45" s="41">
        <v>39.0</v>
      </c>
      <c r="B45" s="42"/>
      <c r="C45" s="43"/>
      <c r="D45" s="44"/>
      <c r="E45" s="44"/>
      <c r="F45" s="45"/>
      <c r="G45" s="46">
        <f t="shared" si="1"/>
        <v>0</v>
      </c>
      <c r="H45" s="44"/>
      <c r="I45" s="44"/>
      <c r="J45" s="45"/>
      <c r="K45" s="46">
        <f t="shared" si="2"/>
        <v>0</v>
      </c>
      <c r="L45" s="44"/>
      <c r="M45" s="44"/>
      <c r="N45" s="44"/>
      <c r="O45" s="46">
        <f t="shared" si="3"/>
        <v>0</v>
      </c>
      <c r="P45" s="32"/>
      <c r="Q45" s="32"/>
      <c r="R45" s="44"/>
      <c r="S45" s="46">
        <f t="shared" si="4"/>
        <v>0</v>
      </c>
      <c r="T45" s="32"/>
      <c r="U45" s="32"/>
      <c r="V45" s="44"/>
      <c r="W45" s="46">
        <f t="shared" si="5"/>
        <v>0</v>
      </c>
      <c r="X45" s="28"/>
      <c r="Y45" s="53"/>
      <c r="Z45" s="22"/>
      <c r="AA45" s="48"/>
      <c r="AB45" s="13"/>
      <c r="AC45" s="62"/>
      <c r="AL45" s="63"/>
      <c r="AM45" s="13"/>
      <c r="AN45" s="13"/>
      <c r="AO45" s="54"/>
      <c r="AP45" s="3"/>
      <c r="AQ45" s="3"/>
      <c r="AR45" s="14"/>
    </row>
    <row r="46" ht="16.5" customHeight="1">
      <c r="A46" s="41">
        <v>40.0</v>
      </c>
      <c r="B46" s="42"/>
      <c r="C46" s="43"/>
      <c r="D46" s="44"/>
      <c r="E46" s="44"/>
      <c r="F46" s="45"/>
      <c r="G46" s="46">
        <f t="shared" si="1"/>
        <v>0</v>
      </c>
      <c r="H46" s="44"/>
      <c r="I46" s="44"/>
      <c r="J46" s="45"/>
      <c r="K46" s="46">
        <f t="shared" si="2"/>
        <v>0</v>
      </c>
      <c r="L46" s="44"/>
      <c r="M46" s="44"/>
      <c r="N46" s="44"/>
      <c r="O46" s="46">
        <f t="shared" si="3"/>
        <v>0</v>
      </c>
      <c r="P46" s="32"/>
      <c r="Q46" s="32"/>
      <c r="R46" s="44"/>
      <c r="S46" s="46">
        <f t="shared" si="4"/>
        <v>0</v>
      </c>
      <c r="T46" s="32"/>
      <c r="U46" s="32"/>
      <c r="V46" s="44"/>
      <c r="W46" s="46">
        <f t="shared" si="5"/>
        <v>0</v>
      </c>
      <c r="X46" s="28"/>
      <c r="Y46" s="53"/>
      <c r="Z46" s="22"/>
      <c r="AA46" s="48"/>
      <c r="AB46" s="13"/>
      <c r="AC46" s="62"/>
      <c r="AL46" s="63"/>
      <c r="AM46" s="13"/>
      <c r="AN46" s="13"/>
      <c r="AO46" s="54"/>
      <c r="AP46" s="3"/>
      <c r="AQ46" s="3"/>
      <c r="AR46" s="14"/>
    </row>
    <row r="47" ht="16.5" customHeight="1">
      <c r="A47" s="41">
        <v>41.0</v>
      </c>
      <c r="B47" s="42"/>
      <c r="C47" s="43"/>
      <c r="D47" s="44"/>
      <c r="E47" s="44"/>
      <c r="F47" s="45"/>
      <c r="G47" s="46">
        <f t="shared" si="1"/>
        <v>0</v>
      </c>
      <c r="H47" s="44"/>
      <c r="I47" s="44"/>
      <c r="J47" s="45"/>
      <c r="K47" s="46">
        <f t="shared" si="2"/>
        <v>0</v>
      </c>
      <c r="L47" s="44"/>
      <c r="M47" s="44"/>
      <c r="N47" s="44"/>
      <c r="O47" s="46">
        <f t="shared" si="3"/>
        <v>0</v>
      </c>
      <c r="P47" s="32"/>
      <c r="Q47" s="32"/>
      <c r="R47" s="44"/>
      <c r="S47" s="46">
        <f t="shared" si="4"/>
        <v>0</v>
      </c>
      <c r="T47" s="32"/>
      <c r="U47" s="32"/>
      <c r="V47" s="44"/>
      <c r="W47" s="46">
        <f t="shared" si="5"/>
        <v>0</v>
      </c>
      <c r="X47" s="28"/>
      <c r="Y47" s="53"/>
      <c r="Z47" s="22"/>
      <c r="AA47" s="48"/>
      <c r="AB47" s="13"/>
      <c r="AC47" s="62"/>
      <c r="AL47" s="63"/>
      <c r="AM47" s="13"/>
      <c r="AN47" s="13"/>
      <c r="AO47" s="54"/>
      <c r="AP47" s="3"/>
      <c r="AQ47" s="3"/>
      <c r="AR47" s="14"/>
    </row>
    <row r="48" ht="16.5" customHeight="1">
      <c r="A48" s="41">
        <v>42.0</v>
      </c>
      <c r="B48" s="42"/>
      <c r="C48" s="43"/>
      <c r="D48" s="44"/>
      <c r="E48" s="44"/>
      <c r="F48" s="45"/>
      <c r="G48" s="46">
        <f t="shared" si="1"/>
        <v>0</v>
      </c>
      <c r="H48" s="44"/>
      <c r="I48" s="44"/>
      <c r="J48" s="45"/>
      <c r="K48" s="46">
        <f t="shared" si="2"/>
        <v>0</v>
      </c>
      <c r="L48" s="44"/>
      <c r="M48" s="44"/>
      <c r="N48" s="44"/>
      <c r="O48" s="46">
        <f t="shared" si="3"/>
        <v>0</v>
      </c>
      <c r="P48" s="32"/>
      <c r="Q48" s="32"/>
      <c r="R48" s="44"/>
      <c r="S48" s="46">
        <f t="shared" si="4"/>
        <v>0</v>
      </c>
      <c r="T48" s="32"/>
      <c r="U48" s="32"/>
      <c r="V48" s="44"/>
      <c r="W48" s="46">
        <f t="shared" si="5"/>
        <v>0</v>
      </c>
      <c r="X48" s="28"/>
      <c r="Y48" s="53"/>
      <c r="Z48" s="22"/>
      <c r="AA48" s="48"/>
      <c r="AB48" s="13"/>
      <c r="AC48" s="64"/>
      <c r="AD48" s="73"/>
      <c r="AE48" s="73"/>
      <c r="AF48" s="73"/>
      <c r="AG48" s="73"/>
      <c r="AH48" s="73"/>
      <c r="AI48" s="73"/>
      <c r="AJ48" s="73"/>
      <c r="AK48" s="73"/>
      <c r="AL48" s="65"/>
      <c r="AM48" s="13"/>
      <c r="AN48" s="13"/>
      <c r="AO48" s="54"/>
      <c r="AP48" s="3"/>
      <c r="AQ48" s="3"/>
      <c r="AR48" s="14"/>
    </row>
    <row r="49" ht="16.5" customHeight="1">
      <c r="A49" s="41">
        <v>43.0</v>
      </c>
      <c r="B49" s="42"/>
      <c r="C49" s="43"/>
      <c r="D49" s="44"/>
      <c r="E49" s="44"/>
      <c r="F49" s="45"/>
      <c r="G49" s="46">
        <f t="shared" si="1"/>
        <v>0</v>
      </c>
      <c r="H49" s="44"/>
      <c r="I49" s="44"/>
      <c r="J49" s="45"/>
      <c r="K49" s="46">
        <f t="shared" si="2"/>
        <v>0</v>
      </c>
      <c r="L49" s="44"/>
      <c r="M49" s="44"/>
      <c r="N49" s="44"/>
      <c r="O49" s="46">
        <f t="shared" si="3"/>
        <v>0</v>
      </c>
      <c r="P49" s="32"/>
      <c r="Q49" s="32"/>
      <c r="R49" s="44"/>
      <c r="S49" s="46">
        <f t="shared" si="4"/>
        <v>0</v>
      </c>
      <c r="T49" s="32"/>
      <c r="U49" s="32"/>
      <c r="V49" s="44"/>
      <c r="W49" s="46">
        <f t="shared" si="5"/>
        <v>0</v>
      </c>
      <c r="X49" s="28"/>
      <c r="Y49" s="53"/>
      <c r="Z49" s="22"/>
      <c r="AA49" s="48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54"/>
      <c r="AP49" s="3"/>
      <c r="AQ49" s="3"/>
      <c r="AR49" s="14"/>
    </row>
    <row r="50" ht="16.5" customHeight="1">
      <c r="A50" s="41">
        <v>44.0</v>
      </c>
      <c r="B50" s="42"/>
      <c r="C50" s="43"/>
      <c r="D50" s="44"/>
      <c r="E50" s="44"/>
      <c r="F50" s="45"/>
      <c r="G50" s="46">
        <f t="shared" si="1"/>
        <v>0</v>
      </c>
      <c r="H50" s="44"/>
      <c r="I50" s="44"/>
      <c r="J50" s="45"/>
      <c r="K50" s="46">
        <f t="shared" si="2"/>
        <v>0</v>
      </c>
      <c r="L50" s="44"/>
      <c r="M50" s="44"/>
      <c r="N50" s="44"/>
      <c r="O50" s="46">
        <f t="shared" si="3"/>
        <v>0</v>
      </c>
      <c r="P50" s="32"/>
      <c r="Q50" s="32"/>
      <c r="R50" s="44"/>
      <c r="S50" s="46">
        <f t="shared" si="4"/>
        <v>0</v>
      </c>
      <c r="T50" s="32"/>
      <c r="U50" s="32"/>
      <c r="V50" s="44"/>
      <c r="W50" s="46">
        <f t="shared" si="5"/>
        <v>0</v>
      </c>
      <c r="X50" s="28"/>
      <c r="Y50" s="53"/>
      <c r="Z50" s="22"/>
      <c r="AA50" s="48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54"/>
      <c r="AP50" s="3"/>
      <c r="AQ50" s="3"/>
      <c r="AR50" s="14"/>
    </row>
    <row r="51" ht="16.5" customHeight="1">
      <c r="A51" s="41">
        <v>45.0</v>
      </c>
      <c r="B51" s="42"/>
      <c r="C51" s="43"/>
      <c r="D51" s="44"/>
      <c r="E51" s="44"/>
      <c r="F51" s="45"/>
      <c r="G51" s="46">
        <f t="shared" si="1"/>
        <v>0</v>
      </c>
      <c r="H51" s="44"/>
      <c r="I51" s="44"/>
      <c r="J51" s="45"/>
      <c r="K51" s="46">
        <f t="shared" si="2"/>
        <v>0</v>
      </c>
      <c r="L51" s="44"/>
      <c r="M51" s="44"/>
      <c r="N51" s="44"/>
      <c r="O51" s="46">
        <f t="shared" si="3"/>
        <v>0</v>
      </c>
      <c r="P51" s="32"/>
      <c r="Q51" s="32"/>
      <c r="R51" s="44"/>
      <c r="S51" s="46">
        <f t="shared" si="4"/>
        <v>0</v>
      </c>
      <c r="T51" s="32"/>
      <c r="U51" s="32"/>
      <c r="V51" s="44"/>
      <c r="W51" s="46">
        <f t="shared" si="5"/>
        <v>0</v>
      </c>
      <c r="X51" s="28"/>
      <c r="Y51" s="53"/>
      <c r="Z51" s="22"/>
      <c r="AA51" s="48"/>
      <c r="AO51" s="54"/>
      <c r="AP51" s="3"/>
      <c r="AQ51" s="3"/>
      <c r="AR51" s="14"/>
    </row>
    <row r="52" ht="16.5" customHeight="1">
      <c r="A52" s="41">
        <v>46.0</v>
      </c>
      <c r="B52" s="42"/>
      <c r="C52" s="43"/>
      <c r="D52" s="44"/>
      <c r="E52" s="44"/>
      <c r="F52" s="45"/>
      <c r="G52" s="46">
        <f t="shared" si="1"/>
        <v>0</v>
      </c>
      <c r="H52" s="44"/>
      <c r="I52" s="44"/>
      <c r="J52" s="45"/>
      <c r="K52" s="46">
        <f t="shared" si="2"/>
        <v>0</v>
      </c>
      <c r="L52" s="44"/>
      <c r="M52" s="44"/>
      <c r="N52" s="44"/>
      <c r="O52" s="46">
        <f t="shared" si="3"/>
        <v>0</v>
      </c>
      <c r="P52" s="32"/>
      <c r="Q52" s="32"/>
      <c r="R52" s="44"/>
      <c r="S52" s="46">
        <f t="shared" si="4"/>
        <v>0</v>
      </c>
      <c r="T52" s="32"/>
      <c r="U52" s="32"/>
      <c r="V52" s="44"/>
      <c r="W52" s="46">
        <f t="shared" si="5"/>
        <v>0</v>
      </c>
      <c r="X52" s="28"/>
      <c r="Y52" s="53"/>
      <c r="Z52" s="22"/>
      <c r="AA52" s="48"/>
      <c r="AO52" s="54"/>
      <c r="AP52" s="3"/>
      <c r="AQ52" s="3"/>
      <c r="AR52" s="14"/>
    </row>
    <row r="53" ht="16.5" customHeight="1">
      <c r="A53" s="41">
        <v>47.0</v>
      </c>
      <c r="B53" s="42"/>
      <c r="C53" s="43"/>
      <c r="D53" s="44"/>
      <c r="E53" s="44"/>
      <c r="F53" s="45"/>
      <c r="G53" s="46">
        <f t="shared" si="1"/>
        <v>0</v>
      </c>
      <c r="H53" s="44"/>
      <c r="I53" s="44"/>
      <c r="J53" s="45"/>
      <c r="K53" s="46">
        <f t="shared" si="2"/>
        <v>0</v>
      </c>
      <c r="L53" s="44"/>
      <c r="M53" s="44"/>
      <c r="N53" s="44"/>
      <c r="O53" s="46">
        <f t="shared" si="3"/>
        <v>0</v>
      </c>
      <c r="P53" s="32"/>
      <c r="Q53" s="32"/>
      <c r="R53" s="44"/>
      <c r="S53" s="46">
        <f t="shared" si="4"/>
        <v>0</v>
      </c>
      <c r="T53" s="32"/>
      <c r="U53" s="32"/>
      <c r="V53" s="44"/>
      <c r="W53" s="46">
        <f t="shared" si="5"/>
        <v>0</v>
      </c>
      <c r="X53" s="28"/>
      <c r="Y53" s="53"/>
      <c r="Z53" s="22"/>
      <c r="AA53" s="48"/>
      <c r="AO53" s="54"/>
      <c r="AP53" s="3"/>
      <c r="AQ53" s="3"/>
      <c r="AR53" s="14"/>
    </row>
    <row r="54" ht="16.5" customHeight="1">
      <c r="A54" s="41">
        <v>48.0</v>
      </c>
      <c r="B54" s="42"/>
      <c r="C54" s="43"/>
      <c r="D54" s="44"/>
      <c r="E54" s="44"/>
      <c r="F54" s="45"/>
      <c r="G54" s="46">
        <f t="shared" si="1"/>
        <v>0</v>
      </c>
      <c r="H54" s="44"/>
      <c r="I54" s="44"/>
      <c r="J54" s="45"/>
      <c r="K54" s="46">
        <f t="shared" si="2"/>
        <v>0</v>
      </c>
      <c r="L54" s="44"/>
      <c r="M54" s="44"/>
      <c r="N54" s="44"/>
      <c r="O54" s="46">
        <f t="shared" si="3"/>
        <v>0</v>
      </c>
      <c r="P54" s="32"/>
      <c r="Q54" s="32"/>
      <c r="R54" s="44"/>
      <c r="S54" s="46">
        <f t="shared" si="4"/>
        <v>0</v>
      </c>
      <c r="T54" s="32"/>
      <c r="U54" s="32"/>
      <c r="V54" s="44"/>
      <c r="W54" s="46">
        <f t="shared" si="5"/>
        <v>0</v>
      </c>
      <c r="X54" s="28"/>
      <c r="Y54" s="53"/>
      <c r="Z54" s="22"/>
      <c r="AA54" s="48"/>
      <c r="AO54" s="54"/>
      <c r="AP54" s="3"/>
      <c r="AQ54" s="3"/>
      <c r="AR54" s="14"/>
    </row>
    <row r="55" ht="16.5" customHeight="1">
      <c r="A55" s="41">
        <v>49.0</v>
      </c>
      <c r="B55" s="42"/>
      <c r="C55" s="43"/>
      <c r="D55" s="44"/>
      <c r="E55" s="44"/>
      <c r="F55" s="45"/>
      <c r="G55" s="46">
        <f t="shared" si="1"/>
        <v>0</v>
      </c>
      <c r="H55" s="44"/>
      <c r="I55" s="44"/>
      <c r="J55" s="45"/>
      <c r="K55" s="46">
        <f t="shared" si="2"/>
        <v>0</v>
      </c>
      <c r="L55" s="44"/>
      <c r="M55" s="44"/>
      <c r="N55" s="44"/>
      <c r="O55" s="46">
        <f t="shared" si="3"/>
        <v>0</v>
      </c>
      <c r="P55" s="32"/>
      <c r="Q55" s="32"/>
      <c r="R55" s="44"/>
      <c r="S55" s="46">
        <f t="shared" si="4"/>
        <v>0</v>
      </c>
      <c r="T55" s="32"/>
      <c r="U55" s="32"/>
      <c r="V55" s="44"/>
      <c r="W55" s="46">
        <f t="shared" si="5"/>
        <v>0</v>
      </c>
      <c r="X55" s="28"/>
      <c r="Y55" s="53"/>
      <c r="Z55" s="22"/>
      <c r="AA55" s="48"/>
      <c r="AO55" s="54"/>
      <c r="AP55" s="3"/>
      <c r="AQ55" s="3"/>
      <c r="AR55" s="14"/>
    </row>
    <row r="56" ht="16.5" customHeight="1">
      <c r="A56" s="41">
        <v>50.0</v>
      </c>
      <c r="B56" s="42"/>
      <c r="C56" s="43"/>
      <c r="D56" s="44"/>
      <c r="E56" s="44"/>
      <c r="F56" s="45"/>
      <c r="G56" s="46">
        <f t="shared" si="1"/>
        <v>0</v>
      </c>
      <c r="H56" s="44"/>
      <c r="I56" s="44"/>
      <c r="J56" s="45"/>
      <c r="K56" s="46">
        <f t="shared" si="2"/>
        <v>0</v>
      </c>
      <c r="L56" s="44"/>
      <c r="M56" s="44"/>
      <c r="N56" s="44"/>
      <c r="O56" s="46">
        <f t="shared" si="3"/>
        <v>0</v>
      </c>
      <c r="P56" s="32"/>
      <c r="Q56" s="32"/>
      <c r="R56" s="44"/>
      <c r="S56" s="46">
        <f t="shared" si="4"/>
        <v>0</v>
      </c>
      <c r="T56" s="32"/>
      <c r="U56" s="32"/>
      <c r="V56" s="44"/>
      <c r="W56" s="46">
        <f t="shared" si="5"/>
        <v>0</v>
      </c>
      <c r="X56" s="28"/>
      <c r="Y56" s="53"/>
      <c r="Z56" s="22"/>
      <c r="AA56" s="48"/>
      <c r="AO56" s="54"/>
      <c r="AP56" s="3"/>
      <c r="AQ56" s="3"/>
      <c r="AR56" s="14"/>
    </row>
    <row r="57" ht="16.5" customHeight="1">
      <c r="A57" s="41">
        <v>51.0</v>
      </c>
      <c r="B57" s="42"/>
      <c r="C57" s="43"/>
      <c r="D57" s="44"/>
      <c r="E57" s="44"/>
      <c r="F57" s="45"/>
      <c r="G57" s="46">
        <f t="shared" si="1"/>
        <v>0</v>
      </c>
      <c r="H57" s="44"/>
      <c r="I57" s="44"/>
      <c r="J57" s="45"/>
      <c r="K57" s="46">
        <f t="shared" si="2"/>
        <v>0</v>
      </c>
      <c r="L57" s="44"/>
      <c r="M57" s="44"/>
      <c r="N57" s="44"/>
      <c r="O57" s="46">
        <f t="shared" si="3"/>
        <v>0</v>
      </c>
      <c r="P57" s="32"/>
      <c r="Q57" s="32"/>
      <c r="R57" s="44"/>
      <c r="S57" s="46">
        <f t="shared" si="4"/>
        <v>0</v>
      </c>
      <c r="T57" s="32"/>
      <c r="U57" s="32"/>
      <c r="V57" s="44"/>
      <c r="W57" s="46">
        <f t="shared" si="5"/>
        <v>0</v>
      </c>
      <c r="X57" s="28"/>
      <c r="Y57" s="53"/>
      <c r="Z57" s="22"/>
      <c r="AA57" s="48"/>
      <c r="AO57" s="54"/>
      <c r="AP57" s="3"/>
      <c r="AQ57" s="3"/>
      <c r="AR57" s="14"/>
    </row>
    <row r="58" ht="16.5" customHeight="1">
      <c r="A58" s="41">
        <v>52.0</v>
      </c>
      <c r="B58" s="42"/>
      <c r="C58" s="43"/>
      <c r="D58" s="44"/>
      <c r="E58" s="44"/>
      <c r="F58" s="45"/>
      <c r="G58" s="46">
        <f t="shared" si="1"/>
        <v>0</v>
      </c>
      <c r="H58" s="44"/>
      <c r="I58" s="44"/>
      <c r="J58" s="45"/>
      <c r="K58" s="46">
        <f t="shared" si="2"/>
        <v>0</v>
      </c>
      <c r="L58" s="44"/>
      <c r="M58" s="44"/>
      <c r="N58" s="44"/>
      <c r="O58" s="46">
        <f t="shared" si="3"/>
        <v>0</v>
      </c>
      <c r="P58" s="32"/>
      <c r="Q58" s="32"/>
      <c r="R58" s="44"/>
      <c r="S58" s="46">
        <f t="shared" si="4"/>
        <v>0</v>
      </c>
      <c r="T58" s="32"/>
      <c r="U58" s="32"/>
      <c r="V58" s="44"/>
      <c r="W58" s="46">
        <f t="shared" si="5"/>
        <v>0</v>
      </c>
      <c r="X58" s="28"/>
      <c r="Y58" s="53"/>
      <c r="Z58" s="22"/>
      <c r="AA58" s="48"/>
      <c r="AO58" s="54"/>
      <c r="AP58" s="3"/>
      <c r="AQ58" s="3"/>
      <c r="AR58" s="14"/>
    </row>
    <row r="59" ht="16.5" customHeight="1">
      <c r="A59" s="41">
        <v>53.0</v>
      </c>
      <c r="B59" s="42"/>
      <c r="C59" s="43"/>
      <c r="D59" s="44"/>
      <c r="E59" s="44"/>
      <c r="F59" s="45"/>
      <c r="G59" s="46">
        <f t="shared" si="1"/>
        <v>0</v>
      </c>
      <c r="H59" s="44"/>
      <c r="I59" s="44"/>
      <c r="J59" s="45"/>
      <c r="K59" s="46">
        <f t="shared" si="2"/>
        <v>0</v>
      </c>
      <c r="L59" s="44"/>
      <c r="M59" s="44"/>
      <c r="N59" s="44"/>
      <c r="O59" s="46">
        <f t="shared" si="3"/>
        <v>0</v>
      </c>
      <c r="P59" s="32"/>
      <c r="Q59" s="32"/>
      <c r="R59" s="44"/>
      <c r="S59" s="46">
        <f t="shared" si="4"/>
        <v>0</v>
      </c>
      <c r="T59" s="32"/>
      <c r="U59" s="32"/>
      <c r="V59" s="44"/>
      <c r="W59" s="46">
        <f t="shared" si="5"/>
        <v>0</v>
      </c>
      <c r="X59" s="28"/>
      <c r="Y59" s="53"/>
      <c r="Z59" s="22"/>
      <c r="AA59" s="48"/>
      <c r="AO59" s="54"/>
      <c r="AP59" s="3"/>
      <c r="AQ59" s="3"/>
      <c r="AR59" s="14"/>
    </row>
    <row r="60" ht="16.5" customHeight="1">
      <c r="A60" s="41">
        <v>54.0</v>
      </c>
      <c r="B60" s="42"/>
      <c r="C60" s="43"/>
      <c r="D60" s="44"/>
      <c r="E60" s="44"/>
      <c r="F60" s="45"/>
      <c r="G60" s="46">
        <f t="shared" si="1"/>
        <v>0</v>
      </c>
      <c r="H60" s="44"/>
      <c r="I60" s="44"/>
      <c r="J60" s="45"/>
      <c r="K60" s="46">
        <f t="shared" si="2"/>
        <v>0</v>
      </c>
      <c r="L60" s="44"/>
      <c r="M60" s="44"/>
      <c r="N60" s="44"/>
      <c r="O60" s="46">
        <f t="shared" si="3"/>
        <v>0</v>
      </c>
      <c r="P60" s="32"/>
      <c r="Q60" s="32"/>
      <c r="R60" s="44"/>
      <c r="S60" s="46">
        <f t="shared" si="4"/>
        <v>0</v>
      </c>
      <c r="T60" s="32"/>
      <c r="U60" s="32"/>
      <c r="V60" s="44"/>
      <c r="W60" s="46">
        <f t="shared" si="5"/>
        <v>0</v>
      </c>
      <c r="X60" s="28"/>
      <c r="Y60" s="53"/>
      <c r="Z60" s="22"/>
      <c r="AA60" s="48"/>
      <c r="AO60" s="54"/>
      <c r="AP60" s="3"/>
      <c r="AQ60" s="3"/>
      <c r="AR60" s="14"/>
    </row>
    <row r="61" ht="16.5" customHeight="1">
      <c r="A61" s="41">
        <v>55.0</v>
      </c>
      <c r="B61" s="42"/>
      <c r="C61" s="43"/>
      <c r="D61" s="44"/>
      <c r="E61" s="44"/>
      <c r="F61" s="45"/>
      <c r="G61" s="46">
        <f t="shared" si="1"/>
        <v>0</v>
      </c>
      <c r="H61" s="44"/>
      <c r="I61" s="44"/>
      <c r="J61" s="45"/>
      <c r="K61" s="46">
        <f t="shared" si="2"/>
        <v>0</v>
      </c>
      <c r="L61" s="44"/>
      <c r="M61" s="44"/>
      <c r="N61" s="44"/>
      <c r="O61" s="46">
        <f t="shared" si="3"/>
        <v>0</v>
      </c>
      <c r="P61" s="32"/>
      <c r="Q61" s="32"/>
      <c r="R61" s="44"/>
      <c r="S61" s="46">
        <f t="shared" si="4"/>
        <v>0</v>
      </c>
      <c r="T61" s="32"/>
      <c r="U61" s="32"/>
      <c r="V61" s="44"/>
      <c r="W61" s="46">
        <f t="shared" si="5"/>
        <v>0</v>
      </c>
      <c r="X61" s="28"/>
      <c r="Y61" s="53"/>
      <c r="Z61" s="22"/>
      <c r="AA61" s="48"/>
      <c r="AO61" s="54"/>
      <c r="AP61" s="3"/>
      <c r="AQ61" s="3"/>
      <c r="AR61" s="14"/>
    </row>
    <row r="62" ht="16.5" customHeight="1">
      <c r="A62" s="41">
        <v>56.0</v>
      </c>
      <c r="B62" s="42"/>
      <c r="C62" s="43"/>
      <c r="D62" s="44"/>
      <c r="E62" s="44"/>
      <c r="F62" s="45"/>
      <c r="G62" s="46">
        <f t="shared" si="1"/>
        <v>0</v>
      </c>
      <c r="H62" s="44"/>
      <c r="I62" s="44"/>
      <c r="J62" s="45"/>
      <c r="K62" s="46">
        <f t="shared" si="2"/>
        <v>0</v>
      </c>
      <c r="L62" s="44"/>
      <c r="M62" s="44"/>
      <c r="N62" s="44"/>
      <c r="O62" s="46">
        <f t="shared" si="3"/>
        <v>0</v>
      </c>
      <c r="P62" s="32"/>
      <c r="Q62" s="32"/>
      <c r="R62" s="44"/>
      <c r="S62" s="46">
        <f t="shared" si="4"/>
        <v>0</v>
      </c>
      <c r="T62" s="32"/>
      <c r="U62" s="32"/>
      <c r="V62" s="44"/>
      <c r="W62" s="46">
        <f t="shared" si="5"/>
        <v>0</v>
      </c>
      <c r="X62" s="28"/>
      <c r="Y62" s="53"/>
      <c r="Z62" s="22"/>
      <c r="AA62" s="48"/>
      <c r="AO62" s="54"/>
      <c r="AP62" s="3"/>
      <c r="AQ62" s="3"/>
      <c r="AR62" s="14"/>
    </row>
    <row r="63" ht="16.5" customHeight="1">
      <c r="A63" s="41">
        <v>57.0</v>
      </c>
      <c r="B63" s="42"/>
      <c r="C63" s="43"/>
      <c r="D63" s="44"/>
      <c r="E63" s="44"/>
      <c r="F63" s="45"/>
      <c r="G63" s="46">
        <f t="shared" si="1"/>
        <v>0</v>
      </c>
      <c r="H63" s="44"/>
      <c r="I63" s="44"/>
      <c r="J63" s="45"/>
      <c r="K63" s="46">
        <f t="shared" si="2"/>
        <v>0</v>
      </c>
      <c r="L63" s="44"/>
      <c r="M63" s="44"/>
      <c r="N63" s="44"/>
      <c r="O63" s="46">
        <f t="shared" si="3"/>
        <v>0</v>
      </c>
      <c r="P63" s="32"/>
      <c r="Q63" s="32"/>
      <c r="R63" s="44"/>
      <c r="S63" s="46">
        <f t="shared" si="4"/>
        <v>0</v>
      </c>
      <c r="T63" s="32"/>
      <c r="U63" s="32"/>
      <c r="V63" s="44"/>
      <c r="W63" s="46">
        <f t="shared" si="5"/>
        <v>0</v>
      </c>
      <c r="X63" s="28"/>
      <c r="Y63" s="53"/>
      <c r="Z63" s="22"/>
      <c r="AA63" s="48"/>
      <c r="AO63" s="54"/>
      <c r="AP63" s="3"/>
      <c r="AQ63" s="3"/>
      <c r="AR63" s="14"/>
    </row>
    <row r="64" ht="16.5" customHeight="1">
      <c r="A64" s="41">
        <v>58.0</v>
      </c>
      <c r="B64" s="42"/>
      <c r="C64" s="43"/>
      <c r="D64" s="44"/>
      <c r="E64" s="44"/>
      <c r="F64" s="45"/>
      <c r="G64" s="46">
        <f t="shared" si="1"/>
        <v>0</v>
      </c>
      <c r="H64" s="44"/>
      <c r="I64" s="44"/>
      <c r="J64" s="45"/>
      <c r="K64" s="46">
        <f t="shared" si="2"/>
        <v>0</v>
      </c>
      <c r="L64" s="44"/>
      <c r="M64" s="44"/>
      <c r="N64" s="44"/>
      <c r="O64" s="46">
        <f t="shared" si="3"/>
        <v>0</v>
      </c>
      <c r="P64" s="32"/>
      <c r="Q64" s="32"/>
      <c r="R64" s="44"/>
      <c r="S64" s="46">
        <f t="shared" si="4"/>
        <v>0</v>
      </c>
      <c r="T64" s="32"/>
      <c r="U64" s="32"/>
      <c r="V64" s="44"/>
      <c r="W64" s="46">
        <f t="shared" si="5"/>
        <v>0</v>
      </c>
      <c r="X64" s="28"/>
      <c r="Y64" s="53"/>
      <c r="Z64" s="22"/>
      <c r="AA64" s="48"/>
      <c r="AO64" s="54"/>
      <c r="AP64" s="3"/>
      <c r="AQ64" s="3"/>
      <c r="AR64" s="14"/>
    </row>
    <row r="65" ht="16.5" customHeight="1">
      <c r="A65" s="41">
        <v>59.0</v>
      </c>
      <c r="B65" s="42"/>
      <c r="C65" s="43"/>
      <c r="D65" s="44"/>
      <c r="E65" s="44"/>
      <c r="F65" s="45"/>
      <c r="G65" s="46">
        <f t="shared" si="1"/>
        <v>0</v>
      </c>
      <c r="H65" s="44"/>
      <c r="I65" s="44"/>
      <c r="J65" s="45"/>
      <c r="K65" s="46">
        <f t="shared" si="2"/>
        <v>0</v>
      </c>
      <c r="L65" s="44"/>
      <c r="M65" s="44"/>
      <c r="N65" s="44"/>
      <c r="O65" s="46">
        <f t="shared" si="3"/>
        <v>0</v>
      </c>
      <c r="P65" s="32"/>
      <c r="Q65" s="32"/>
      <c r="R65" s="44"/>
      <c r="S65" s="46">
        <f t="shared" si="4"/>
        <v>0</v>
      </c>
      <c r="T65" s="32"/>
      <c r="U65" s="32"/>
      <c r="V65" s="44"/>
      <c r="W65" s="46">
        <f t="shared" si="5"/>
        <v>0</v>
      </c>
      <c r="X65" s="28"/>
      <c r="Y65" s="53"/>
      <c r="Z65" s="22"/>
      <c r="AA65" s="48"/>
      <c r="AO65" s="54"/>
      <c r="AP65" s="3"/>
      <c r="AQ65" s="3"/>
      <c r="AR65" s="14"/>
    </row>
    <row r="66" ht="16.5" customHeight="1">
      <c r="A66" s="41">
        <v>60.0</v>
      </c>
      <c r="B66" s="42"/>
      <c r="C66" s="43"/>
      <c r="D66" s="44"/>
      <c r="E66" s="44"/>
      <c r="F66" s="45"/>
      <c r="G66" s="46">
        <f t="shared" si="1"/>
        <v>0</v>
      </c>
      <c r="H66" s="44"/>
      <c r="I66" s="44"/>
      <c r="J66" s="45"/>
      <c r="K66" s="46">
        <f t="shared" si="2"/>
        <v>0</v>
      </c>
      <c r="L66" s="44"/>
      <c r="M66" s="44"/>
      <c r="N66" s="44"/>
      <c r="O66" s="46">
        <f t="shared" si="3"/>
        <v>0</v>
      </c>
      <c r="P66" s="32"/>
      <c r="Q66" s="32"/>
      <c r="R66" s="44"/>
      <c r="S66" s="46">
        <f t="shared" si="4"/>
        <v>0</v>
      </c>
      <c r="T66" s="32"/>
      <c r="U66" s="32"/>
      <c r="V66" s="44"/>
      <c r="W66" s="46">
        <f t="shared" si="5"/>
        <v>0</v>
      </c>
      <c r="X66" s="28"/>
      <c r="Y66" s="53"/>
      <c r="Z66" s="22"/>
      <c r="AA66" s="48"/>
      <c r="AO66" s="54"/>
      <c r="AP66" s="3"/>
      <c r="AQ66" s="3"/>
      <c r="AR66" s="14"/>
    </row>
    <row r="67" ht="16.5" customHeight="1">
      <c r="A67" s="41">
        <v>61.0</v>
      </c>
      <c r="B67" s="42"/>
      <c r="C67" s="43"/>
      <c r="D67" s="44"/>
      <c r="E67" s="44"/>
      <c r="F67" s="45"/>
      <c r="G67" s="46">
        <f t="shared" si="1"/>
        <v>0</v>
      </c>
      <c r="H67" s="44"/>
      <c r="I67" s="44"/>
      <c r="J67" s="45"/>
      <c r="K67" s="46">
        <f t="shared" si="2"/>
        <v>0</v>
      </c>
      <c r="L67" s="44"/>
      <c r="M67" s="44"/>
      <c r="N67" s="44"/>
      <c r="O67" s="46">
        <f t="shared" si="3"/>
        <v>0</v>
      </c>
      <c r="P67" s="32"/>
      <c r="Q67" s="32"/>
      <c r="R67" s="44"/>
      <c r="S67" s="46">
        <f t="shared" si="4"/>
        <v>0</v>
      </c>
      <c r="T67" s="32"/>
      <c r="U67" s="32"/>
      <c r="V67" s="44"/>
      <c r="W67" s="46">
        <f t="shared" si="5"/>
        <v>0</v>
      </c>
      <c r="X67" s="28"/>
      <c r="Y67" s="53"/>
      <c r="Z67" s="22"/>
      <c r="AA67" s="48"/>
      <c r="AO67" s="54"/>
      <c r="AP67" s="3"/>
      <c r="AQ67" s="3"/>
      <c r="AR67" s="14"/>
    </row>
    <row r="68" ht="16.5" customHeight="1">
      <c r="A68" s="41">
        <v>62.0</v>
      </c>
      <c r="B68" s="42"/>
      <c r="C68" s="43"/>
      <c r="D68" s="44"/>
      <c r="E68" s="44"/>
      <c r="F68" s="45"/>
      <c r="G68" s="46">
        <f t="shared" si="1"/>
        <v>0</v>
      </c>
      <c r="H68" s="44"/>
      <c r="I68" s="44"/>
      <c r="J68" s="45"/>
      <c r="K68" s="46">
        <f t="shared" si="2"/>
        <v>0</v>
      </c>
      <c r="L68" s="44"/>
      <c r="M68" s="44"/>
      <c r="N68" s="44"/>
      <c r="O68" s="46">
        <f t="shared" si="3"/>
        <v>0</v>
      </c>
      <c r="P68" s="32"/>
      <c r="Q68" s="32"/>
      <c r="R68" s="44"/>
      <c r="S68" s="46">
        <f t="shared" si="4"/>
        <v>0</v>
      </c>
      <c r="T68" s="32"/>
      <c r="U68" s="32"/>
      <c r="V68" s="44"/>
      <c r="W68" s="46">
        <f t="shared" si="5"/>
        <v>0</v>
      </c>
      <c r="X68" s="28"/>
      <c r="Y68" s="53"/>
      <c r="Z68" s="22"/>
      <c r="AA68" s="48"/>
      <c r="AO68" s="54"/>
      <c r="AP68" s="3"/>
      <c r="AQ68" s="3"/>
      <c r="AR68" s="14"/>
    </row>
    <row r="69" ht="16.5" customHeight="1">
      <c r="A69" s="41">
        <v>63.0</v>
      </c>
      <c r="B69" s="42"/>
      <c r="C69" s="43"/>
      <c r="D69" s="44"/>
      <c r="E69" s="44"/>
      <c r="F69" s="45"/>
      <c r="G69" s="46">
        <f t="shared" si="1"/>
        <v>0</v>
      </c>
      <c r="H69" s="44"/>
      <c r="I69" s="44"/>
      <c r="J69" s="45"/>
      <c r="K69" s="46">
        <f t="shared" si="2"/>
        <v>0</v>
      </c>
      <c r="L69" s="44"/>
      <c r="M69" s="44"/>
      <c r="N69" s="44"/>
      <c r="O69" s="46">
        <f t="shared" si="3"/>
        <v>0</v>
      </c>
      <c r="P69" s="32"/>
      <c r="Q69" s="32"/>
      <c r="R69" s="44"/>
      <c r="S69" s="46">
        <f t="shared" si="4"/>
        <v>0</v>
      </c>
      <c r="T69" s="32"/>
      <c r="U69" s="32"/>
      <c r="V69" s="44"/>
      <c r="W69" s="46">
        <f t="shared" si="5"/>
        <v>0</v>
      </c>
      <c r="X69" s="28"/>
      <c r="Y69" s="53"/>
      <c r="Z69" s="22"/>
      <c r="AA69" s="48"/>
      <c r="AO69" s="54"/>
      <c r="AP69" s="3"/>
      <c r="AQ69" s="3"/>
      <c r="AR69" s="14"/>
    </row>
    <row r="70" ht="16.5" customHeight="1">
      <c r="A70" s="41">
        <v>64.0</v>
      </c>
      <c r="B70" s="42"/>
      <c r="C70" s="43"/>
      <c r="D70" s="44"/>
      <c r="E70" s="44"/>
      <c r="F70" s="45"/>
      <c r="G70" s="46">
        <f t="shared" si="1"/>
        <v>0</v>
      </c>
      <c r="H70" s="44"/>
      <c r="I70" s="44"/>
      <c r="J70" s="45"/>
      <c r="K70" s="46">
        <f t="shared" si="2"/>
        <v>0</v>
      </c>
      <c r="L70" s="44"/>
      <c r="M70" s="44"/>
      <c r="N70" s="44"/>
      <c r="O70" s="46">
        <f t="shared" si="3"/>
        <v>0</v>
      </c>
      <c r="P70" s="32"/>
      <c r="Q70" s="32"/>
      <c r="R70" s="44"/>
      <c r="S70" s="46">
        <f t="shared" si="4"/>
        <v>0</v>
      </c>
      <c r="T70" s="32"/>
      <c r="U70" s="32"/>
      <c r="V70" s="44"/>
      <c r="W70" s="46">
        <f t="shared" si="5"/>
        <v>0</v>
      </c>
      <c r="X70" s="28"/>
      <c r="Y70" s="53"/>
      <c r="Z70" s="22"/>
      <c r="AA70" s="48"/>
      <c r="AO70" s="54"/>
      <c r="AP70" s="3"/>
      <c r="AQ70" s="3"/>
      <c r="AR70" s="14"/>
    </row>
    <row r="71" ht="16.5" customHeight="1">
      <c r="A71" s="41">
        <v>65.0</v>
      </c>
      <c r="B71" s="42"/>
      <c r="C71" s="43"/>
      <c r="D71" s="44"/>
      <c r="E71" s="44"/>
      <c r="F71" s="45"/>
      <c r="G71" s="46">
        <f t="shared" si="1"/>
        <v>0</v>
      </c>
      <c r="H71" s="44"/>
      <c r="I71" s="44"/>
      <c r="J71" s="45"/>
      <c r="K71" s="46">
        <f t="shared" si="2"/>
        <v>0</v>
      </c>
      <c r="L71" s="44"/>
      <c r="M71" s="44"/>
      <c r="N71" s="44"/>
      <c r="O71" s="46">
        <f t="shared" si="3"/>
        <v>0</v>
      </c>
      <c r="P71" s="32"/>
      <c r="Q71" s="32"/>
      <c r="R71" s="44"/>
      <c r="S71" s="46">
        <f t="shared" si="4"/>
        <v>0</v>
      </c>
      <c r="T71" s="32"/>
      <c r="U71" s="32"/>
      <c r="V71" s="44"/>
      <c r="W71" s="46">
        <f t="shared" si="5"/>
        <v>0</v>
      </c>
      <c r="X71" s="28"/>
      <c r="Y71" s="53"/>
      <c r="Z71" s="22"/>
      <c r="AA71" s="48"/>
      <c r="AO71" s="54"/>
      <c r="AP71" s="3"/>
      <c r="AQ71" s="3"/>
      <c r="AR71" s="14"/>
    </row>
    <row r="72" ht="16.5" customHeight="1">
      <c r="A72" s="41">
        <v>66.0</v>
      </c>
      <c r="B72" s="42"/>
      <c r="C72" s="43"/>
      <c r="D72" s="44"/>
      <c r="E72" s="44"/>
      <c r="F72" s="45"/>
      <c r="G72" s="46">
        <f t="shared" si="1"/>
        <v>0</v>
      </c>
      <c r="H72" s="44"/>
      <c r="I72" s="44"/>
      <c r="J72" s="45"/>
      <c r="K72" s="46">
        <f t="shared" si="2"/>
        <v>0</v>
      </c>
      <c r="L72" s="44"/>
      <c r="M72" s="44"/>
      <c r="N72" s="44"/>
      <c r="O72" s="46">
        <f t="shared" si="3"/>
        <v>0</v>
      </c>
      <c r="P72" s="32"/>
      <c r="Q72" s="32"/>
      <c r="R72" s="44"/>
      <c r="S72" s="46">
        <f t="shared" si="4"/>
        <v>0</v>
      </c>
      <c r="T72" s="32"/>
      <c r="U72" s="32"/>
      <c r="V72" s="44"/>
      <c r="W72" s="46">
        <f t="shared" si="5"/>
        <v>0</v>
      </c>
      <c r="X72" s="28"/>
      <c r="Y72" s="53"/>
      <c r="Z72" s="22"/>
      <c r="AA72" s="48"/>
      <c r="AO72" s="54"/>
      <c r="AP72" s="3"/>
      <c r="AQ72" s="3"/>
      <c r="AR72" s="14"/>
    </row>
    <row r="73" ht="16.5" customHeight="1">
      <c r="A73" s="41">
        <v>67.0</v>
      </c>
      <c r="B73" s="42"/>
      <c r="C73" s="43"/>
      <c r="D73" s="44"/>
      <c r="E73" s="44"/>
      <c r="F73" s="45"/>
      <c r="G73" s="46">
        <f t="shared" si="1"/>
        <v>0</v>
      </c>
      <c r="H73" s="44"/>
      <c r="I73" s="44"/>
      <c r="J73" s="45"/>
      <c r="K73" s="46">
        <f t="shared" si="2"/>
        <v>0</v>
      </c>
      <c r="L73" s="44"/>
      <c r="M73" s="44"/>
      <c r="N73" s="44"/>
      <c r="O73" s="46">
        <f t="shared" si="3"/>
        <v>0</v>
      </c>
      <c r="P73" s="32"/>
      <c r="Q73" s="32"/>
      <c r="R73" s="44"/>
      <c r="S73" s="46">
        <f t="shared" si="4"/>
        <v>0</v>
      </c>
      <c r="T73" s="32"/>
      <c r="U73" s="32"/>
      <c r="V73" s="44"/>
      <c r="W73" s="46">
        <f t="shared" si="5"/>
        <v>0</v>
      </c>
      <c r="X73" s="28"/>
      <c r="Y73" s="53"/>
      <c r="Z73" s="22"/>
      <c r="AA73" s="48"/>
      <c r="AO73" s="54"/>
      <c r="AP73" s="3"/>
      <c r="AQ73" s="3"/>
      <c r="AR73" s="14"/>
    </row>
    <row r="74" ht="16.5" customHeight="1">
      <c r="A74" s="41">
        <v>68.0</v>
      </c>
      <c r="B74" s="42"/>
      <c r="C74" s="43"/>
      <c r="D74" s="44"/>
      <c r="E74" s="44"/>
      <c r="F74" s="45"/>
      <c r="G74" s="46">
        <f t="shared" si="1"/>
        <v>0</v>
      </c>
      <c r="H74" s="44"/>
      <c r="I74" s="44"/>
      <c r="J74" s="45"/>
      <c r="K74" s="46">
        <f t="shared" si="2"/>
        <v>0</v>
      </c>
      <c r="L74" s="44"/>
      <c r="M74" s="44"/>
      <c r="N74" s="44"/>
      <c r="O74" s="46">
        <f t="shared" si="3"/>
        <v>0</v>
      </c>
      <c r="P74" s="32"/>
      <c r="Q74" s="32"/>
      <c r="R74" s="44"/>
      <c r="S74" s="46">
        <f t="shared" si="4"/>
        <v>0</v>
      </c>
      <c r="T74" s="32"/>
      <c r="U74" s="32"/>
      <c r="V74" s="44"/>
      <c r="W74" s="46">
        <f t="shared" si="5"/>
        <v>0</v>
      </c>
      <c r="X74" s="28"/>
      <c r="Y74" s="53"/>
      <c r="Z74" s="22"/>
      <c r="AA74" s="48"/>
      <c r="AO74" s="54"/>
      <c r="AP74" s="3"/>
      <c r="AQ74" s="3"/>
      <c r="AR74" s="14"/>
    </row>
    <row r="75" ht="16.5" customHeight="1">
      <c r="A75" s="41">
        <v>69.0</v>
      </c>
      <c r="B75" s="42"/>
      <c r="C75" s="43"/>
      <c r="D75" s="44"/>
      <c r="E75" s="44"/>
      <c r="F75" s="45"/>
      <c r="G75" s="46">
        <f t="shared" si="1"/>
        <v>0</v>
      </c>
      <c r="H75" s="44"/>
      <c r="I75" s="44"/>
      <c r="J75" s="45"/>
      <c r="K75" s="46">
        <f t="shared" si="2"/>
        <v>0</v>
      </c>
      <c r="L75" s="44"/>
      <c r="M75" s="44"/>
      <c r="N75" s="44"/>
      <c r="O75" s="46">
        <f t="shared" si="3"/>
        <v>0</v>
      </c>
      <c r="P75" s="32"/>
      <c r="Q75" s="32"/>
      <c r="R75" s="44"/>
      <c r="S75" s="46">
        <f t="shared" si="4"/>
        <v>0</v>
      </c>
      <c r="T75" s="32"/>
      <c r="U75" s="32"/>
      <c r="V75" s="44"/>
      <c r="W75" s="46">
        <f t="shared" si="5"/>
        <v>0</v>
      </c>
      <c r="X75" s="28"/>
      <c r="Y75" s="53"/>
      <c r="Z75" s="22"/>
      <c r="AA75" s="48"/>
      <c r="AO75" s="54"/>
      <c r="AP75" s="3"/>
      <c r="AQ75" s="3"/>
      <c r="AR75" s="14"/>
    </row>
    <row r="76" ht="16.5" customHeight="1">
      <c r="A76" s="41">
        <v>70.0</v>
      </c>
      <c r="B76" s="42"/>
      <c r="C76" s="43"/>
      <c r="D76" s="44"/>
      <c r="E76" s="44"/>
      <c r="F76" s="45"/>
      <c r="G76" s="46">
        <f t="shared" si="1"/>
        <v>0</v>
      </c>
      <c r="H76" s="44"/>
      <c r="I76" s="44"/>
      <c r="J76" s="45"/>
      <c r="K76" s="46">
        <f t="shared" si="2"/>
        <v>0</v>
      </c>
      <c r="L76" s="44"/>
      <c r="M76" s="44"/>
      <c r="N76" s="44"/>
      <c r="O76" s="46">
        <f t="shared" si="3"/>
        <v>0</v>
      </c>
      <c r="P76" s="32"/>
      <c r="Q76" s="32"/>
      <c r="R76" s="44"/>
      <c r="S76" s="46">
        <f t="shared" si="4"/>
        <v>0</v>
      </c>
      <c r="T76" s="32"/>
      <c r="U76" s="32"/>
      <c r="V76" s="44"/>
      <c r="W76" s="46">
        <f t="shared" si="5"/>
        <v>0</v>
      </c>
      <c r="X76" s="28"/>
      <c r="Y76" s="53"/>
      <c r="Z76" s="22"/>
      <c r="AA76" s="48"/>
      <c r="AO76" s="54"/>
      <c r="AP76" s="3"/>
      <c r="AQ76" s="3"/>
      <c r="AR76" s="14"/>
    </row>
    <row r="77" ht="16.5" customHeight="1">
      <c r="A77" s="41">
        <v>71.0</v>
      </c>
      <c r="B77" s="42"/>
      <c r="C77" s="43"/>
      <c r="D77" s="44"/>
      <c r="E77" s="44"/>
      <c r="F77" s="45"/>
      <c r="G77" s="46">
        <f t="shared" si="1"/>
        <v>0</v>
      </c>
      <c r="H77" s="44"/>
      <c r="I77" s="44"/>
      <c r="J77" s="45"/>
      <c r="K77" s="46">
        <f t="shared" si="2"/>
        <v>0</v>
      </c>
      <c r="L77" s="44"/>
      <c r="M77" s="44"/>
      <c r="N77" s="44"/>
      <c r="O77" s="46">
        <f t="shared" si="3"/>
        <v>0</v>
      </c>
      <c r="P77" s="32"/>
      <c r="Q77" s="32"/>
      <c r="R77" s="44"/>
      <c r="S77" s="46">
        <f t="shared" si="4"/>
        <v>0</v>
      </c>
      <c r="T77" s="32"/>
      <c r="U77" s="32"/>
      <c r="V77" s="44"/>
      <c r="W77" s="46">
        <f t="shared" si="5"/>
        <v>0</v>
      </c>
      <c r="X77" s="28"/>
      <c r="Y77" s="53"/>
      <c r="Z77" s="22"/>
      <c r="AA77" s="48"/>
      <c r="AO77" s="54"/>
      <c r="AP77" s="3"/>
      <c r="AQ77" s="3"/>
      <c r="AR77" s="14"/>
    </row>
    <row r="78" ht="16.5" customHeight="1">
      <c r="A78" s="41">
        <v>73.0</v>
      </c>
      <c r="B78" s="42"/>
      <c r="C78" s="43"/>
      <c r="D78" s="44"/>
      <c r="E78" s="44"/>
      <c r="F78" s="45"/>
      <c r="G78" s="46">
        <f t="shared" si="1"/>
        <v>0</v>
      </c>
      <c r="H78" s="44"/>
      <c r="I78" s="44"/>
      <c r="J78" s="45"/>
      <c r="K78" s="46">
        <f t="shared" si="2"/>
        <v>0</v>
      </c>
      <c r="L78" s="44"/>
      <c r="M78" s="44"/>
      <c r="N78" s="44"/>
      <c r="O78" s="46">
        <f t="shared" si="3"/>
        <v>0</v>
      </c>
      <c r="P78" s="32"/>
      <c r="Q78" s="32"/>
      <c r="R78" s="44"/>
      <c r="S78" s="46">
        <f t="shared" si="4"/>
        <v>0</v>
      </c>
      <c r="T78" s="32"/>
      <c r="U78" s="32"/>
      <c r="V78" s="44"/>
      <c r="W78" s="46">
        <f t="shared" si="5"/>
        <v>0</v>
      </c>
      <c r="X78" s="28"/>
      <c r="Y78" s="53"/>
      <c r="Z78" s="22"/>
      <c r="AA78" s="48"/>
      <c r="AO78" s="54"/>
      <c r="AP78" s="3"/>
      <c r="AQ78" s="3"/>
      <c r="AR78" s="14"/>
    </row>
    <row r="79" ht="16.5" customHeight="1">
      <c r="A79" s="41">
        <v>74.0</v>
      </c>
      <c r="B79" s="42"/>
      <c r="C79" s="43"/>
      <c r="D79" s="44"/>
      <c r="E79" s="44"/>
      <c r="F79" s="45"/>
      <c r="G79" s="46">
        <f t="shared" si="1"/>
        <v>0</v>
      </c>
      <c r="H79" s="44"/>
      <c r="I79" s="44"/>
      <c r="J79" s="45"/>
      <c r="K79" s="46">
        <f t="shared" si="2"/>
        <v>0</v>
      </c>
      <c r="L79" s="44"/>
      <c r="M79" s="44"/>
      <c r="N79" s="44"/>
      <c r="O79" s="46">
        <f t="shared" si="3"/>
        <v>0</v>
      </c>
      <c r="P79" s="32"/>
      <c r="Q79" s="32"/>
      <c r="R79" s="44"/>
      <c r="S79" s="46">
        <f t="shared" si="4"/>
        <v>0</v>
      </c>
      <c r="T79" s="32"/>
      <c r="U79" s="32"/>
      <c r="V79" s="44"/>
      <c r="W79" s="46">
        <f t="shared" si="5"/>
        <v>0</v>
      </c>
      <c r="X79" s="28"/>
      <c r="Y79" s="53"/>
      <c r="Z79" s="22"/>
      <c r="AA79" s="48"/>
      <c r="AO79" s="54"/>
      <c r="AP79" s="3"/>
      <c r="AQ79" s="3"/>
      <c r="AR79" s="14"/>
    </row>
    <row r="80" ht="16.5" customHeight="1">
      <c r="A80" s="41">
        <v>75.0</v>
      </c>
      <c r="B80" s="42"/>
      <c r="C80" s="43"/>
      <c r="D80" s="44"/>
      <c r="E80" s="44"/>
      <c r="F80" s="45"/>
      <c r="G80" s="46">
        <f t="shared" si="1"/>
        <v>0</v>
      </c>
      <c r="H80" s="44"/>
      <c r="I80" s="44"/>
      <c r="J80" s="45"/>
      <c r="K80" s="46">
        <f t="shared" si="2"/>
        <v>0</v>
      </c>
      <c r="L80" s="44"/>
      <c r="M80" s="44"/>
      <c r="N80" s="44"/>
      <c r="O80" s="46">
        <f t="shared" si="3"/>
        <v>0</v>
      </c>
      <c r="P80" s="32"/>
      <c r="Q80" s="32"/>
      <c r="R80" s="44"/>
      <c r="S80" s="46">
        <f t="shared" si="4"/>
        <v>0</v>
      </c>
      <c r="T80" s="32"/>
      <c r="U80" s="32"/>
      <c r="V80" s="44"/>
      <c r="W80" s="46">
        <f t="shared" si="5"/>
        <v>0</v>
      </c>
      <c r="X80" s="28"/>
      <c r="Y80" s="53"/>
      <c r="Z80" s="22"/>
      <c r="AA80" s="48"/>
      <c r="AO80" s="54"/>
      <c r="AP80" s="3"/>
      <c r="AQ80" s="3"/>
      <c r="AR80" s="14"/>
    </row>
    <row r="81" ht="16.5" customHeight="1">
      <c r="A81" s="41">
        <v>76.0</v>
      </c>
      <c r="B81" s="42"/>
      <c r="C81" s="43"/>
      <c r="D81" s="44"/>
      <c r="E81" s="44"/>
      <c r="F81" s="45"/>
      <c r="G81" s="46">
        <f t="shared" si="1"/>
        <v>0</v>
      </c>
      <c r="H81" s="44"/>
      <c r="I81" s="44"/>
      <c r="J81" s="45"/>
      <c r="K81" s="46">
        <f t="shared" si="2"/>
        <v>0</v>
      </c>
      <c r="L81" s="44"/>
      <c r="M81" s="44"/>
      <c r="N81" s="44"/>
      <c r="O81" s="46">
        <f t="shared" si="3"/>
        <v>0</v>
      </c>
      <c r="P81" s="32"/>
      <c r="Q81" s="32"/>
      <c r="R81" s="44"/>
      <c r="S81" s="46">
        <f t="shared" si="4"/>
        <v>0</v>
      </c>
      <c r="T81" s="32"/>
      <c r="U81" s="32"/>
      <c r="V81" s="44"/>
      <c r="W81" s="46">
        <f t="shared" si="5"/>
        <v>0</v>
      </c>
      <c r="X81" s="28"/>
      <c r="Y81" s="53"/>
      <c r="Z81" s="22"/>
      <c r="AA81" s="48"/>
      <c r="AO81" s="54"/>
      <c r="AP81" s="3"/>
      <c r="AQ81" s="3"/>
      <c r="AR81" s="14"/>
    </row>
    <row r="82" ht="16.5" customHeight="1">
      <c r="A82" s="41">
        <v>77.0</v>
      </c>
      <c r="B82" s="42"/>
      <c r="C82" s="43"/>
      <c r="D82" s="44"/>
      <c r="E82" s="44"/>
      <c r="F82" s="45"/>
      <c r="G82" s="46">
        <f t="shared" si="1"/>
        <v>0</v>
      </c>
      <c r="H82" s="44"/>
      <c r="I82" s="44"/>
      <c r="J82" s="45"/>
      <c r="K82" s="46">
        <f t="shared" si="2"/>
        <v>0</v>
      </c>
      <c r="L82" s="44"/>
      <c r="M82" s="44"/>
      <c r="N82" s="44"/>
      <c r="O82" s="46">
        <f t="shared" si="3"/>
        <v>0</v>
      </c>
      <c r="P82" s="32"/>
      <c r="Q82" s="32"/>
      <c r="R82" s="44"/>
      <c r="S82" s="46">
        <f t="shared" si="4"/>
        <v>0</v>
      </c>
      <c r="T82" s="32"/>
      <c r="U82" s="32"/>
      <c r="V82" s="44"/>
      <c r="W82" s="46">
        <f t="shared" si="5"/>
        <v>0</v>
      </c>
      <c r="X82" s="28"/>
      <c r="Y82" s="53"/>
      <c r="Z82" s="22"/>
      <c r="AA82" s="48"/>
      <c r="AO82" s="54"/>
      <c r="AP82" s="3"/>
      <c r="AQ82" s="3"/>
      <c r="AR82" s="14"/>
    </row>
    <row r="83" ht="16.5" customHeight="1">
      <c r="A83" s="41">
        <v>78.0</v>
      </c>
      <c r="B83" s="42"/>
      <c r="C83" s="43"/>
      <c r="D83" s="44"/>
      <c r="E83" s="44"/>
      <c r="F83" s="45"/>
      <c r="G83" s="46">
        <f t="shared" si="1"/>
        <v>0</v>
      </c>
      <c r="H83" s="44"/>
      <c r="I83" s="44"/>
      <c r="J83" s="45"/>
      <c r="K83" s="46">
        <f t="shared" si="2"/>
        <v>0</v>
      </c>
      <c r="L83" s="44"/>
      <c r="M83" s="44"/>
      <c r="N83" s="44"/>
      <c r="O83" s="46">
        <f t="shared" si="3"/>
        <v>0</v>
      </c>
      <c r="P83" s="32"/>
      <c r="Q83" s="32"/>
      <c r="R83" s="44"/>
      <c r="S83" s="46">
        <f t="shared" si="4"/>
        <v>0</v>
      </c>
      <c r="T83" s="32"/>
      <c r="U83" s="32"/>
      <c r="V83" s="44"/>
      <c r="W83" s="46">
        <f t="shared" si="5"/>
        <v>0</v>
      </c>
      <c r="X83" s="28"/>
      <c r="Y83" s="53"/>
      <c r="Z83" s="22"/>
      <c r="AA83" s="48"/>
      <c r="AO83" s="54"/>
      <c r="AP83" s="3"/>
      <c r="AQ83" s="3"/>
      <c r="AR83" s="14"/>
    </row>
    <row r="84" ht="16.5" customHeight="1">
      <c r="A84" s="41">
        <v>79.0</v>
      </c>
      <c r="B84" s="42"/>
      <c r="C84" s="43"/>
      <c r="D84" s="44"/>
      <c r="E84" s="44"/>
      <c r="F84" s="45"/>
      <c r="G84" s="46">
        <f t="shared" si="1"/>
        <v>0</v>
      </c>
      <c r="H84" s="44"/>
      <c r="I84" s="44"/>
      <c r="J84" s="45"/>
      <c r="K84" s="46">
        <f t="shared" si="2"/>
        <v>0</v>
      </c>
      <c r="L84" s="44"/>
      <c r="M84" s="44"/>
      <c r="N84" s="44"/>
      <c r="O84" s="46">
        <f t="shared" si="3"/>
        <v>0</v>
      </c>
      <c r="P84" s="32"/>
      <c r="Q84" s="32"/>
      <c r="R84" s="44"/>
      <c r="S84" s="46">
        <f t="shared" si="4"/>
        <v>0</v>
      </c>
      <c r="T84" s="32"/>
      <c r="U84" s="32"/>
      <c r="V84" s="44"/>
      <c r="W84" s="46">
        <f t="shared" si="5"/>
        <v>0</v>
      </c>
      <c r="X84" s="28"/>
      <c r="Y84" s="53"/>
      <c r="Z84" s="22"/>
      <c r="AA84" s="48"/>
      <c r="AO84" s="54"/>
      <c r="AP84" s="3"/>
      <c r="AQ84" s="3"/>
      <c r="AR84" s="14"/>
    </row>
    <row r="85" ht="16.5" customHeight="1">
      <c r="A85" s="41">
        <v>80.0</v>
      </c>
      <c r="B85" s="42"/>
      <c r="C85" s="43"/>
      <c r="D85" s="44"/>
      <c r="E85" s="44"/>
      <c r="F85" s="45"/>
      <c r="G85" s="46">
        <f t="shared" si="1"/>
        <v>0</v>
      </c>
      <c r="H85" s="44"/>
      <c r="I85" s="44"/>
      <c r="J85" s="45"/>
      <c r="K85" s="46">
        <f t="shared" si="2"/>
        <v>0</v>
      </c>
      <c r="L85" s="44"/>
      <c r="M85" s="44"/>
      <c r="N85" s="44"/>
      <c r="O85" s="46">
        <f t="shared" si="3"/>
        <v>0</v>
      </c>
      <c r="P85" s="32"/>
      <c r="Q85" s="32"/>
      <c r="R85" s="44"/>
      <c r="S85" s="46">
        <f t="shared" si="4"/>
        <v>0</v>
      </c>
      <c r="T85" s="32"/>
      <c r="U85" s="32"/>
      <c r="V85" s="44"/>
      <c r="W85" s="46">
        <f t="shared" si="5"/>
        <v>0</v>
      </c>
      <c r="X85" s="28"/>
      <c r="Y85" s="53"/>
      <c r="Z85" s="22"/>
      <c r="AA85" s="48"/>
      <c r="AO85" s="54"/>
      <c r="AP85" s="3"/>
      <c r="AQ85" s="3"/>
      <c r="AR85" s="14"/>
    </row>
    <row r="86" ht="16.5" customHeight="1">
      <c r="A86" s="41">
        <v>81.0</v>
      </c>
      <c r="B86" s="42"/>
      <c r="C86" s="43"/>
      <c r="D86" s="44"/>
      <c r="E86" s="44"/>
      <c r="F86" s="45"/>
      <c r="G86" s="46">
        <f t="shared" si="1"/>
        <v>0</v>
      </c>
      <c r="H86" s="44"/>
      <c r="I86" s="44"/>
      <c r="J86" s="45"/>
      <c r="K86" s="46">
        <f t="shared" si="2"/>
        <v>0</v>
      </c>
      <c r="L86" s="44"/>
      <c r="M86" s="44"/>
      <c r="N86" s="44"/>
      <c r="O86" s="46">
        <f t="shared" si="3"/>
        <v>0</v>
      </c>
      <c r="P86" s="32"/>
      <c r="Q86" s="32"/>
      <c r="R86" s="44"/>
      <c r="S86" s="46">
        <f t="shared" si="4"/>
        <v>0</v>
      </c>
      <c r="T86" s="32"/>
      <c r="U86" s="32"/>
      <c r="V86" s="44"/>
      <c r="W86" s="46">
        <f t="shared" si="5"/>
        <v>0</v>
      </c>
      <c r="X86" s="28"/>
      <c r="Y86" s="53"/>
      <c r="Z86" s="22"/>
      <c r="AA86" s="48"/>
      <c r="AO86" s="54"/>
      <c r="AP86" s="3"/>
      <c r="AQ86" s="3"/>
      <c r="AR86" s="14"/>
    </row>
    <row r="87" ht="16.5" customHeight="1">
      <c r="A87" s="41">
        <v>82.0</v>
      </c>
      <c r="B87" s="42"/>
      <c r="C87" s="43"/>
      <c r="D87" s="44"/>
      <c r="E87" s="44"/>
      <c r="F87" s="45"/>
      <c r="G87" s="46">
        <f t="shared" si="1"/>
        <v>0</v>
      </c>
      <c r="H87" s="44"/>
      <c r="I87" s="44"/>
      <c r="J87" s="45"/>
      <c r="K87" s="46">
        <f t="shared" si="2"/>
        <v>0</v>
      </c>
      <c r="L87" s="44"/>
      <c r="M87" s="44"/>
      <c r="N87" s="44"/>
      <c r="O87" s="46">
        <f t="shared" si="3"/>
        <v>0</v>
      </c>
      <c r="P87" s="32"/>
      <c r="Q87" s="32"/>
      <c r="R87" s="44"/>
      <c r="S87" s="46">
        <f t="shared" si="4"/>
        <v>0</v>
      </c>
      <c r="T87" s="32"/>
      <c r="U87" s="32"/>
      <c r="V87" s="44"/>
      <c r="W87" s="46">
        <f t="shared" si="5"/>
        <v>0</v>
      </c>
      <c r="X87" s="28"/>
      <c r="Y87" s="53"/>
      <c r="Z87" s="22"/>
      <c r="AA87" s="48"/>
      <c r="AO87" s="54"/>
      <c r="AP87" s="3"/>
      <c r="AQ87" s="3"/>
      <c r="AR87" s="14"/>
    </row>
    <row r="88" ht="16.5" customHeight="1">
      <c r="A88" s="41">
        <v>83.0</v>
      </c>
      <c r="B88" s="42"/>
      <c r="C88" s="43"/>
      <c r="D88" s="44"/>
      <c r="E88" s="44"/>
      <c r="F88" s="45"/>
      <c r="G88" s="46">
        <f t="shared" si="1"/>
        <v>0</v>
      </c>
      <c r="H88" s="44"/>
      <c r="I88" s="44"/>
      <c r="J88" s="45"/>
      <c r="K88" s="46">
        <f t="shared" si="2"/>
        <v>0</v>
      </c>
      <c r="L88" s="44"/>
      <c r="M88" s="44"/>
      <c r="N88" s="44"/>
      <c r="O88" s="46">
        <f t="shared" si="3"/>
        <v>0</v>
      </c>
      <c r="P88" s="32"/>
      <c r="Q88" s="32"/>
      <c r="R88" s="44"/>
      <c r="S88" s="46">
        <f t="shared" si="4"/>
        <v>0</v>
      </c>
      <c r="T88" s="32"/>
      <c r="U88" s="32"/>
      <c r="V88" s="44"/>
      <c r="W88" s="46">
        <f t="shared" si="5"/>
        <v>0</v>
      </c>
      <c r="X88" s="28"/>
      <c r="Y88" s="53"/>
      <c r="Z88" s="22"/>
      <c r="AA88" s="48"/>
      <c r="AO88" s="54"/>
      <c r="AP88" s="3"/>
      <c r="AQ88" s="3"/>
      <c r="AR88" s="14"/>
    </row>
    <row r="89" ht="16.5" customHeight="1">
      <c r="A89" s="41">
        <v>84.0</v>
      </c>
      <c r="B89" s="42"/>
      <c r="C89" s="43"/>
      <c r="D89" s="44"/>
      <c r="E89" s="44"/>
      <c r="F89" s="45"/>
      <c r="G89" s="46">
        <f t="shared" si="1"/>
        <v>0</v>
      </c>
      <c r="H89" s="44"/>
      <c r="I89" s="44"/>
      <c r="J89" s="45"/>
      <c r="K89" s="46">
        <f t="shared" si="2"/>
        <v>0</v>
      </c>
      <c r="L89" s="44"/>
      <c r="M89" s="44"/>
      <c r="N89" s="44"/>
      <c r="O89" s="46">
        <f t="shared" si="3"/>
        <v>0</v>
      </c>
      <c r="P89" s="32"/>
      <c r="Q89" s="32"/>
      <c r="R89" s="44"/>
      <c r="S89" s="46">
        <f t="shared" si="4"/>
        <v>0</v>
      </c>
      <c r="T89" s="32"/>
      <c r="U89" s="32"/>
      <c r="V89" s="44"/>
      <c r="W89" s="46">
        <f t="shared" si="5"/>
        <v>0</v>
      </c>
      <c r="X89" s="28"/>
      <c r="Y89" s="53"/>
      <c r="Z89" s="22"/>
      <c r="AA89" s="48"/>
      <c r="AO89" s="54"/>
      <c r="AP89" s="3"/>
      <c r="AQ89" s="3"/>
      <c r="AR89" s="14"/>
    </row>
    <row r="90" ht="16.5" customHeight="1">
      <c r="A90" s="41">
        <v>85.0</v>
      </c>
      <c r="B90" s="42"/>
      <c r="C90" s="43"/>
      <c r="D90" s="44"/>
      <c r="E90" s="44"/>
      <c r="F90" s="45"/>
      <c r="G90" s="46">
        <f t="shared" si="1"/>
        <v>0</v>
      </c>
      <c r="H90" s="44"/>
      <c r="I90" s="44"/>
      <c r="J90" s="45"/>
      <c r="K90" s="46">
        <f t="shared" si="2"/>
        <v>0</v>
      </c>
      <c r="L90" s="44"/>
      <c r="M90" s="44"/>
      <c r="N90" s="44"/>
      <c r="O90" s="46">
        <f t="shared" si="3"/>
        <v>0</v>
      </c>
      <c r="P90" s="32"/>
      <c r="Q90" s="32"/>
      <c r="R90" s="44"/>
      <c r="S90" s="46">
        <f t="shared" si="4"/>
        <v>0</v>
      </c>
      <c r="T90" s="32"/>
      <c r="U90" s="32"/>
      <c r="V90" s="44"/>
      <c r="W90" s="46">
        <f t="shared" si="5"/>
        <v>0</v>
      </c>
      <c r="X90" s="28"/>
      <c r="Y90" s="53"/>
      <c r="Z90" s="22"/>
      <c r="AA90" s="48"/>
      <c r="AO90" s="54"/>
      <c r="AP90" s="3"/>
      <c r="AQ90" s="3"/>
      <c r="AR90" s="14"/>
    </row>
    <row r="91" ht="16.5" customHeight="1">
      <c r="A91" s="41">
        <v>86.0</v>
      </c>
      <c r="B91" s="42"/>
      <c r="C91" s="43"/>
      <c r="D91" s="44"/>
      <c r="E91" s="44"/>
      <c r="F91" s="45"/>
      <c r="G91" s="46">
        <f t="shared" si="1"/>
        <v>0</v>
      </c>
      <c r="H91" s="44"/>
      <c r="I91" s="44"/>
      <c r="J91" s="45"/>
      <c r="K91" s="46">
        <f t="shared" si="2"/>
        <v>0</v>
      </c>
      <c r="L91" s="44"/>
      <c r="M91" s="44"/>
      <c r="N91" s="44"/>
      <c r="O91" s="46">
        <f t="shared" si="3"/>
        <v>0</v>
      </c>
      <c r="P91" s="32"/>
      <c r="Q91" s="32"/>
      <c r="R91" s="44"/>
      <c r="S91" s="46">
        <f t="shared" si="4"/>
        <v>0</v>
      </c>
      <c r="T91" s="32"/>
      <c r="U91" s="32"/>
      <c r="V91" s="44"/>
      <c r="W91" s="46">
        <f t="shared" si="5"/>
        <v>0</v>
      </c>
      <c r="X91" s="28"/>
      <c r="Y91" s="53"/>
      <c r="Z91" s="22"/>
      <c r="AA91" s="48"/>
      <c r="AO91" s="54"/>
      <c r="AP91" s="3"/>
      <c r="AQ91" s="3"/>
      <c r="AR91" s="14"/>
    </row>
    <row r="92" ht="16.5" customHeight="1">
      <c r="A92" s="41">
        <v>88.0</v>
      </c>
      <c r="B92" s="42"/>
      <c r="C92" s="43"/>
      <c r="D92" s="44"/>
      <c r="E92" s="44"/>
      <c r="F92" s="45"/>
      <c r="G92" s="46">
        <f t="shared" si="1"/>
        <v>0</v>
      </c>
      <c r="H92" s="44"/>
      <c r="I92" s="44"/>
      <c r="J92" s="45"/>
      <c r="K92" s="46">
        <f t="shared" si="2"/>
        <v>0</v>
      </c>
      <c r="L92" s="44"/>
      <c r="M92" s="44"/>
      <c r="N92" s="44"/>
      <c r="O92" s="46">
        <f t="shared" si="3"/>
        <v>0</v>
      </c>
      <c r="P92" s="32"/>
      <c r="Q92" s="32"/>
      <c r="R92" s="44"/>
      <c r="S92" s="46">
        <f t="shared" si="4"/>
        <v>0</v>
      </c>
      <c r="T92" s="32"/>
      <c r="U92" s="32"/>
      <c r="V92" s="44"/>
      <c r="W92" s="46">
        <f t="shared" si="5"/>
        <v>0</v>
      </c>
      <c r="X92" s="28"/>
      <c r="Y92" s="53"/>
      <c r="Z92" s="22"/>
      <c r="AA92" s="48"/>
      <c r="AO92" s="54"/>
      <c r="AP92" s="3"/>
      <c r="AQ92" s="3"/>
      <c r="AR92" s="14"/>
    </row>
    <row r="93" ht="16.5" customHeight="1">
      <c r="A93" s="41">
        <v>89.0</v>
      </c>
      <c r="B93" s="42"/>
      <c r="C93" s="43"/>
      <c r="D93" s="44"/>
      <c r="E93" s="44"/>
      <c r="F93" s="45"/>
      <c r="G93" s="46">
        <f t="shared" si="1"/>
        <v>0</v>
      </c>
      <c r="H93" s="44"/>
      <c r="I93" s="44"/>
      <c r="J93" s="45"/>
      <c r="K93" s="46">
        <f t="shared" si="2"/>
        <v>0</v>
      </c>
      <c r="L93" s="44"/>
      <c r="M93" s="44"/>
      <c r="N93" s="44"/>
      <c r="O93" s="46">
        <f t="shared" si="3"/>
        <v>0</v>
      </c>
      <c r="P93" s="32"/>
      <c r="Q93" s="32"/>
      <c r="R93" s="44"/>
      <c r="S93" s="46">
        <f t="shared" si="4"/>
        <v>0</v>
      </c>
      <c r="T93" s="32"/>
      <c r="U93" s="32"/>
      <c r="V93" s="44"/>
      <c r="W93" s="46">
        <f t="shared" si="5"/>
        <v>0</v>
      </c>
      <c r="X93" s="28"/>
      <c r="Y93" s="53"/>
      <c r="Z93" s="22"/>
      <c r="AA93" s="48"/>
      <c r="AO93" s="54"/>
      <c r="AP93" s="3"/>
      <c r="AQ93" s="3"/>
      <c r="AR93" s="14"/>
    </row>
    <row r="94" ht="16.5" customHeight="1">
      <c r="A94" s="41">
        <v>90.0</v>
      </c>
      <c r="B94" s="42"/>
      <c r="C94" s="43"/>
      <c r="D94" s="44"/>
      <c r="E94" s="44"/>
      <c r="F94" s="45"/>
      <c r="G94" s="46">
        <f t="shared" si="1"/>
        <v>0</v>
      </c>
      <c r="H94" s="44"/>
      <c r="I94" s="44"/>
      <c r="J94" s="45"/>
      <c r="K94" s="46">
        <f t="shared" si="2"/>
        <v>0</v>
      </c>
      <c r="L94" s="44"/>
      <c r="M94" s="44"/>
      <c r="N94" s="44"/>
      <c r="O94" s="46">
        <f t="shared" si="3"/>
        <v>0</v>
      </c>
      <c r="P94" s="32"/>
      <c r="Q94" s="32"/>
      <c r="R94" s="44"/>
      <c r="S94" s="46">
        <f t="shared" si="4"/>
        <v>0</v>
      </c>
      <c r="T94" s="32"/>
      <c r="U94" s="32"/>
      <c r="V94" s="44"/>
      <c r="W94" s="46">
        <f t="shared" si="5"/>
        <v>0</v>
      </c>
      <c r="X94" s="28"/>
      <c r="Y94" s="53"/>
      <c r="Z94" s="22"/>
      <c r="AA94" s="48"/>
      <c r="AO94" s="54"/>
      <c r="AP94" s="3"/>
      <c r="AQ94" s="3"/>
      <c r="AR94" s="14"/>
    </row>
    <row r="95" ht="16.5" customHeight="1">
      <c r="A95" s="41">
        <v>91.0</v>
      </c>
      <c r="B95" s="42"/>
      <c r="C95" s="43"/>
      <c r="D95" s="44"/>
      <c r="E95" s="44"/>
      <c r="F95" s="45"/>
      <c r="G95" s="46">
        <f t="shared" si="1"/>
        <v>0</v>
      </c>
      <c r="H95" s="44"/>
      <c r="I95" s="44"/>
      <c r="J95" s="45"/>
      <c r="K95" s="46">
        <f t="shared" si="2"/>
        <v>0</v>
      </c>
      <c r="L95" s="44"/>
      <c r="M95" s="44"/>
      <c r="N95" s="44"/>
      <c r="O95" s="46">
        <f t="shared" si="3"/>
        <v>0</v>
      </c>
      <c r="P95" s="32"/>
      <c r="Q95" s="32"/>
      <c r="R95" s="44"/>
      <c r="S95" s="46">
        <f t="shared" si="4"/>
        <v>0</v>
      </c>
      <c r="T95" s="32"/>
      <c r="U95" s="32"/>
      <c r="V95" s="44"/>
      <c r="W95" s="46">
        <f t="shared" si="5"/>
        <v>0</v>
      </c>
      <c r="X95" s="28"/>
      <c r="Y95" s="53"/>
      <c r="Z95" s="22"/>
      <c r="AA95" s="48"/>
      <c r="AO95" s="54"/>
      <c r="AP95" s="3"/>
      <c r="AQ95" s="3"/>
      <c r="AR95" s="14"/>
    </row>
    <row r="96" ht="16.5" customHeight="1">
      <c r="A96" s="41">
        <v>92.0</v>
      </c>
      <c r="B96" s="42"/>
      <c r="C96" s="43"/>
      <c r="D96" s="44"/>
      <c r="E96" s="44"/>
      <c r="F96" s="45"/>
      <c r="G96" s="46">
        <f t="shared" si="1"/>
        <v>0</v>
      </c>
      <c r="H96" s="44"/>
      <c r="I96" s="44"/>
      <c r="J96" s="45"/>
      <c r="K96" s="46">
        <f t="shared" si="2"/>
        <v>0</v>
      </c>
      <c r="L96" s="44"/>
      <c r="M96" s="44"/>
      <c r="N96" s="44"/>
      <c r="O96" s="46">
        <f t="shared" si="3"/>
        <v>0</v>
      </c>
      <c r="P96" s="32"/>
      <c r="Q96" s="32"/>
      <c r="R96" s="44"/>
      <c r="S96" s="46">
        <f t="shared" si="4"/>
        <v>0</v>
      </c>
      <c r="T96" s="32"/>
      <c r="U96" s="32"/>
      <c r="V96" s="44"/>
      <c r="W96" s="46">
        <f t="shared" si="5"/>
        <v>0</v>
      </c>
      <c r="X96" s="28"/>
      <c r="Y96" s="53"/>
      <c r="Z96" s="22"/>
      <c r="AA96" s="48"/>
      <c r="AO96" s="54"/>
      <c r="AP96" s="3"/>
      <c r="AQ96" s="3"/>
      <c r="AR96" s="14"/>
    </row>
    <row r="97" ht="16.5" customHeight="1">
      <c r="A97" s="41">
        <v>93.0</v>
      </c>
      <c r="B97" s="42"/>
      <c r="C97" s="43"/>
      <c r="D97" s="44"/>
      <c r="E97" s="44"/>
      <c r="F97" s="45"/>
      <c r="G97" s="46">
        <f t="shared" si="1"/>
        <v>0</v>
      </c>
      <c r="H97" s="44"/>
      <c r="I97" s="44"/>
      <c r="J97" s="45"/>
      <c r="K97" s="46">
        <f t="shared" si="2"/>
        <v>0</v>
      </c>
      <c r="L97" s="44"/>
      <c r="M97" s="44"/>
      <c r="N97" s="44"/>
      <c r="O97" s="46">
        <f t="shared" si="3"/>
        <v>0</v>
      </c>
      <c r="P97" s="32"/>
      <c r="Q97" s="32"/>
      <c r="R97" s="44"/>
      <c r="S97" s="46">
        <f t="shared" si="4"/>
        <v>0</v>
      </c>
      <c r="T97" s="32"/>
      <c r="U97" s="32"/>
      <c r="V97" s="44"/>
      <c r="W97" s="46">
        <f t="shared" si="5"/>
        <v>0</v>
      </c>
      <c r="X97" s="28"/>
      <c r="Y97" s="53"/>
      <c r="Z97" s="22"/>
      <c r="AA97" s="48"/>
      <c r="AO97" s="54"/>
      <c r="AP97" s="3"/>
      <c r="AQ97" s="3"/>
      <c r="AR97" s="14"/>
    </row>
    <row r="98" ht="16.5" customHeight="1">
      <c r="A98" s="41">
        <v>94.0</v>
      </c>
      <c r="B98" s="42"/>
      <c r="C98" s="43"/>
      <c r="D98" s="44"/>
      <c r="E98" s="44"/>
      <c r="F98" s="45"/>
      <c r="G98" s="46">
        <f t="shared" si="1"/>
        <v>0</v>
      </c>
      <c r="H98" s="44"/>
      <c r="I98" s="44"/>
      <c r="J98" s="45"/>
      <c r="K98" s="46">
        <f t="shared" si="2"/>
        <v>0</v>
      </c>
      <c r="L98" s="44"/>
      <c r="M98" s="44"/>
      <c r="N98" s="44"/>
      <c r="O98" s="46">
        <f t="shared" si="3"/>
        <v>0</v>
      </c>
      <c r="P98" s="32"/>
      <c r="Q98" s="32"/>
      <c r="R98" s="44"/>
      <c r="S98" s="46">
        <f t="shared" si="4"/>
        <v>0</v>
      </c>
      <c r="T98" s="32"/>
      <c r="U98" s="32"/>
      <c r="V98" s="44"/>
      <c r="W98" s="46">
        <f t="shared" si="5"/>
        <v>0</v>
      </c>
      <c r="X98" s="28"/>
      <c r="Y98" s="53"/>
      <c r="Z98" s="22"/>
      <c r="AA98" s="48"/>
      <c r="AO98" s="54"/>
      <c r="AP98" s="3"/>
      <c r="AQ98" s="3"/>
      <c r="AR98" s="14"/>
    </row>
    <row r="99" ht="16.5" customHeight="1">
      <c r="A99" s="41">
        <v>95.0</v>
      </c>
      <c r="B99" s="42"/>
      <c r="C99" s="43"/>
      <c r="D99" s="44"/>
      <c r="E99" s="44"/>
      <c r="F99" s="45"/>
      <c r="G99" s="46">
        <f t="shared" si="1"/>
        <v>0</v>
      </c>
      <c r="H99" s="44"/>
      <c r="I99" s="44"/>
      <c r="J99" s="45"/>
      <c r="K99" s="46">
        <f t="shared" si="2"/>
        <v>0</v>
      </c>
      <c r="L99" s="44"/>
      <c r="M99" s="44"/>
      <c r="N99" s="44"/>
      <c r="O99" s="46">
        <f t="shared" si="3"/>
        <v>0</v>
      </c>
      <c r="P99" s="32"/>
      <c r="Q99" s="32"/>
      <c r="R99" s="44"/>
      <c r="S99" s="46">
        <f t="shared" si="4"/>
        <v>0</v>
      </c>
      <c r="T99" s="32"/>
      <c r="U99" s="32"/>
      <c r="V99" s="44"/>
      <c r="W99" s="46">
        <f t="shared" si="5"/>
        <v>0</v>
      </c>
      <c r="X99" s="28"/>
      <c r="Y99" s="53"/>
      <c r="Z99" s="22"/>
      <c r="AA99" s="48"/>
      <c r="AO99" s="54"/>
      <c r="AP99" s="3"/>
      <c r="AQ99" s="3"/>
      <c r="AR99" s="14"/>
    </row>
    <row r="100" ht="16.5" customHeight="1">
      <c r="A100" s="41">
        <v>96.0</v>
      </c>
      <c r="B100" s="42"/>
      <c r="C100" s="43"/>
      <c r="D100" s="44"/>
      <c r="E100" s="44"/>
      <c r="F100" s="45"/>
      <c r="G100" s="46">
        <f t="shared" si="1"/>
        <v>0</v>
      </c>
      <c r="H100" s="44"/>
      <c r="I100" s="44"/>
      <c r="J100" s="45"/>
      <c r="K100" s="46">
        <f t="shared" si="2"/>
        <v>0</v>
      </c>
      <c r="L100" s="44"/>
      <c r="M100" s="44"/>
      <c r="N100" s="44"/>
      <c r="O100" s="46">
        <f t="shared" si="3"/>
        <v>0</v>
      </c>
      <c r="P100" s="32"/>
      <c r="Q100" s="32"/>
      <c r="R100" s="44"/>
      <c r="S100" s="46">
        <f t="shared" si="4"/>
        <v>0</v>
      </c>
      <c r="T100" s="32"/>
      <c r="U100" s="32"/>
      <c r="V100" s="44"/>
      <c r="W100" s="46">
        <f t="shared" si="5"/>
        <v>0</v>
      </c>
      <c r="X100" s="28"/>
      <c r="Y100" s="53"/>
      <c r="Z100" s="22"/>
      <c r="AA100" s="48"/>
      <c r="AO100" s="54"/>
      <c r="AP100" s="3"/>
      <c r="AQ100" s="3"/>
      <c r="AR100" s="14"/>
    </row>
    <row r="101" ht="16.5" customHeight="1">
      <c r="A101" s="41">
        <v>97.0</v>
      </c>
      <c r="B101" s="42"/>
      <c r="C101" s="43"/>
      <c r="D101" s="44"/>
      <c r="E101" s="44"/>
      <c r="F101" s="45"/>
      <c r="G101" s="46">
        <f t="shared" si="1"/>
        <v>0</v>
      </c>
      <c r="H101" s="44"/>
      <c r="I101" s="44"/>
      <c r="J101" s="45"/>
      <c r="K101" s="46">
        <f t="shared" si="2"/>
        <v>0</v>
      </c>
      <c r="L101" s="44"/>
      <c r="M101" s="44"/>
      <c r="N101" s="44"/>
      <c r="O101" s="46">
        <f t="shared" si="3"/>
        <v>0</v>
      </c>
      <c r="P101" s="32"/>
      <c r="Q101" s="32"/>
      <c r="R101" s="44"/>
      <c r="S101" s="46">
        <f t="shared" si="4"/>
        <v>0</v>
      </c>
      <c r="T101" s="32"/>
      <c r="U101" s="32"/>
      <c r="V101" s="44"/>
      <c r="W101" s="46">
        <f t="shared" si="5"/>
        <v>0</v>
      </c>
      <c r="X101" s="28"/>
      <c r="Y101" s="53"/>
      <c r="Z101" s="22"/>
      <c r="AA101" s="48"/>
      <c r="AO101" s="54"/>
      <c r="AP101" s="3"/>
      <c r="AQ101" s="3"/>
      <c r="AR101" s="14"/>
    </row>
    <row r="102" ht="16.5" customHeight="1">
      <c r="A102" s="41">
        <v>98.0</v>
      </c>
      <c r="B102" s="42"/>
      <c r="C102" s="43"/>
      <c r="D102" s="44"/>
      <c r="E102" s="44"/>
      <c r="F102" s="45"/>
      <c r="G102" s="46">
        <f t="shared" si="1"/>
        <v>0</v>
      </c>
      <c r="H102" s="44"/>
      <c r="I102" s="44"/>
      <c r="J102" s="45"/>
      <c r="K102" s="46">
        <f t="shared" si="2"/>
        <v>0</v>
      </c>
      <c r="L102" s="44"/>
      <c r="M102" s="44"/>
      <c r="N102" s="44"/>
      <c r="O102" s="46">
        <f t="shared" si="3"/>
        <v>0</v>
      </c>
      <c r="P102" s="32"/>
      <c r="Q102" s="32"/>
      <c r="R102" s="44"/>
      <c r="S102" s="46">
        <f t="shared" si="4"/>
        <v>0</v>
      </c>
      <c r="T102" s="32"/>
      <c r="U102" s="32"/>
      <c r="V102" s="44"/>
      <c r="W102" s="46">
        <f t="shared" si="5"/>
        <v>0</v>
      </c>
      <c r="X102" s="28"/>
      <c r="Y102" s="53"/>
      <c r="Z102" s="22"/>
      <c r="AA102" s="48"/>
      <c r="AO102" s="54"/>
      <c r="AP102" s="3"/>
      <c r="AQ102" s="3"/>
      <c r="AR102" s="14"/>
    </row>
    <row r="103" ht="16.5" customHeight="1">
      <c r="A103" s="41">
        <v>99.0</v>
      </c>
      <c r="B103" s="42"/>
      <c r="C103" s="43"/>
      <c r="D103" s="44"/>
      <c r="E103" s="44"/>
      <c r="F103" s="45"/>
      <c r="G103" s="46">
        <f t="shared" si="1"/>
        <v>0</v>
      </c>
      <c r="H103" s="44"/>
      <c r="I103" s="44"/>
      <c r="J103" s="45"/>
      <c r="K103" s="46">
        <f t="shared" si="2"/>
        <v>0</v>
      </c>
      <c r="L103" s="44"/>
      <c r="M103" s="44"/>
      <c r="N103" s="44"/>
      <c r="O103" s="46">
        <f t="shared" si="3"/>
        <v>0</v>
      </c>
      <c r="P103" s="32"/>
      <c r="Q103" s="32"/>
      <c r="R103" s="44"/>
      <c r="S103" s="46">
        <f t="shared" si="4"/>
        <v>0</v>
      </c>
      <c r="T103" s="32"/>
      <c r="U103" s="32"/>
      <c r="V103" s="44"/>
      <c r="W103" s="46">
        <f t="shared" si="5"/>
        <v>0</v>
      </c>
      <c r="X103" s="28"/>
      <c r="Y103" s="53"/>
      <c r="Z103" s="22"/>
      <c r="AA103" s="48"/>
      <c r="AO103" s="54"/>
      <c r="AP103" s="3"/>
      <c r="AQ103" s="3"/>
      <c r="AR103" s="14"/>
    </row>
    <row r="104" ht="16.5" customHeight="1">
      <c r="A104" s="41">
        <v>100.0</v>
      </c>
      <c r="B104" s="42"/>
      <c r="C104" s="43"/>
      <c r="D104" s="44"/>
      <c r="E104" s="44"/>
      <c r="F104" s="45"/>
      <c r="G104" s="46">
        <f t="shared" si="1"/>
        <v>0</v>
      </c>
      <c r="H104" s="44"/>
      <c r="I104" s="44"/>
      <c r="J104" s="45"/>
      <c r="K104" s="46">
        <f t="shared" si="2"/>
        <v>0</v>
      </c>
      <c r="L104" s="44"/>
      <c r="M104" s="44"/>
      <c r="N104" s="44"/>
      <c r="O104" s="46">
        <f t="shared" si="3"/>
        <v>0</v>
      </c>
      <c r="P104" s="32"/>
      <c r="Q104" s="32"/>
      <c r="R104" s="44"/>
      <c r="S104" s="46">
        <f t="shared" si="4"/>
        <v>0</v>
      </c>
      <c r="T104" s="32"/>
      <c r="U104" s="32"/>
      <c r="V104" s="44"/>
      <c r="W104" s="46">
        <f t="shared" si="5"/>
        <v>0</v>
      </c>
      <c r="X104" s="28"/>
      <c r="Y104" s="53"/>
      <c r="Z104" s="22"/>
      <c r="AA104" s="48"/>
      <c r="AO104" s="54"/>
      <c r="AP104" s="3"/>
      <c r="AQ104" s="3"/>
      <c r="AR104" s="14"/>
    </row>
    <row r="105" ht="16.5" customHeight="1">
      <c r="A105" s="41">
        <v>101.0</v>
      </c>
      <c r="B105" s="42"/>
      <c r="C105" s="43"/>
      <c r="D105" s="44"/>
      <c r="E105" s="44"/>
      <c r="F105" s="45"/>
      <c r="G105" s="46">
        <f t="shared" si="1"/>
        <v>0</v>
      </c>
      <c r="H105" s="44"/>
      <c r="I105" s="44"/>
      <c r="J105" s="45"/>
      <c r="K105" s="46">
        <f t="shared" si="2"/>
        <v>0</v>
      </c>
      <c r="L105" s="44"/>
      <c r="M105" s="44"/>
      <c r="N105" s="44"/>
      <c r="O105" s="46">
        <f t="shared" si="3"/>
        <v>0</v>
      </c>
      <c r="P105" s="32"/>
      <c r="Q105" s="32"/>
      <c r="R105" s="44"/>
      <c r="S105" s="46">
        <f t="shared" si="4"/>
        <v>0</v>
      </c>
      <c r="T105" s="32"/>
      <c r="U105" s="32"/>
      <c r="V105" s="44"/>
      <c r="W105" s="46">
        <f t="shared" si="5"/>
        <v>0</v>
      </c>
      <c r="X105" s="28"/>
      <c r="Y105" s="53"/>
      <c r="Z105" s="22"/>
      <c r="AA105" s="48"/>
      <c r="AO105" s="54"/>
      <c r="AP105" s="3"/>
      <c r="AQ105" s="3"/>
      <c r="AR105" s="14"/>
    </row>
    <row r="106" ht="16.5" customHeight="1">
      <c r="A106" s="41">
        <v>102.0</v>
      </c>
      <c r="B106" s="42"/>
      <c r="C106" s="43"/>
      <c r="D106" s="44"/>
      <c r="E106" s="44"/>
      <c r="F106" s="45"/>
      <c r="G106" s="46">
        <f t="shared" si="1"/>
        <v>0</v>
      </c>
      <c r="H106" s="44"/>
      <c r="I106" s="44"/>
      <c r="J106" s="45"/>
      <c r="K106" s="46">
        <f t="shared" si="2"/>
        <v>0</v>
      </c>
      <c r="L106" s="44"/>
      <c r="M106" s="44"/>
      <c r="N106" s="44"/>
      <c r="O106" s="46">
        <f t="shared" si="3"/>
        <v>0</v>
      </c>
      <c r="P106" s="32"/>
      <c r="Q106" s="32"/>
      <c r="R106" s="44"/>
      <c r="S106" s="46">
        <f t="shared" si="4"/>
        <v>0</v>
      </c>
      <c r="T106" s="32"/>
      <c r="U106" s="32"/>
      <c r="V106" s="44"/>
      <c r="W106" s="46">
        <f t="shared" si="5"/>
        <v>0</v>
      </c>
      <c r="X106" s="28"/>
      <c r="Y106" s="53"/>
      <c r="Z106" s="22"/>
      <c r="AA106" s="48"/>
      <c r="AO106" s="54"/>
      <c r="AP106" s="3"/>
      <c r="AQ106" s="3"/>
      <c r="AR106" s="14"/>
    </row>
    <row r="107" ht="16.5" customHeight="1">
      <c r="A107" s="41">
        <v>103.0</v>
      </c>
      <c r="B107" s="42"/>
      <c r="C107" s="43"/>
      <c r="D107" s="44"/>
      <c r="E107" s="44"/>
      <c r="F107" s="45"/>
      <c r="G107" s="46">
        <f t="shared" si="1"/>
        <v>0</v>
      </c>
      <c r="H107" s="44"/>
      <c r="I107" s="44"/>
      <c r="J107" s="45"/>
      <c r="K107" s="46">
        <f t="shared" si="2"/>
        <v>0</v>
      </c>
      <c r="L107" s="44"/>
      <c r="M107" s="44"/>
      <c r="N107" s="44"/>
      <c r="O107" s="46">
        <f t="shared" si="3"/>
        <v>0</v>
      </c>
      <c r="P107" s="32"/>
      <c r="Q107" s="32"/>
      <c r="R107" s="44"/>
      <c r="S107" s="46">
        <f t="shared" si="4"/>
        <v>0</v>
      </c>
      <c r="T107" s="32"/>
      <c r="U107" s="32"/>
      <c r="V107" s="44"/>
      <c r="W107" s="46">
        <f t="shared" si="5"/>
        <v>0</v>
      </c>
      <c r="X107" s="28"/>
      <c r="Y107" s="53"/>
      <c r="Z107" s="22"/>
      <c r="AA107" s="48"/>
      <c r="AO107" s="54"/>
      <c r="AP107" s="3"/>
      <c r="AQ107" s="3"/>
      <c r="AR107" s="14"/>
    </row>
    <row r="108" ht="16.5" customHeight="1">
      <c r="A108" s="41">
        <v>104.0</v>
      </c>
      <c r="B108" s="42"/>
      <c r="C108" s="43"/>
      <c r="D108" s="44"/>
      <c r="E108" s="44"/>
      <c r="F108" s="45"/>
      <c r="G108" s="46">
        <f t="shared" si="1"/>
        <v>0</v>
      </c>
      <c r="H108" s="44"/>
      <c r="I108" s="44"/>
      <c r="J108" s="45"/>
      <c r="K108" s="46">
        <f t="shared" si="2"/>
        <v>0</v>
      </c>
      <c r="L108" s="44"/>
      <c r="M108" s="44"/>
      <c r="N108" s="44"/>
      <c r="O108" s="46">
        <f t="shared" si="3"/>
        <v>0</v>
      </c>
      <c r="P108" s="32"/>
      <c r="Q108" s="32"/>
      <c r="R108" s="44"/>
      <c r="S108" s="46">
        <f t="shared" si="4"/>
        <v>0</v>
      </c>
      <c r="T108" s="32"/>
      <c r="U108" s="32"/>
      <c r="V108" s="44"/>
      <c r="W108" s="46">
        <f t="shared" si="5"/>
        <v>0</v>
      </c>
      <c r="X108" s="28"/>
      <c r="Y108" s="53"/>
      <c r="Z108" s="22"/>
      <c r="AA108" s="48"/>
      <c r="AO108" s="54"/>
      <c r="AP108" s="3"/>
      <c r="AQ108" s="3"/>
      <c r="AR108" s="14"/>
    </row>
    <row r="109" ht="16.5" customHeight="1">
      <c r="A109" s="41">
        <v>105.0</v>
      </c>
      <c r="B109" s="42"/>
      <c r="C109" s="43"/>
      <c r="D109" s="44"/>
      <c r="E109" s="44"/>
      <c r="F109" s="45"/>
      <c r="G109" s="46">
        <f t="shared" si="1"/>
        <v>0</v>
      </c>
      <c r="H109" s="44"/>
      <c r="I109" s="44"/>
      <c r="J109" s="45"/>
      <c r="K109" s="46">
        <f t="shared" si="2"/>
        <v>0</v>
      </c>
      <c r="L109" s="44"/>
      <c r="M109" s="44"/>
      <c r="N109" s="44"/>
      <c r="O109" s="46">
        <f t="shared" si="3"/>
        <v>0</v>
      </c>
      <c r="P109" s="32"/>
      <c r="Q109" s="32"/>
      <c r="R109" s="44"/>
      <c r="S109" s="46">
        <f t="shared" si="4"/>
        <v>0</v>
      </c>
      <c r="T109" s="32"/>
      <c r="U109" s="32"/>
      <c r="V109" s="44"/>
      <c r="W109" s="46">
        <f t="shared" si="5"/>
        <v>0</v>
      </c>
      <c r="X109" s="28"/>
      <c r="Y109" s="53"/>
      <c r="Z109" s="22"/>
      <c r="AA109" s="48"/>
      <c r="AO109" s="54"/>
      <c r="AP109" s="3"/>
      <c r="AQ109" s="3"/>
      <c r="AR109" s="14"/>
    </row>
    <row r="110" ht="16.5" customHeight="1">
      <c r="A110" s="41">
        <v>106.0</v>
      </c>
      <c r="B110" s="42"/>
      <c r="C110" s="43"/>
      <c r="D110" s="44"/>
      <c r="E110" s="44"/>
      <c r="F110" s="45"/>
      <c r="G110" s="46">
        <f t="shared" si="1"/>
        <v>0</v>
      </c>
      <c r="H110" s="44"/>
      <c r="I110" s="44"/>
      <c r="J110" s="45"/>
      <c r="K110" s="46">
        <f t="shared" si="2"/>
        <v>0</v>
      </c>
      <c r="L110" s="44"/>
      <c r="M110" s="44"/>
      <c r="N110" s="44"/>
      <c r="O110" s="46">
        <f t="shared" si="3"/>
        <v>0</v>
      </c>
      <c r="P110" s="32"/>
      <c r="Q110" s="32"/>
      <c r="R110" s="44"/>
      <c r="S110" s="46">
        <f t="shared" si="4"/>
        <v>0</v>
      </c>
      <c r="T110" s="32"/>
      <c r="U110" s="32"/>
      <c r="V110" s="44"/>
      <c r="W110" s="46">
        <f t="shared" si="5"/>
        <v>0</v>
      </c>
      <c r="X110" s="28"/>
      <c r="Y110" s="53"/>
      <c r="Z110" s="22"/>
      <c r="AA110" s="48"/>
      <c r="AO110" s="54"/>
      <c r="AP110" s="3"/>
      <c r="AQ110" s="3"/>
      <c r="AR110" s="14"/>
    </row>
    <row r="111" ht="16.5" customHeight="1">
      <c r="A111" s="41">
        <v>107.0</v>
      </c>
      <c r="B111" s="42"/>
      <c r="C111" s="43"/>
      <c r="D111" s="44"/>
      <c r="E111" s="44"/>
      <c r="F111" s="45"/>
      <c r="G111" s="46">
        <f t="shared" si="1"/>
        <v>0</v>
      </c>
      <c r="H111" s="44"/>
      <c r="I111" s="44"/>
      <c r="J111" s="45"/>
      <c r="K111" s="46">
        <f t="shared" si="2"/>
        <v>0</v>
      </c>
      <c r="L111" s="44"/>
      <c r="M111" s="44"/>
      <c r="N111" s="44"/>
      <c r="O111" s="46">
        <f t="shared" si="3"/>
        <v>0</v>
      </c>
      <c r="P111" s="32"/>
      <c r="Q111" s="32"/>
      <c r="R111" s="44"/>
      <c r="S111" s="46">
        <f t="shared" si="4"/>
        <v>0</v>
      </c>
      <c r="T111" s="32"/>
      <c r="U111" s="32"/>
      <c r="V111" s="44"/>
      <c r="W111" s="46">
        <f t="shared" si="5"/>
        <v>0</v>
      </c>
      <c r="X111" s="28"/>
      <c r="Y111" s="53"/>
      <c r="Z111" s="22"/>
      <c r="AA111" s="48"/>
      <c r="AO111" s="54"/>
      <c r="AP111" s="3"/>
      <c r="AQ111" s="3"/>
      <c r="AR111" s="14"/>
    </row>
    <row r="112" ht="16.5" customHeight="1">
      <c r="A112" s="41">
        <v>108.0</v>
      </c>
      <c r="B112" s="42"/>
      <c r="C112" s="43"/>
      <c r="D112" s="44"/>
      <c r="E112" s="44"/>
      <c r="F112" s="45"/>
      <c r="G112" s="46">
        <f t="shared" si="1"/>
        <v>0</v>
      </c>
      <c r="H112" s="44"/>
      <c r="I112" s="44"/>
      <c r="J112" s="45"/>
      <c r="K112" s="46">
        <f t="shared" si="2"/>
        <v>0</v>
      </c>
      <c r="L112" s="44"/>
      <c r="M112" s="44"/>
      <c r="N112" s="44"/>
      <c r="O112" s="46">
        <f t="shared" si="3"/>
        <v>0</v>
      </c>
      <c r="P112" s="32"/>
      <c r="Q112" s="32"/>
      <c r="R112" s="44"/>
      <c r="S112" s="46">
        <f t="shared" si="4"/>
        <v>0</v>
      </c>
      <c r="T112" s="32"/>
      <c r="U112" s="32"/>
      <c r="V112" s="44"/>
      <c r="W112" s="46">
        <f t="shared" si="5"/>
        <v>0</v>
      </c>
      <c r="X112" s="28"/>
      <c r="Y112" s="53"/>
      <c r="Z112" s="22"/>
      <c r="AA112" s="48"/>
      <c r="AO112" s="54"/>
      <c r="AP112" s="3"/>
      <c r="AQ112" s="3"/>
      <c r="AR112" s="14"/>
    </row>
    <row r="113" ht="16.5" customHeight="1">
      <c r="A113" s="41">
        <v>109.0</v>
      </c>
      <c r="B113" s="42"/>
      <c r="C113" s="43"/>
      <c r="D113" s="44"/>
      <c r="E113" s="44"/>
      <c r="F113" s="45"/>
      <c r="G113" s="46">
        <f t="shared" si="1"/>
        <v>0</v>
      </c>
      <c r="H113" s="44"/>
      <c r="I113" s="44"/>
      <c r="J113" s="45"/>
      <c r="K113" s="46">
        <f t="shared" si="2"/>
        <v>0</v>
      </c>
      <c r="L113" s="44"/>
      <c r="M113" s="44"/>
      <c r="N113" s="44"/>
      <c r="O113" s="46">
        <f t="shared" si="3"/>
        <v>0</v>
      </c>
      <c r="P113" s="32"/>
      <c r="Q113" s="32"/>
      <c r="R113" s="44"/>
      <c r="S113" s="46">
        <f t="shared" si="4"/>
        <v>0</v>
      </c>
      <c r="T113" s="32"/>
      <c r="U113" s="32"/>
      <c r="V113" s="44"/>
      <c r="W113" s="46">
        <f t="shared" si="5"/>
        <v>0</v>
      </c>
      <c r="X113" s="28"/>
      <c r="Y113" s="53"/>
      <c r="Z113" s="22"/>
      <c r="AA113" s="48"/>
      <c r="AO113" s="54"/>
      <c r="AP113" s="3"/>
      <c r="AQ113" s="3"/>
      <c r="AR113" s="14"/>
    </row>
    <row r="114" ht="16.5" customHeight="1">
      <c r="A114" s="41">
        <v>110.0</v>
      </c>
      <c r="B114" s="42"/>
      <c r="C114" s="43"/>
      <c r="D114" s="44"/>
      <c r="E114" s="44"/>
      <c r="F114" s="45"/>
      <c r="G114" s="46">
        <f t="shared" si="1"/>
        <v>0</v>
      </c>
      <c r="H114" s="44"/>
      <c r="I114" s="44"/>
      <c r="J114" s="45"/>
      <c r="K114" s="46">
        <f t="shared" si="2"/>
        <v>0</v>
      </c>
      <c r="L114" s="44"/>
      <c r="M114" s="44"/>
      <c r="N114" s="44"/>
      <c r="O114" s="46">
        <f t="shared" si="3"/>
        <v>0</v>
      </c>
      <c r="P114" s="32"/>
      <c r="Q114" s="32"/>
      <c r="R114" s="44"/>
      <c r="S114" s="46">
        <f t="shared" si="4"/>
        <v>0</v>
      </c>
      <c r="T114" s="32"/>
      <c r="U114" s="32"/>
      <c r="V114" s="44"/>
      <c r="W114" s="46">
        <f t="shared" si="5"/>
        <v>0</v>
      </c>
      <c r="X114" s="28"/>
      <c r="Y114" s="53"/>
      <c r="Z114" s="22"/>
      <c r="AA114" s="48"/>
      <c r="AO114" s="54"/>
      <c r="AP114" s="3"/>
      <c r="AQ114" s="3"/>
      <c r="AR114" s="14"/>
    </row>
    <row r="115" ht="16.5" customHeight="1">
      <c r="A115" s="41">
        <v>111.0</v>
      </c>
      <c r="B115" s="42"/>
      <c r="C115" s="43"/>
      <c r="D115" s="44"/>
      <c r="E115" s="44"/>
      <c r="F115" s="45"/>
      <c r="G115" s="46">
        <f t="shared" si="1"/>
        <v>0</v>
      </c>
      <c r="H115" s="44"/>
      <c r="I115" s="44"/>
      <c r="J115" s="45"/>
      <c r="K115" s="46">
        <f t="shared" si="2"/>
        <v>0</v>
      </c>
      <c r="L115" s="44"/>
      <c r="M115" s="44"/>
      <c r="N115" s="44"/>
      <c r="O115" s="46">
        <f t="shared" si="3"/>
        <v>0</v>
      </c>
      <c r="P115" s="32"/>
      <c r="Q115" s="32"/>
      <c r="R115" s="44"/>
      <c r="S115" s="46">
        <f t="shared" si="4"/>
        <v>0</v>
      </c>
      <c r="T115" s="32"/>
      <c r="U115" s="32"/>
      <c r="V115" s="44"/>
      <c r="W115" s="46">
        <f t="shared" si="5"/>
        <v>0</v>
      </c>
      <c r="X115" s="28"/>
      <c r="Y115" s="53"/>
      <c r="Z115" s="22"/>
      <c r="AA115" s="48"/>
      <c r="AO115" s="54"/>
      <c r="AP115" s="3"/>
      <c r="AQ115" s="3"/>
      <c r="AR115" s="14"/>
    </row>
    <row r="116" ht="16.5" customHeight="1">
      <c r="A116" s="41">
        <v>112.0</v>
      </c>
      <c r="B116" s="42"/>
      <c r="C116" s="43"/>
      <c r="D116" s="44"/>
      <c r="E116" s="44"/>
      <c r="F116" s="45"/>
      <c r="G116" s="46">
        <f t="shared" si="1"/>
        <v>0</v>
      </c>
      <c r="H116" s="44"/>
      <c r="I116" s="44"/>
      <c r="J116" s="45"/>
      <c r="K116" s="46">
        <f t="shared" si="2"/>
        <v>0</v>
      </c>
      <c r="L116" s="44"/>
      <c r="M116" s="44"/>
      <c r="N116" s="44"/>
      <c r="O116" s="46">
        <f t="shared" si="3"/>
        <v>0</v>
      </c>
      <c r="P116" s="32"/>
      <c r="Q116" s="32"/>
      <c r="R116" s="44"/>
      <c r="S116" s="46">
        <f t="shared" si="4"/>
        <v>0</v>
      </c>
      <c r="T116" s="32"/>
      <c r="U116" s="32"/>
      <c r="V116" s="44"/>
      <c r="W116" s="46">
        <f t="shared" si="5"/>
        <v>0</v>
      </c>
      <c r="X116" s="28"/>
      <c r="Y116" s="53"/>
      <c r="Z116" s="22"/>
      <c r="AA116" s="48"/>
      <c r="AO116" s="54"/>
      <c r="AP116" s="3"/>
      <c r="AQ116" s="3"/>
      <c r="AR116" s="14"/>
    </row>
    <row r="117" ht="16.5" customHeight="1">
      <c r="A117" s="41">
        <v>113.0</v>
      </c>
      <c r="B117" s="42"/>
      <c r="C117" s="43"/>
      <c r="D117" s="44"/>
      <c r="E117" s="44"/>
      <c r="F117" s="45"/>
      <c r="G117" s="46">
        <f t="shared" si="1"/>
        <v>0</v>
      </c>
      <c r="H117" s="44"/>
      <c r="I117" s="44"/>
      <c r="J117" s="45"/>
      <c r="K117" s="46">
        <f t="shared" si="2"/>
        <v>0</v>
      </c>
      <c r="L117" s="44"/>
      <c r="M117" s="44"/>
      <c r="N117" s="44"/>
      <c r="O117" s="46">
        <f t="shared" si="3"/>
        <v>0</v>
      </c>
      <c r="P117" s="32"/>
      <c r="Q117" s="32"/>
      <c r="R117" s="44"/>
      <c r="S117" s="46">
        <f t="shared" si="4"/>
        <v>0</v>
      </c>
      <c r="T117" s="32"/>
      <c r="U117" s="32"/>
      <c r="V117" s="44"/>
      <c r="W117" s="46">
        <f t="shared" si="5"/>
        <v>0</v>
      </c>
      <c r="X117" s="28"/>
      <c r="Y117" s="53"/>
      <c r="Z117" s="22"/>
      <c r="AA117" s="48"/>
      <c r="AO117" s="54"/>
      <c r="AP117" s="3"/>
      <c r="AQ117" s="3"/>
      <c r="AR117" s="14"/>
    </row>
    <row r="118" ht="16.5" customHeight="1">
      <c r="A118" s="41">
        <v>114.0</v>
      </c>
      <c r="B118" s="42"/>
      <c r="C118" s="43"/>
      <c r="D118" s="44"/>
      <c r="E118" s="44"/>
      <c r="F118" s="45"/>
      <c r="G118" s="46">
        <f t="shared" si="1"/>
        <v>0</v>
      </c>
      <c r="H118" s="44"/>
      <c r="I118" s="44"/>
      <c r="J118" s="45"/>
      <c r="K118" s="46">
        <f t="shared" si="2"/>
        <v>0</v>
      </c>
      <c r="L118" s="44"/>
      <c r="M118" s="44"/>
      <c r="N118" s="44"/>
      <c r="O118" s="46">
        <f t="shared" si="3"/>
        <v>0</v>
      </c>
      <c r="P118" s="32"/>
      <c r="Q118" s="32"/>
      <c r="R118" s="44"/>
      <c r="S118" s="46">
        <f t="shared" si="4"/>
        <v>0</v>
      </c>
      <c r="T118" s="32"/>
      <c r="U118" s="32"/>
      <c r="V118" s="44"/>
      <c r="W118" s="46">
        <f t="shared" si="5"/>
        <v>0</v>
      </c>
      <c r="X118" s="28"/>
      <c r="Y118" s="53"/>
      <c r="Z118" s="22"/>
      <c r="AA118" s="48"/>
      <c r="AO118" s="54"/>
      <c r="AP118" s="3"/>
      <c r="AQ118" s="3"/>
      <c r="AR118" s="14"/>
    </row>
    <row r="119" ht="16.5" customHeight="1">
      <c r="A119" s="41">
        <v>115.0</v>
      </c>
      <c r="B119" s="42"/>
      <c r="C119" s="43"/>
      <c r="D119" s="44"/>
      <c r="E119" s="44"/>
      <c r="F119" s="45"/>
      <c r="G119" s="46">
        <f t="shared" si="1"/>
        <v>0</v>
      </c>
      <c r="H119" s="44"/>
      <c r="I119" s="44"/>
      <c r="J119" s="45"/>
      <c r="K119" s="46">
        <f t="shared" si="2"/>
        <v>0</v>
      </c>
      <c r="L119" s="44"/>
      <c r="M119" s="44"/>
      <c r="N119" s="44"/>
      <c r="O119" s="46">
        <f t="shared" si="3"/>
        <v>0</v>
      </c>
      <c r="P119" s="32"/>
      <c r="Q119" s="32"/>
      <c r="R119" s="44"/>
      <c r="S119" s="46">
        <f t="shared" si="4"/>
        <v>0</v>
      </c>
      <c r="T119" s="32"/>
      <c r="U119" s="32"/>
      <c r="V119" s="44"/>
      <c r="W119" s="46">
        <f t="shared" si="5"/>
        <v>0</v>
      </c>
      <c r="X119" s="28"/>
      <c r="Y119" s="53"/>
      <c r="Z119" s="22"/>
      <c r="AA119" s="48"/>
      <c r="AO119" s="54"/>
      <c r="AP119" s="3"/>
      <c r="AQ119" s="3"/>
      <c r="AR119" s="14"/>
    </row>
    <row r="120" ht="16.5" customHeight="1">
      <c r="A120" s="41">
        <v>116.0</v>
      </c>
      <c r="B120" s="42"/>
      <c r="C120" s="43"/>
      <c r="D120" s="44"/>
      <c r="E120" s="44"/>
      <c r="F120" s="45"/>
      <c r="G120" s="46">
        <f t="shared" si="1"/>
        <v>0</v>
      </c>
      <c r="H120" s="44"/>
      <c r="I120" s="44"/>
      <c r="J120" s="45"/>
      <c r="K120" s="46">
        <f t="shared" si="2"/>
        <v>0</v>
      </c>
      <c r="L120" s="44"/>
      <c r="M120" s="44"/>
      <c r="N120" s="44"/>
      <c r="O120" s="46">
        <f t="shared" si="3"/>
        <v>0</v>
      </c>
      <c r="P120" s="32"/>
      <c r="Q120" s="32"/>
      <c r="R120" s="44"/>
      <c r="S120" s="46">
        <f t="shared" si="4"/>
        <v>0</v>
      </c>
      <c r="T120" s="32"/>
      <c r="U120" s="32"/>
      <c r="V120" s="44"/>
      <c r="W120" s="46">
        <f t="shared" si="5"/>
        <v>0</v>
      </c>
      <c r="X120" s="28"/>
      <c r="Y120" s="53"/>
      <c r="Z120" s="22"/>
      <c r="AA120" s="48"/>
      <c r="AO120" s="54"/>
      <c r="AP120" s="3"/>
      <c r="AQ120" s="3"/>
      <c r="AR120" s="14"/>
    </row>
    <row r="121" ht="16.5" customHeight="1">
      <c r="A121" s="41">
        <v>117.0</v>
      </c>
      <c r="B121" s="42"/>
      <c r="C121" s="43"/>
      <c r="D121" s="44"/>
      <c r="E121" s="44"/>
      <c r="F121" s="45"/>
      <c r="G121" s="46">
        <f t="shared" si="1"/>
        <v>0</v>
      </c>
      <c r="H121" s="44"/>
      <c r="I121" s="44"/>
      <c r="J121" s="45"/>
      <c r="K121" s="46">
        <f t="shared" si="2"/>
        <v>0</v>
      </c>
      <c r="L121" s="44"/>
      <c r="M121" s="44"/>
      <c r="N121" s="44"/>
      <c r="O121" s="46">
        <f t="shared" si="3"/>
        <v>0</v>
      </c>
      <c r="P121" s="32"/>
      <c r="Q121" s="32"/>
      <c r="R121" s="44"/>
      <c r="S121" s="46">
        <f t="shared" si="4"/>
        <v>0</v>
      </c>
      <c r="T121" s="32"/>
      <c r="U121" s="32"/>
      <c r="V121" s="44"/>
      <c r="W121" s="46">
        <f t="shared" si="5"/>
        <v>0</v>
      </c>
      <c r="X121" s="28"/>
      <c r="Y121" s="53"/>
      <c r="Z121" s="22"/>
      <c r="AA121" s="48"/>
      <c r="AO121" s="54"/>
      <c r="AP121" s="3"/>
      <c r="AQ121" s="3"/>
      <c r="AR121" s="14"/>
    </row>
    <row r="122" ht="16.5" customHeight="1">
      <c r="A122" s="41">
        <v>118.0</v>
      </c>
      <c r="B122" s="42"/>
      <c r="C122" s="43"/>
      <c r="D122" s="44"/>
      <c r="E122" s="44"/>
      <c r="F122" s="45"/>
      <c r="G122" s="46">
        <f t="shared" si="1"/>
        <v>0</v>
      </c>
      <c r="H122" s="44"/>
      <c r="I122" s="44"/>
      <c r="J122" s="45"/>
      <c r="K122" s="46">
        <f t="shared" si="2"/>
        <v>0</v>
      </c>
      <c r="L122" s="44"/>
      <c r="M122" s="44"/>
      <c r="N122" s="44"/>
      <c r="O122" s="46">
        <f t="shared" si="3"/>
        <v>0</v>
      </c>
      <c r="P122" s="32"/>
      <c r="Q122" s="32"/>
      <c r="R122" s="44"/>
      <c r="S122" s="46">
        <f t="shared" si="4"/>
        <v>0</v>
      </c>
      <c r="T122" s="32"/>
      <c r="U122" s="32"/>
      <c r="V122" s="44"/>
      <c r="W122" s="46">
        <f t="shared" si="5"/>
        <v>0</v>
      </c>
      <c r="X122" s="28"/>
      <c r="Y122" s="53"/>
      <c r="Z122" s="22"/>
      <c r="AA122" s="48"/>
      <c r="AO122" s="54"/>
      <c r="AP122" s="3"/>
      <c r="AQ122" s="3"/>
      <c r="AR122" s="14"/>
    </row>
    <row r="123" ht="16.5" customHeight="1">
      <c r="A123" s="41">
        <v>119.0</v>
      </c>
      <c r="B123" s="42"/>
      <c r="C123" s="43"/>
      <c r="D123" s="44"/>
      <c r="E123" s="44"/>
      <c r="F123" s="45"/>
      <c r="G123" s="46">
        <f t="shared" si="1"/>
        <v>0</v>
      </c>
      <c r="H123" s="44"/>
      <c r="I123" s="44"/>
      <c r="J123" s="45"/>
      <c r="K123" s="46">
        <f t="shared" si="2"/>
        <v>0</v>
      </c>
      <c r="L123" s="44"/>
      <c r="M123" s="44"/>
      <c r="N123" s="44"/>
      <c r="O123" s="46">
        <f t="shared" si="3"/>
        <v>0</v>
      </c>
      <c r="P123" s="32"/>
      <c r="Q123" s="32"/>
      <c r="R123" s="44"/>
      <c r="S123" s="46">
        <f t="shared" si="4"/>
        <v>0</v>
      </c>
      <c r="T123" s="32"/>
      <c r="U123" s="32"/>
      <c r="V123" s="44"/>
      <c r="W123" s="46">
        <f t="shared" si="5"/>
        <v>0</v>
      </c>
      <c r="X123" s="28"/>
      <c r="Y123" s="53"/>
      <c r="Z123" s="22"/>
      <c r="AA123" s="48"/>
      <c r="AO123" s="54"/>
      <c r="AP123" s="3"/>
      <c r="AQ123" s="3"/>
      <c r="AR123" s="14"/>
    </row>
    <row r="124" ht="16.5" customHeight="1">
      <c r="A124" s="41">
        <v>120.0</v>
      </c>
      <c r="B124" s="42"/>
      <c r="C124" s="43"/>
      <c r="D124" s="44"/>
      <c r="E124" s="44"/>
      <c r="F124" s="45"/>
      <c r="G124" s="46">
        <f t="shared" si="1"/>
        <v>0</v>
      </c>
      <c r="H124" s="44"/>
      <c r="I124" s="44"/>
      <c r="J124" s="45"/>
      <c r="K124" s="46">
        <f t="shared" si="2"/>
        <v>0</v>
      </c>
      <c r="L124" s="44"/>
      <c r="M124" s="44"/>
      <c r="N124" s="44"/>
      <c r="O124" s="46">
        <f t="shared" si="3"/>
        <v>0</v>
      </c>
      <c r="P124" s="32"/>
      <c r="Q124" s="32"/>
      <c r="R124" s="44"/>
      <c r="S124" s="46">
        <f t="shared" si="4"/>
        <v>0</v>
      </c>
      <c r="T124" s="32"/>
      <c r="U124" s="32"/>
      <c r="V124" s="44"/>
      <c r="W124" s="46">
        <f t="shared" si="5"/>
        <v>0</v>
      </c>
      <c r="X124" s="28"/>
      <c r="Y124" s="53"/>
      <c r="Z124" s="22"/>
      <c r="AA124" s="48"/>
      <c r="AO124" s="54"/>
      <c r="AP124" s="3"/>
      <c r="AQ124" s="3"/>
      <c r="AR124" s="14"/>
    </row>
    <row r="125" ht="16.5" customHeight="1">
      <c r="A125" s="41">
        <v>121.0</v>
      </c>
      <c r="B125" s="42"/>
      <c r="C125" s="43"/>
      <c r="D125" s="44"/>
      <c r="E125" s="44"/>
      <c r="F125" s="45"/>
      <c r="G125" s="46">
        <f t="shared" si="1"/>
        <v>0</v>
      </c>
      <c r="H125" s="44"/>
      <c r="I125" s="44"/>
      <c r="J125" s="45"/>
      <c r="K125" s="46">
        <f t="shared" si="2"/>
        <v>0</v>
      </c>
      <c r="L125" s="44"/>
      <c r="M125" s="44"/>
      <c r="N125" s="44"/>
      <c r="O125" s="46">
        <f t="shared" si="3"/>
        <v>0</v>
      </c>
      <c r="P125" s="32"/>
      <c r="Q125" s="32"/>
      <c r="R125" s="44"/>
      <c r="S125" s="46">
        <f t="shared" si="4"/>
        <v>0</v>
      </c>
      <c r="T125" s="32"/>
      <c r="U125" s="32"/>
      <c r="V125" s="44"/>
      <c r="W125" s="46">
        <f t="shared" si="5"/>
        <v>0</v>
      </c>
      <c r="X125" s="28"/>
      <c r="Y125" s="53"/>
      <c r="Z125" s="22"/>
      <c r="AA125" s="48"/>
      <c r="AO125" s="54"/>
      <c r="AP125" s="3"/>
      <c r="AQ125" s="3"/>
      <c r="AR125" s="14"/>
    </row>
    <row r="126" ht="16.5" customHeight="1">
      <c r="A126" s="41">
        <v>122.0</v>
      </c>
      <c r="B126" s="42"/>
      <c r="C126" s="43"/>
      <c r="D126" s="44"/>
      <c r="E126" s="44"/>
      <c r="F126" s="45"/>
      <c r="G126" s="46">
        <f t="shared" si="1"/>
        <v>0</v>
      </c>
      <c r="H126" s="44"/>
      <c r="I126" s="44"/>
      <c r="J126" s="45"/>
      <c r="K126" s="46">
        <f t="shared" si="2"/>
        <v>0</v>
      </c>
      <c r="L126" s="44"/>
      <c r="M126" s="44"/>
      <c r="N126" s="44"/>
      <c r="O126" s="46">
        <f t="shared" si="3"/>
        <v>0</v>
      </c>
      <c r="P126" s="32"/>
      <c r="Q126" s="32"/>
      <c r="R126" s="44"/>
      <c r="S126" s="46">
        <f t="shared" si="4"/>
        <v>0</v>
      </c>
      <c r="T126" s="32"/>
      <c r="U126" s="32"/>
      <c r="V126" s="44"/>
      <c r="W126" s="46">
        <f t="shared" si="5"/>
        <v>0</v>
      </c>
      <c r="X126" s="28"/>
      <c r="Y126" s="53"/>
      <c r="Z126" s="22"/>
      <c r="AA126" s="48"/>
      <c r="AO126" s="54"/>
      <c r="AP126" s="3"/>
      <c r="AQ126" s="3"/>
      <c r="AR126" s="14"/>
    </row>
    <row r="127" ht="16.5" customHeight="1">
      <c r="A127" s="41">
        <v>123.0</v>
      </c>
      <c r="B127" s="42"/>
      <c r="C127" s="43"/>
      <c r="D127" s="44"/>
      <c r="E127" s="44"/>
      <c r="F127" s="45"/>
      <c r="G127" s="46">
        <f t="shared" si="1"/>
        <v>0</v>
      </c>
      <c r="H127" s="44"/>
      <c r="I127" s="44"/>
      <c r="J127" s="45"/>
      <c r="K127" s="46">
        <f t="shared" si="2"/>
        <v>0</v>
      </c>
      <c r="L127" s="44"/>
      <c r="M127" s="44"/>
      <c r="N127" s="44"/>
      <c r="O127" s="46">
        <f t="shared" si="3"/>
        <v>0</v>
      </c>
      <c r="P127" s="32"/>
      <c r="Q127" s="32"/>
      <c r="R127" s="44"/>
      <c r="S127" s="46">
        <f t="shared" si="4"/>
        <v>0</v>
      </c>
      <c r="T127" s="32"/>
      <c r="U127" s="32"/>
      <c r="V127" s="44"/>
      <c r="W127" s="46">
        <f t="shared" si="5"/>
        <v>0</v>
      </c>
      <c r="X127" s="28"/>
      <c r="Y127" s="53"/>
      <c r="Z127" s="22"/>
      <c r="AA127" s="48"/>
      <c r="AO127" s="54"/>
      <c r="AP127" s="3"/>
      <c r="AQ127" s="3"/>
      <c r="AR127" s="14"/>
    </row>
    <row r="128" ht="16.5" customHeight="1">
      <c r="A128" s="41">
        <v>124.0</v>
      </c>
      <c r="B128" s="42"/>
      <c r="C128" s="43"/>
      <c r="D128" s="44"/>
      <c r="E128" s="44"/>
      <c r="F128" s="45"/>
      <c r="G128" s="46">
        <f t="shared" si="1"/>
        <v>0</v>
      </c>
      <c r="H128" s="44"/>
      <c r="I128" s="44"/>
      <c r="J128" s="45"/>
      <c r="K128" s="46">
        <f t="shared" si="2"/>
        <v>0</v>
      </c>
      <c r="L128" s="44"/>
      <c r="M128" s="44"/>
      <c r="N128" s="44"/>
      <c r="O128" s="46">
        <f t="shared" si="3"/>
        <v>0</v>
      </c>
      <c r="P128" s="32"/>
      <c r="Q128" s="32"/>
      <c r="R128" s="44"/>
      <c r="S128" s="46">
        <f t="shared" si="4"/>
        <v>0</v>
      </c>
      <c r="T128" s="32"/>
      <c r="U128" s="32"/>
      <c r="V128" s="44"/>
      <c r="W128" s="46">
        <f t="shared" si="5"/>
        <v>0</v>
      </c>
      <c r="X128" s="28"/>
      <c r="Y128" s="53"/>
      <c r="Z128" s="22"/>
      <c r="AA128" s="48"/>
      <c r="AO128" s="54"/>
      <c r="AP128" s="3"/>
      <c r="AQ128" s="3"/>
      <c r="AR128" s="14"/>
    </row>
    <row r="129" ht="16.5" customHeight="1">
      <c r="A129" s="41">
        <v>125.0</v>
      </c>
      <c r="B129" s="42"/>
      <c r="C129" s="43"/>
      <c r="D129" s="44"/>
      <c r="E129" s="44"/>
      <c r="F129" s="45"/>
      <c r="G129" s="46">
        <f t="shared" si="1"/>
        <v>0</v>
      </c>
      <c r="H129" s="44"/>
      <c r="I129" s="44"/>
      <c r="J129" s="45"/>
      <c r="K129" s="46">
        <f t="shared" si="2"/>
        <v>0</v>
      </c>
      <c r="L129" s="44"/>
      <c r="M129" s="44"/>
      <c r="N129" s="44"/>
      <c r="O129" s="46">
        <f t="shared" si="3"/>
        <v>0</v>
      </c>
      <c r="P129" s="32"/>
      <c r="Q129" s="32"/>
      <c r="R129" s="44"/>
      <c r="S129" s="46">
        <f t="shared" si="4"/>
        <v>0</v>
      </c>
      <c r="T129" s="32"/>
      <c r="U129" s="32"/>
      <c r="V129" s="44"/>
      <c r="W129" s="46">
        <f t="shared" si="5"/>
        <v>0</v>
      </c>
      <c r="X129" s="28"/>
      <c r="Y129" s="53"/>
      <c r="Z129" s="22"/>
      <c r="AA129" s="48"/>
      <c r="AO129" s="54"/>
      <c r="AP129" s="3"/>
      <c r="AQ129" s="3"/>
      <c r="AR129" s="14"/>
    </row>
    <row r="130" ht="16.5" customHeight="1">
      <c r="A130" s="41">
        <v>126.0</v>
      </c>
      <c r="B130" s="42"/>
      <c r="C130" s="43"/>
      <c r="D130" s="44"/>
      <c r="E130" s="44"/>
      <c r="F130" s="45"/>
      <c r="G130" s="46">
        <f t="shared" si="1"/>
        <v>0</v>
      </c>
      <c r="H130" s="44"/>
      <c r="I130" s="44"/>
      <c r="J130" s="45"/>
      <c r="K130" s="46">
        <f t="shared" si="2"/>
        <v>0</v>
      </c>
      <c r="L130" s="44"/>
      <c r="M130" s="44"/>
      <c r="N130" s="44"/>
      <c r="O130" s="46">
        <f t="shared" si="3"/>
        <v>0</v>
      </c>
      <c r="P130" s="32"/>
      <c r="Q130" s="32"/>
      <c r="R130" s="44"/>
      <c r="S130" s="46">
        <f t="shared" si="4"/>
        <v>0</v>
      </c>
      <c r="T130" s="32"/>
      <c r="U130" s="32"/>
      <c r="V130" s="44"/>
      <c r="W130" s="46">
        <f t="shared" si="5"/>
        <v>0</v>
      </c>
      <c r="X130" s="28"/>
      <c r="Y130" s="53"/>
      <c r="Z130" s="22"/>
      <c r="AA130" s="48"/>
      <c r="AO130" s="54"/>
      <c r="AP130" s="3"/>
      <c r="AQ130" s="3"/>
      <c r="AR130" s="14"/>
    </row>
    <row r="131" ht="16.5" customHeight="1">
      <c r="A131" s="41">
        <v>127.0</v>
      </c>
      <c r="B131" s="42"/>
      <c r="C131" s="43"/>
      <c r="D131" s="44"/>
      <c r="E131" s="44"/>
      <c r="F131" s="45"/>
      <c r="G131" s="46">
        <f t="shared" si="1"/>
        <v>0</v>
      </c>
      <c r="H131" s="44"/>
      <c r="I131" s="44"/>
      <c r="J131" s="45"/>
      <c r="K131" s="46">
        <f t="shared" si="2"/>
        <v>0</v>
      </c>
      <c r="L131" s="44"/>
      <c r="M131" s="44"/>
      <c r="N131" s="44"/>
      <c r="O131" s="46">
        <f t="shared" si="3"/>
        <v>0</v>
      </c>
      <c r="P131" s="32"/>
      <c r="Q131" s="32"/>
      <c r="R131" s="44"/>
      <c r="S131" s="46">
        <f t="shared" si="4"/>
        <v>0</v>
      </c>
      <c r="T131" s="32"/>
      <c r="U131" s="32"/>
      <c r="V131" s="44"/>
      <c r="W131" s="46">
        <f t="shared" si="5"/>
        <v>0</v>
      </c>
      <c r="X131" s="28"/>
      <c r="Y131" s="53"/>
      <c r="Z131" s="22"/>
      <c r="AA131" s="48"/>
      <c r="AO131" s="54"/>
      <c r="AP131" s="3"/>
      <c r="AQ131" s="3"/>
      <c r="AR131" s="14"/>
    </row>
    <row r="132" ht="16.5" customHeight="1">
      <c r="A132" s="41">
        <v>128.0</v>
      </c>
      <c r="B132" s="42"/>
      <c r="C132" s="43"/>
      <c r="D132" s="44"/>
      <c r="E132" s="44"/>
      <c r="F132" s="45"/>
      <c r="G132" s="46">
        <f t="shared" si="1"/>
        <v>0</v>
      </c>
      <c r="H132" s="44"/>
      <c r="I132" s="44"/>
      <c r="J132" s="45"/>
      <c r="K132" s="46">
        <f t="shared" si="2"/>
        <v>0</v>
      </c>
      <c r="L132" s="44"/>
      <c r="M132" s="44"/>
      <c r="N132" s="44"/>
      <c r="O132" s="46">
        <f t="shared" si="3"/>
        <v>0</v>
      </c>
      <c r="P132" s="32"/>
      <c r="Q132" s="32"/>
      <c r="R132" s="44"/>
      <c r="S132" s="46">
        <f t="shared" si="4"/>
        <v>0</v>
      </c>
      <c r="T132" s="32"/>
      <c r="U132" s="32"/>
      <c r="V132" s="44"/>
      <c r="W132" s="46">
        <f t="shared" si="5"/>
        <v>0</v>
      </c>
      <c r="X132" s="28"/>
      <c r="Y132" s="53"/>
      <c r="Z132" s="22"/>
      <c r="AA132" s="48"/>
      <c r="AO132" s="54"/>
      <c r="AP132" s="3"/>
      <c r="AQ132" s="3"/>
      <c r="AR132" s="14"/>
    </row>
    <row r="133" ht="16.5" customHeight="1">
      <c r="A133" s="41">
        <v>129.0</v>
      </c>
      <c r="B133" s="42"/>
      <c r="C133" s="43"/>
      <c r="D133" s="44"/>
      <c r="E133" s="44"/>
      <c r="F133" s="45"/>
      <c r="G133" s="46">
        <f t="shared" si="1"/>
        <v>0</v>
      </c>
      <c r="H133" s="44"/>
      <c r="I133" s="44"/>
      <c r="J133" s="45"/>
      <c r="K133" s="46">
        <f t="shared" si="2"/>
        <v>0</v>
      </c>
      <c r="L133" s="44"/>
      <c r="M133" s="44"/>
      <c r="N133" s="44"/>
      <c r="O133" s="46">
        <f t="shared" si="3"/>
        <v>0</v>
      </c>
      <c r="P133" s="32"/>
      <c r="Q133" s="32"/>
      <c r="R133" s="44"/>
      <c r="S133" s="46">
        <f t="shared" si="4"/>
        <v>0</v>
      </c>
      <c r="T133" s="32"/>
      <c r="U133" s="32"/>
      <c r="V133" s="44"/>
      <c r="W133" s="46">
        <f t="shared" si="5"/>
        <v>0</v>
      </c>
      <c r="X133" s="28"/>
      <c r="Y133" s="53"/>
      <c r="Z133" s="22"/>
      <c r="AA133" s="48"/>
      <c r="AO133" s="54"/>
      <c r="AP133" s="3"/>
      <c r="AQ133" s="3"/>
      <c r="AR133" s="14"/>
    </row>
    <row r="134" ht="16.5" customHeight="1">
      <c r="A134" s="41">
        <v>130.0</v>
      </c>
      <c r="B134" s="42"/>
      <c r="C134" s="43"/>
      <c r="D134" s="44"/>
      <c r="E134" s="44"/>
      <c r="F134" s="45"/>
      <c r="G134" s="46">
        <f t="shared" si="1"/>
        <v>0</v>
      </c>
      <c r="H134" s="44"/>
      <c r="I134" s="44"/>
      <c r="J134" s="45"/>
      <c r="K134" s="46">
        <f t="shared" si="2"/>
        <v>0</v>
      </c>
      <c r="L134" s="44"/>
      <c r="M134" s="44"/>
      <c r="N134" s="44"/>
      <c r="O134" s="46">
        <f t="shared" si="3"/>
        <v>0</v>
      </c>
      <c r="P134" s="32"/>
      <c r="Q134" s="32"/>
      <c r="R134" s="44"/>
      <c r="S134" s="46">
        <f t="shared" si="4"/>
        <v>0</v>
      </c>
      <c r="T134" s="32"/>
      <c r="U134" s="32"/>
      <c r="V134" s="44"/>
      <c r="W134" s="46">
        <f t="shared" si="5"/>
        <v>0</v>
      </c>
      <c r="X134" s="28"/>
      <c r="Y134" s="53"/>
      <c r="Z134" s="22"/>
      <c r="AA134" s="48"/>
      <c r="AO134" s="54"/>
      <c r="AP134" s="3"/>
      <c r="AQ134" s="3"/>
      <c r="AR134" s="14"/>
    </row>
    <row r="135" ht="16.5" customHeight="1">
      <c r="A135" s="41">
        <v>131.0</v>
      </c>
      <c r="B135" s="42"/>
      <c r="C135" s="43"/>
      <c r="D135" s="44"/>
      <c r="E135" s="44"/>
      <c r="F135" s="45"/>
      <c r="G135" s="46">
        <f t="shared" si="1"/>
        <v>0</v>
      </c>
      <c r="H135" s="44"/>
      <c r="I135" s="44"/>
      <c r="J135" s="45"/>
      <c r="K135" s="46">
        <f t="shared" si="2"/>
        <v>0</v>
      </c>
      <c r="L135" s="44"/>
      <c r="M135" s="44"/>
      <c r="N135" s="44"/>
      <c r="O135" s="46">
        <f t="shared" si="3"/>
        <v>0</v>
      </c>
      <c r="P135" s="32"/>
      <c r="Q135" s="32"/>
      <c r="R135" s="44"/>
      <c r="S135" s="46">
        <f t="shared" si="4"/>
        <v>0</v>
      </c>
      <c r="T135" s="32"/>
      <c r="U135" s="32"/>
      <c r="V135" s="44"/>
      <c r="W135" s="46">
        <f t="shared" si="5"/>
        <v>0</v>
      </c>
      <c r="X135" s="28"/>
      <c r="Y135" s="53" t="s">
        <v>50</v>
      </c>
      <c r="Z135" s="22"/>
      <c r="AA135" s="48"/>
      <c r="AO135" s="54"/>
      <c r="AP135" s="3"/>
      <c r="AQ135" s="3"/>
      <c r="AR135" s="14"/>
    </row>
    <row r="136" ht="16.5" customHeight="1">
      <c r="A136" s="41">
        <v>132.0</v>
      </c>
      <c r="B136" s="42"/>
      <c r="C136" s="43"/>
      <c r="D136" s="44"/>
      <c r="E136" s="44"/>
      <c r="F136" s="45"/>
      <c r="G136" s="46">
        <f t="shared" si="1"/>
        <v>0</v>
      </c>
      <c r="H136" s="44"/>
      <c r="I136" s="44"/>
      <c r="J136" s="45"/>
      <c r="K136" s="46">
        <f t="shared" si="2"/>
        <v>0</v>
      </c>
      <c r="L136" s="44"/>
      <c r="M136" s="44"/>
      <c r="N136" s="44"/>
      <c r="O136" s="46">
        <f t="shared" si="3"/>
        <v>0</v>
      </c>
      <c r="P136" s="32"/>
      <c r="Q136" s="32"/>
      <c r="R136" s="44"/>
      <c r="S136" s="46">
        <f t="shared" si="4"/>
        <v>0</v>
      </c>
      <c r="T136" s="32"/>
      <c r="U136" s="32"/>
      <c r="V136" s="44"/>
      <c r="W136" s="46">
        <f t="shared" si="5"/>
        <v>0</v>
      </c>
      <c r="X136" s="28"/>
      <c r="Y136" s="53"/>
      <c r="Z136" s="22"/>
      <c r="AA136" s="48"/>
      <c r="AO136" s="54"/>
      <c r="AP136" s="3"/>
      <c r="AQ136" s="3"/>
      <c r="AR136" s="14"/>
    </row>
    <row r="137" ht="16.5" customHeight="1">
      <c r="A137" s="41">
        <v>133.0</v>
      </c>
      <c r="B137" s="42"/>
      <c r="C137" s="43"/>
      <c r="D137" s="44"/>
      <c r="E137" s="44"/>
      <c r="F137" s="45"/>
      <c r="G137" s="46">
        <f t="shared" si="1"/>
        <v>0</v>
      </c>
      <c r="H137" s="44"/>
      <c r="I137" s="44"/>
      <c r="J137" s="45"/>
      <c r="K137" s="46">
        <f t="shared" si="2"/>
        <v>0</v>
      </c>
      <c r="L137" s="44"/>
      <c r="M137" s="44"/>
      <c r="N137" s="44"/>
      <c r="O137" s="46">
        <f t="shared" si="3"/>
        <v>0</v>
      </c>
      <c r="P137" s="32"/>
      <c r="Q137" s="32"/>
      <c r="R137" s="44"/>
      <c r="S137" s="46">
        <f t="shared" si="4"/>
        <v>0</v>
      </c>
      <c r="T137" s="32"/>
      <c r="U137" s="32"/>
      <c r="V137" s="44"/>
      <c r="W137" s="46">
        <f t="shared" si="5"/>
        <v>0</v>
      </c>
      <c r="X137" s="28"/>
      <c r="Y137" s="53" t="s">
        <v>50</v>
      </c>
      <c r="Z137" s="22"/>
      <c r="AA137" s="48"/>
      <c r="AO137" s="54"/>
      <c r="AP137" s="3"/>
      <c r="AQ137" s="3"/>
      <c r="AR137" s="14"/>
    </row>
    <row r="138" ht="16.5" customHeight="1">
      <c r="A138" s="41">
        <v>134.0</v>
      </c>
      <c r="B138" s="42"/>
      <c r="C138" s="43"/>
      <c r="D138" s="44"/>
      <c r="E138" s="44"/>
      <c r="F138" s="45"/>
      <c r="G138" s="46">
        <f t="shared" si="1"/>
        <v>0</v>
      </c>
      <c r="H138" s="44"/>
      <c r="I138" s="44"/>
      <c r="J138" s="45"/>
      <c r="K138" s="46">
        <f t="shared" si="2"/>
        <v>0</v>
      </c>
      <c r="L138" s="44"/>
      <c r="M138" s="44"/>
      <c r="N138" s="44"/>
      <c r="O138" s="46">
        <f t="shared" si="3"/>
        <v>0</v>
      </c>
      <c r="P138" s="32"/>
      <c r="Q138" s="32"/>
      <c r="R138" s="44"/>
      <c r="S138" s="46">
        <f t="shared" si="4"/>
        <v>0</v>
      </c>
      <c r="T138" s="32"/>
      <c r="U138" s="32"/>
      <c r="V138" s="44"/>
      <c r="W138" s="46">
        <f t="shared" si="5"/>
        <v>0</v>
      </c>
      <c r="X138" s="28"/>
      <c r="Y138" s="53"/>
      <c r="Z138" s="22"/>
      <c r="AA138" s="48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54"/>
      <c r="AP138" s="3"/>
      <c r="AQ138" s="3"/>
      <c r="AR138" s="14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</row>
    <row r="139" ht="16.5" customHeight="1">
      <c r="A139" s="41">
        <v>135.0</v>
      </c>
      <c r="B139" s="42"/>
      <c r="C139" s="43"/>
      <c r="D139" s="44"/>
      <c r="E139" s="44"/>
      <c r="F139" s="45"/>
      <c r="G139" s="46">
        <f t="shared" si="1"/>
        <v>0</v>
      </c>
      <c r="H139" s="44"/>
      <c r="I139" s="44"/>
      <c r="J139" s="45"/>
      <c r="K139" s="46">
        <f t="shared" si="2"/>
        <v>0</v>
      </c>
      <c r="L139" s="44"/>
      <c r="M139" s="44"/>
      <c r="N139" s="44"/>
      <c r="O139" s="46">
        <f t="shared" si="3"/>
        <v>0</v>
      </c>
      <c r="P139" s="32"/>
      <c r="Q139" s="32"/>
      <c r="R139" s="44"/>
      <c r="S139" s="46">
        <f t="shared" si="4"/>
        <v>0</v>
      </c>
      <c r="T139" s="32"/>
      <c r="U139" s="32"/>
      <c r="V139" s="44"/>
      <c r="W139" s="46">
        <f t="shared" si="5"/>
        <v>0</v>
      </c>
      <c r="X139" s="28"/>
      <c r="Y139" s="53" t="s">
        <v>51</v>
      </c>
      <c r="Z139" s="22"/>
      <c r="AA139" s="48"/>
      <c r="AO139" s="54"/>
      <c r="AP139" s="3"/>
      <c r="AQ139" s="3"/>
      <c r="AR139" s="14"/>
    </row>
    <row r="140" ht="16.5" customHeight="1">
      <c r="A140" s="41">
        <v>136.0</v>
      </c>
      <c r="B140" s="42"/>
      <c r="C140" s="43"/>
      <c r="D140" s="44"/>
      <c r="E140" s="44"/>
      <c r="F140" s="45"/>
      <c r="G140" s="46">
        <f t="shared" si="1"/>
        <v>0</v>
      </c>
      <c r="H140" s="44"/>
      <c r="I140" s="44"/>
      <c r="J140" s="45"/>
      <c r="K140" s="46">
        <f t="shared" si="2"/>
        <v>0</v>
      </c>
      <c r="L140" s="44"/>
      <c r="M140" s="44"/>
      <c r="N140" s="44"/>
      <c r="O140" s="46">
        <f t="shared" si="3"/>
        <v>0</v>
      </c>
      <c r="P140" s="32"/>
      <c r="Q140" s="32"/>
      <c r="R140" s="44"/>
      <c r="S140" s="46">
        <f t="shared" si="4"/>
        <v>0</v>
      </c>
      <c r="T140" s="32"/>
      <c r="U140" s="32"/>
      <c r="V140" s="44"/>
      <c r="W140" s="46">
        <f t="shared" si="5"/>
        <v>0</v>
      </c>
      <c r="X140" s="28"/>
      <c r="Y140" s="53"/>
      <c r="Z140" s="22"/>
      <c r="AA140" s="48"/>
      <c r="AO140" s="54"/>
      <c r="AP140" s="3"/>
      <c r="AQ140" s="3"/>
      <c r="AR140" s="14"/>
    </row>
    <row r="141" ht="16.5" customHeight="1">
      <c r="A141" s="41">
        <v>137.0</v>
      </c>
      <c r="B141" s="42"/>
      <c r="C141" s="43"/>
      <c r="D141" s="44"/>
      <c r="E141" s="44"/>
      <c r="F141" s="45"/>
      <c r="G141" s="46">
        <f t="shared" si="1"/>
        <v>0</v>
      </c>
      <c r="H141" s="44"/>
      <c r="I141" s="44"/>
      <c r="J141" s="45"/>
      <c r="K141" s="46">
        <f t="shared" si="2"/>
        <v>0</v>
      </c>
      <c r="L141" s="44"/>
      <c r="M141" s="44"/>
      <c r="N141" s="44"/>
      <c r="O141" s="46">
        <f t="shared" si="3"/>
        <v>0</v>
      </c>
      <c r="P141" s="32"/>
      <c r="Q141" s="32"/>
      <c r="R141" s="44"/>
      <c r="S141" s="46">
        <f t="shared" si="4"/>
        <v>0</v>
      </c>
      <c r="T141" s="32"/>
      <c r="U141" s="32"/>
      <c r="V141" s="44"/>
      <c r="W141" s="46">
        <f t="shared" si="5"/>
        <v>0</v>
      </c>
      <c r="X141" s="28"/>
      <c r="Y141" s="53"/>
      <c r="Z141" s="22"/>
      <c r="AA141" s="48"/>
      <c r="AO141" s="54"/>
      <c r="AP141" s="3"/>
      <c r="AQ141" s="3"/>
      <c r="AR141" s="14"/>
    </row>
    <row r="142" ht="16.5" customHeight="1">
      <c r="A142" s="41"/>
      <c r="B142" s="89" t="s">
        <v>52</v>
      </c>
      <c r="C142" s="19"/>
      <c r="D142" s="101" t="s">
        <v>5</v>
      </c>
      <c r="E142" s="102"/>
      <c r="F142" s="103"/>
      <c r="G142" s="104">
        <v>65.0</v>
      </c>
      <c r="H142" s="101" t="s">
        <v>6</v>
      </c>
      <c r="I142" s="102"/>
      <c r="J142" s="103"/>
      <c r="K142" s="104">
        <v>65.0</v>
      </c>
      <c r="L142" s="101" t="s">
        <v>7</v>
      </c>
      <c r="M142" s="102"/>
      <c r="N142" s="103"/>
      <c r="O142" s="104">
        <v>65.0</v>
      </c>
      <c r="P142" s="101" t="s">
        <v>8</v>
      </c>
      <c r="Q142" s="102"/>
      <c r="R142" s="103"/>
      <c r="S142" s="104">
        <v>65.0</v>
      </c>
      <c r="T142" s="101" t="s">
        <v>9</v>
      </c>
      <c r="U142" s="102"/>
      <c r="V142" s="103"/>
      <c r="W142" s="104">
        <v>65.0</v>
      </c>
      <c r="X142" s="28"/>
      <c r="Y142" s="105" t="s">
        <v>50</v>
      </c>
      <c r="Z142" s="22"/>
      <c r="AA142" s="48"/>
      <c r="AB142" s="48"/>
      <c r="AC142" s="48"/>
      <c r="AD142" s="48"/>
      <c r="AE142" s="48"/>
      <c r="AH142" s="55"/>
      <c r="AI142" s="55"/>
      <c r="AJ142" s="56"/>
      <c r="AK142" s="57"/>
      <c r="AL142" s="57"/>
      <c r="AM142" s="57"/>
      <c r="AN142" s="57"/>
      <c r="AO142" s="54"/>
      <c r="AP142" s="3"/>
      <c r="AQ142" s="3"/>
      <c r="AR142" s="14"/>
    </row>
    <row r="143" ht="16.5" customHeight="1">
      <c r="A143" s="106"/>
      <c r="B143" s="107" t="s">
        <v>53</v>
      </c>
      <c r="C143" s="19"/>
      <c r="D143" s="108"/>
      <c r="F143" s="63"/>
      <c r="G143" s="109">
        <f>COUNTIF(G7:G141,"&gt;="&amp;G5*(G142/100))</f>
        <v>1</v>
      </c>
      <c r="H143" s="108"/>
      <c r="J143" s="63"/>
      <c r="K143" s="109">
        <f>COUNTIF(K7:K141,"&gt;="&amp;K5*(K142/100))</f>
        <v>1</v>
      </c>
      <c r="L143" s="108"/>
      <c r="N143" s="63"/>
      <c r="O143" s="109">
        <f>COUNTIF(O7:O141,"&gt;="&amp;O5*(O142/100))</f>
        <v>0</v>
      </c>
      <c r="P143" s="108"/>
      <c r="R143" s="63"/>
      <c r="S143" s="109">
        <f>COUNTIF(S7:S141,"&gt;="&amp;S5*(S142/100))</f>
        <v>1</v>
      </c>
      <c r="T143" s="108"/>
      <c r="V143" s="63"/>
      <c r="W143" s="109">
        <f>COUNTIF(W7:W141,"&gt;="&amp;W5*(W142/100))</f>
        <v>1</v>
      </c>
      <c r="X143" s="28"/>
      <c r="Y143" s="110">
        <f>COUNTA(Y7:Y141)-(COUNTIF(Y7:Y141,"=U*")+COUNTIF(Y7:Y141,"=R*")+COUNTIF(Y7:Y141,"=WH*")+COUNTIF(Y7:Y141,"=B"))</f>
        <v>2</v>
      </c>
      <c r="Z143" s="22"/>
      <c r="AA143" s="48"/>
      <c r="AB143" s="48"/>
      <c r="AD143" s="3"/>
      <c r="AE143" s="3"/>
      <c r="AF143" s="3"/>
      <c r="AG143" s="3"/>
      <c r="AH143" s="3"/>
      <c r="AI143" s="56"/>
      <c r="AJ143" s="3"/>
      <c r="AK143" s="3"/>
      <c r="AL143" s="3"/>
      <c r="AM143" s="3"/>
      <c r="AN143" s="111"/>
      <c r="AO143" s="3"/>
      <c r="AP143" s="3"/>
      <c r="AQ143" s="14"/>
    </row>
    <row r="144" ht="16.5" customHeight="1">
      <c r="A144" s="106"/>
      <c r="B144" s="92" t="s">
        <v>54</v>
      </c>
      <c r="C144" s="19"/>
      <c r="D144" s="108"/>
      <c r="F144" s="63"/>
      <c r="G144" s="112">
        <f>G143/(COUNTA(G7:G141))*100</f>
        <v>0.7407407407</v>
      </c>
      <c r="H144" s="108"/>
      <c r="J144" s="63"/>
      <c r="K144" s="112">
        <f>K143/(COUNTA(K7:K141))*100</f>
        <v>0.7407407407</v>
      </c>
      <c r="L144" s="108"/>
      <c r="N144" s="63"/>
      <c r="O144" s="112">
        <f>O143/(COUNTA(O7:O141))*100</f>
        <v>0</v>
      </c>
      <c r="P144" s="108"/>
      <c r="R144" s="63"/>
      <c r="S144" s="112">
        <f>S143/(COUNTA(S7:S141))*100</f>
        <v>0.7407407407</v>
      </c>
      <c r="T144" s="108"/>
      <c r="V144" s="63"/>
      <c r="W144" s="112">
        <f>W143/(COUNTA(W7:W141))*100</f>
        <v>0.7407407407</v>
      </c>
      <c r="X144" s="28"/>
      <c r="Y144" s="113">
        <f>IFERROR(Y143/(COUNTA(Y7:Y141))*100,0)</f>
        <v>66.66666667</v>
      </c>
      <c r="Z144" s="22"/>
      <c r="AA144" s="48"/>
      <c r="AB144" s="48"/>
      <c r="AC144" s="114"/>
      <c r="AE144" s="3"/>
      <c r="AF144" s="3"/>
      <c r="AG144" s="3"/>
      <c r="AH144" s="3"/>
      <c r="AJ144" s="3"/>
      <c r="AK144" s="3"/>
      <c r="AL144" s="3"/>
      <c r="AM144" s="3"/>
      <c r="AN144" s="111"/>
      <c r="AO144" s="115"/>
    </row>
    <row r="145" ht="16.5" customHeight="1">
      <c r="A145" s="106"/>
      <c r="B145" s="92" t="s">
        <v>55</v>
      </c>
      <c r="C145" s="19"/>
      <c r="D145" s="116"/>
      <c r="E145" s="117"/>
      <c r="F145" s="118"/>
      <c r="G145" s="119">
        <f>IF(G144&gt;=$AE$17,3,(IF(G144&gt;=$AE$16,2,(IF(G144&gt;=$AE$15,1,0)))))</f>
        <v>0</v>
      </c>
      <c r="H145" s="116"/>
      <c r="I145" s="117"/>
      <c r="J145" s="118"/>
      <c r="K145" s="119">
        <f>IF(K144&gt;=$AE$17,3,(IF(K144&gt;=$AE$16,2,(IF(K144&gt;=$AE$15,1,0)))))</f>
        <v>0</v>
      </c>
      <c r="L145" s="116"/>
      <c r="M145" s="117"/>
      <c r="N145" s="118"/>
      <c r="O145" s="119">
        <f>IF(O144&gt;=$AE$17,3,(IF(O144&gt;=$AE$16,2,(IF(O144&gt;=$AE$15,1,0)))))</f>
        <v>0</v>
      </c>
      <c r="P145" s="116"/>
      <c r="Q145" s="117"/>
      <c r="R145" s="118"/>
      <c r="S145" s="119">
        <f>IF(S144&gt;=$AE$17,3,(IF(S144&gt;=$AE$16,2,(IF(S144&gt;=$AE$15,1,0)))))</f>
        <v>0</v>
      </c>
      <c r="T145" s="116"/>
      <c r="U145" s="117"/>
      <c r="V145" s="118"/>
      <c r="W145" s="119">
        <f>IF(W144&gt;=$AE$17,3,(IF(W144&gt;=$AE$16,2,(IF(W144&gt;=$AE$15,1,0)))))</f>
        <v>0</v>
      </c>
      <c r="X145" s="120"/>
      <c r="Y145" s="121">
        <f>IF(Y144&gt;=$AE$17,3,(IF(Y144&gt;=$AE$16,2,(IF(Y144&gt;=$AE$15,1,0)))))</f>
        <v>2</v>
      </c>
      <c r="Z145" s="79"/>
      <c r="AA145" s="48"/>
      <c r="AB145" s="122"/>
      <c r="AO145" s="14"/>
      <c r="AP145" s="14"/>
      <c r="AQ145" s="14"/>
    </row>
    <row r="146" ht="15.75" customHeight="1">
      <c r="A146" s="36"/>
      <c r="B146" s="123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O146" s="14"/>
      <c r="AP146" s="14"/>
      <c r="AQ146" s="14"/>
    </row>
    <row r="147" ht="24.0" customHeight="1">
      <c r="A147" s="36"/>
      <c r="P147" s="13"/>
      <c r="R147" s="13"/>
      <c r="T147" s="13"/>
      <c r="V147" s="13"/>
      <c r="X147" s="13"/>
      <c r="Y147" s="36"/>
      <c r="Z147" s="36"/>
      <c r="AA147" s="124"/>
      <c r="AB147" s="124"/>
      <c r="AC147" s="125"/>
      <c r="AP147" s="14"/>
      <c r="AQ147" s="14"/>
      <c r="AR147" s="14"/>
    </row>
    <row r="148" ht="27.0" customHeight="1">
      <c r="A148" s="3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7"/>
      <c r="T148" s="127"/>
      <c r="U148" s="127"/>
      <c r="V148" s="127"/>
      <c r="W148" s="127"/>
      <c r="X148" s="127"/>
      <c r="AB148" s="128"/>
      <c r="AC148" s="125"/>
      <c r="AP148" s="14"/>
      <c r="AQ148" s="14"/>
      <c r="AR148" s="14"/>
    </row>
    <row r="149" ht="17.25" customHeight="1">
      <c r="A149" s="36"/>
      <c r="B149" s="129"/>
      <c r="C149" s="129"/>
      <c r="D149" s="126"/>
      <c r="E149" s="126"/>
      <c r="F149" s="126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36"/>
      <c r="T149" s="36"/>
      <c r="U149" s="36"/>
      <c r="V149" s="36"/>
      <c r="W149" s="36"/>
      <c r="X149" s="36"/>
      <c r="Y149" s="36"/>
      <c r="Z149" s="36"/>
      <c r="AA149" s="36"/>
      <c r="AB149" s="128"/>
      <c r="AC149" s="125"/>
      <c r="AP149" s="14"/>
      <c r="AQ149" s="14"/>
      <c r="AR149" s="14"/>
    </row>
    <row r="150" ht="15.75" customHeight="1">
      <c r="A150" s="36"/>
      <c r="P150" s="13"/>
      <c r="R150" s="13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P150" s="14"/>
      <c r="AQ150" s="14"/>
      <c r="AR150" s="14"/>
    </row>
    <row r="151" ht="15.0" customHeight="1">
      <c r="A151" s="36"/>
      <c r="P151" s="13"/>
      <c r="R151" s="13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P151" s="14"/>
      <c r="AQ151" s="14"/>
      <c r="AR151" s="14"/>
    </row>
    <row r="152" ht="15.0" customHeight="1">
      <c r="A152" s="36"/>
      <c r="P152" s="13"/>
      <c r="R152" s="13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P152" s="14"/>
      <c r="AQ152" s="14"/>
      <c r="AR152" s="14"/>
    </row>
    <row r="153" ht="15.0" customHeight="1">
      <c r="A153" s="36"/>
      <c r="P153" s="13"/>
      <c r="R153" s="13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P153" s="14"/>
      <c r="AQ153" s="14"/>
      <c r="AR153" s="14"/>
    </row>
    <row r="154" ht="15.75" customHeight="1">
      <c r="A154" s="36"/>
      <c r="P154" s="13"/>
      <c r="R154" s="13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P154" s="14"/>
      <c r="AQ154" s="14"/>
      <c r="AR154" s="14"/>
    </row>
    <row r="155" ht="15.75" customHeight="1">
      <c r="A155" s="36"/>
      <c r="B155" s="123"/>
      <c r="C155" s="36"/>
      <c r="D155" s="36"/>
      <c r="E155" s="36"/>
      <c r="F155" s="36"/>
      <c r="G155" s="36"/>
      <c r="H155" s="130"/>
      <c r="I155" s="130"/>
      <c r="J155" s="130"/>
      <c r="K155" s="35"/>
      <c r="L155" s="35"/>
      <c r="M155" s="35"/>
      <c r="N155" s="35"/>
      <c r="P155" s="13"/>
      <c r="R155" s="13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P155" s="14"/>
      <c r="AQ155" s="14"/>
      <c r="AR155" s="14"/>
    </row>
    <row r="156" ht="15.75" customHeight="1">
      <c r="A156" s="36"/>
      <c r="B156" s="131"/>
      <c r="C156" s="131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7"/>
      <c r="T156" s="127"/>
      <c r="U156" s="127"/>
      <c r="V156" s="127"/>
      <c r="W156" s="127"/>
      <c r="X156" s="127"/>
      <c r="AA156" s="132"/>
      <c r="AB156" s="127"/>
      <c r="AP156" s="14"/>
      <c r="AQ156" s="14"/>
      <c r="AR156" s="14"/>
    </row>
    <row r="157" ht="15.75" customHeight="1">
      <c r="A157" s="36"/>
      <c r="B157" s="131"/>
      <c r="C157" s="131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7"/>
      <c r="T157" s="127"/>
      <c r="U157" s="127"/>
      <c r="V157" s="127"/>
      <c r="W157" s="127"/>
      <c r="X157" s="127"/>
      <c r="AA157" s="132"/>
      <c r="AB157" s="127"/>
      <c r="AP157" s="14"/>
      <c r="AQ157" s="14"/>
      <c r="AR157" s="14"/>
    </row>
    <row r="158" ht="15.75" customHeight="1">
      <c r="A158" s="36"/>
      <c r="B158" s="131"/>
      <c r="C158" s="131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7"/>
      <c r="T158" s="127"/>
      <c r="U158" s="127"/>
      <c r="V158" s="127"/>
      <c r="W158" s="127"/>
      <c r="X158" s="127"/>
      <c r="AA158" s="132"/>
      <c r="AB158" s="127"/>
      <c r="AP158" s="14"/>
      <c r="AQ158" s="14"/>
      <c r="AR158" s="14"/>
    </row>
    <row r="159" ht="15.75" customHeight="1">
      <c r="A159" s="36"/>
      <c r="B159" s="131"/>
      <c r="C159" s="131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7"/>
      <c r="T159" s="127"/>
      <c r="U159" s="127"/>
      <c r="V159" s="127"/>
      <c r="W159" s="127"/>
      <c r="X159" s="127"/>
      <c r="AA159" s="132"/>
      <c r="AB159" s="127"/>
      <c r="AP159" s="14"/>
      <c r="AQ159" s="14"/>
      <c r="AR159" s="14"/>
    </row>
    <row r="160" ht="15.75" customHeight="1">
      <c r="A160" s="36"/>
      <c r="B160" s="131"/>
      <c r="C160" s="131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7"/>
      <c r="T160" s="127"/>
      <c r="U160" s="127"/>
      <c r="V160" s="127"/>
      <c r="W160" s="127"/>
      <c r="X160" s="127"/>
      <c r="AA160" s="132"/>
      <c r="AB160" s="127"/>
      <c r="AP160" s="14"/>
      <c r="AQ160" s="14"/>
      <c r="AR160" s="14"/>
    </row>
    <row r="161" ht="15.75" customHeight="1">
      <c r="A161" s="36"/>
      <c r="B161" s="131"/>
      <c r="C161" s="131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7"/>
      <c r="T161" s="127"/>
      <c r="U161" s="127"/>
      <c r="V161" s="127"/>
      <c r="W161" s="127"/>
      <c r="X161" s="127"/>
      <c r="AA161" s="132"/>
      <c r="AB161" s="127"/>
      <c r="AP161" s="14"/>
      <c r="AQ161" s="14"/>
      <c r="AR161" s="14"/>
    </row>
    <row r="162" ht="15.75" customHeight="1">
      <c r="A162" s="36"/>
      <c r="P162" s="13"/>
      <c r="R162" s="13"/>
      <c r="T162" s="13"/>
      <c r="V162" s="13"/>
      <c r="X162" s="13"/>
      <c r="AB162" s="127"/>
      <c r="AP162" s="14"/>
      <c r="AQ162" s="14"/>
      <c r="AR162" s="14"/>
    </row>
    <row r="163" ht="15.0" customHeight="1">
      <c r="A163" s="36"/>
      <c r="P163" s="13"/>
      <c r="R163" s="13"/>
      <c r="T163" s="13"/>
      <c r="V163" s="13"/>
      <c r="X163" s="13"/>
      <c r="AB163" s="36"/>
      <c r="AP163" s="14"/>
      <c r="AQ163" s="14"/>
      <c r="AR163" s="14"/>
    </row>
    <row r="164" ht="15.75" customHeight="1">
      <c r="A164" s="36"/>
      <c r="B164" s="133" t="s">
        <v>56</v>
      </c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P164" s="14"/>
      <c r="AQ164" s="14"/>
      <c r="AR164" s="14"/>
    </row>
    <row r="165" ht="15.75" customHeight="1">
      <c r="A165" s="36"/>
      <c r="B165" s="123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P165" s="14"/>
      <c r="AQ165" s="14"/>
      <c r="AR165" s="14"/>
    </row>
    <row r="166" ht="15.75" customHeight="1">
      <c r="A166" s="36"/>
      <c r="B166" s="35"/>
      <c r="C166" s="35"/>
      <c r="D166" s="134"/>
      <c r="E166" s="134"/>
      <c r="F166" s="134"/>
      <c r="G166" s="134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P166" s="14"/>
      <c r="AQ166" s="14"/>
      <c r="AR166" s="14"/>
    </row>
    <row r="167" ht="15.75" customHeight="1">
      <c r="A167" s="36"/>
      <c r="B167" s="135"/>
      <c r="C167" s="135"/>
      <c r="D167" s="2"/>
      <c r="E167" s="2"/>
      <c r="F167" s="2"/>
      <c r="G167" s="2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P167" s="14"/>
      <c r="AQ167" s="14"/>
      <c r="AR167" s="14"/>
    </row>
    <row r="168" ht="15.75" customHeight="1">
      <c r="A168" s="36"/>
      <c r="B168" s="135"/>
      <c r="C168" s="135"/>
      <c r="D168" s="2"/>
      <c r="E168" s="2"/>
      <c r="F168" s="2"/>
      <c r="G168" s="2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P168" s="14"/>
      <c r="AQ168" s="14"/>
      <c r="AR168" s="14"/>
    </row>
    <row r="169" ht="15.75" customHeight="1">
      <c r="A169" s="36"/>
      <c r="B169" s="135"/>
      <c r="C169" s="135"/>
      <c r="D169" s="2"/>
      <c r="E169" s="2"/>
      <c r="F169" s="2"/>
      <c r="G169" s="2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P169" s="14"/>
      <c r="AQ169" s="14"/>
      <c r="AR169" s="14"/>
    </row>
    <row r="170" ht="15.75" customHeight="1">
      <c r="A170" s="36"/>
      <c r="B170" s="135"/>
      <c r="C170" s="135"/>
      <c r="D170" s="2"/>
      <c r="E170" s="2"/>
      <c r="F170" s="2"/>
      <c r="G170" s="2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P170" s="14"/>
      <c r="AQ170" s="14"/>
      <c r="AR170" s="14"/>
    </row>
    <row r="171" ht="15.75" customHeight="1">
      <c r="A171" s="36"/>
      <c r="B171" s="123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P171" s="14"/>
      <c r="AQ171" s="14"/>
      <c r="AR171" s="14"/>
    </row>
    <row r="172" ht="15.75" customHeight="1">
      <c r="A172" s="36"/>
      <c r="B172" s="35"/>
      <c r="C172" s="35"/>
      <c r="D172" s="134"/>
      <c r="E172" s="134"/>
      <c r="F172" s="134"/>
      <c r="G172" s="134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P172" s="14"/>
      <c r="AQ172" s="14"/>
      <c r="AR172" s="14"/>
    </row>
    <row r="173" ht="15.75" customHeight="1">
      <c r="A173" s="36"/>
      <c r="B173" s="135"/>
      <c r="C173" s="135"/>
      <c r="D173" s="2"/>
      <c r="E173" s="2"/>
      <c r="F173" s="2"/>
      <c r="G173" s="2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P173" s="14"/>
      <c r="AQ173" s="14"/>
      <c r="AR173" s="14"/>
    </row>
    <row r="174" ht="15.75" customHeight="1">
      <c r="A174" s="36"/>
      <c r="B174" s="135"/>
      <c r="C174" s="135"/>
      <c r="D174" s="2"/>
      <c r="E174" s="2"/>
      <c r="F174" s="2"/>
      <c r="G174" s="2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P174" s="14"/>
      <c r="AQ174" s="14"/>
      <c r="AR174" s="14"/>
    </row>
    <row r="175" ht="15.75" customHeight="1">
      <c r="A175" s="36"/>
      <c r="B175" s="135"/>
      <c r="C175" s="135"/>
      <c r="D175" s="2"/>
      <c r="E175" s="2"/>
      <c r="F175" s="2"/>
      <c r="G175" s="2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P175" s="14"/>
      <c r="AQ175" s="14"/>
      <c r="AR175" s="14"/>
    </row>
    <row r="176" ht="15.75" customHeight="1">
      <c r="A176" s="36"/>
      <c r="B176" s="135"/>
      <c r="C176" s="135"/>
      <c r="D176" s="2"/>
      <c r="E176" s="2"/>
      <c r="F176" s="2"/>
      <c r="G176" s="2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P176" s="14"/>
      <c r="AQ176" s="14"/>
      <c r="AR176" s="14"/>
    </row>
    <row r="177" ht="15.75" customHeight="1">
      <c r="A177" s="36"/>
      <c r="B177" s="123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P177" s="14"/>
      <c r="AQ177" s="14"/>
      <c r="AR177" s="14"/>
    </row>
    <row r="178" ht="15.75" customHeight="1">
      <c r="A178" s="36"/>
      <c r="B178" s="123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P178" s="14"/>
      <c r="AQ178" s="14"/>
      <c r="AR178" s="14"/>
    </row>
    <row r="179" ht="15.75" customHeight="1">
      <c r="A179" s="36"/>
      <c r="B179" s="123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P179" s="14"/>
      <c r="AQ179" s="14"/>
      <c r="AR179" s="14"/>
    </row>
    <row r="180" ht="15.75" customHeight="1">
      <c r="A180" s="36"/>
      <c r="B180" s="123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P180" s="14"/>
      <c r="AQ180" s="14"/>
      <c r="AR180" s="14"/>
    </row>
    <row r="181" ht="15.75" customHeight="1">
      <c r="A181" s="36"/>
      <c r="B181" s="123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P181" s="14"/>
      <c r="AQ181" s="14"/>
      <c r="AR181" s="14"/>
    </row>
    <row r="182" ht="15.75" customHeight="1">
      <c r="A182" s="36"/>
      <c r="B182" s="123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P182" s="14"/>
      <c r="AQ182" s="14"/>
      <c r="AR182" s="14"/>
    </row>
    <row r="183" ht="15.75" customHeight="1">
      <c r="A183" s="36"/>
      <c r="B183" s="123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P183" s="14"/>
      <c r="AQ183" s="14"/>
      <c r="AR183" s="14"/>
    </row>
    <row r="184" ht="15.75" customHeight="1">
      <c r="A184" s="36"/>
      <c r="B184" s="1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P184" s="14"/>
      <c r="AQ184" s="14"/>
      <c r="AR184" s="14"/>
    </row>
    <row r="185" ht="15.75" customHeight="1">
      <c r="A185" s="36"/>
      <c r="B185" s="123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P185" s="14"/>
      <c r="AQ185" s="14"/>
      <c r="AR185" s="14"/>
    </row>
    <row r="186" ht="29.25" customHeight="1">
      <c r="A186" s="36"/>
      <c r="B186" s="1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P186" s="14"/>
      <c r="AQ186" s="14"/>
      <c r="AR186" s="14"/>
    </row>
    <row r="187" ht="29.25" customHeight="1">
      <c r="A187" s="36"/>
      <c r="B187" s="55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P187" s="14"/>
      <c r="AQ187" s="14"/>
      <c r="AR187" s="14"/>
    </row>
    <row r="188" ht="30.0" customHeight="1">
      <c r="A188" s="36"/>
      <c r="B188" s="123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P188" s="14"/>
      <c r="AQ188" s="14"/>
      <c r="AR188" s="14"/>
    </row>
    <row r="189" ht="15.75" customHeight="1">
      <c r="A189" s="36"/>
      <c r="B189" s="55"/>
      <c r="C189" s="36"/>
      <c r="D189" s="124"/>
      <c r="E189" s="124"/>
      <c r="F189" s="124"/>
      <c r="G189" s="124"/>
      <c r="H189" s="124"/>
      <c r="I189" s="124"/>
      <c r="J189" s="124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P189" s="14"/>
      <c r="AQ189" s="14"/>
      <c r="AR189" s="14"/>
    </row>
    <row r="190" ht="15.75" customHeight="1">
      <c r="A190" s="13"/>
      <c r="B190" s="137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P190" s="14"/>
      <c r="AQ190" s="14"/>
      <c r="AR190" s="14"/>
    </row>
    <row r="191" ht="15.75" customHeight="1">
      <c r="A191" s="13"/>
      <c r="B191" s="137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P191" s="14"/>
      <c r="AQ191" s="14"/>
      <c r="AR191" s="14"/>
    </row>
    <row r="192" ht="15.75" customHeight="1">
      <c r="B192" s="137"/>
      <c r="P192" s="13"/>
      <c r="R192" s="13"/>
      <c r="T192" s="13"/>
      <c r="V192" s="13"/>
      <c r="X192" s="13"/>
      <c r="AP192" s="14"/>
      <c r="AQ192" s="14"/>
      <c r="AR192" s="14"/>
    </row>
    <row r="193" ht="15.75" customHeight="1">
      <c r="B193" s="137"/>
      <c r="P193" s="13"/>
      <c r="R193" s="13"/>
      <c r="T193" s="13"/>
      <c r="V193" s="13"/>
      <c r="X193" s="13"/>
      <c r="AP193" s="14"/>
      <c r="AQ193" s="14"/>
      <c r="AR193" s="14"/>
    </row>
    <row r="194" ht="15.75" customHeight="1">
      <c r="B194" s="137"/>
      <c r="P194" s="13"/>
      <c r="R194" s="13"/>
      <c r="T194" s="13"/>
      <c r="V194" s="13"/>
      <c r="X194" s="13"/>
      <c r="AP194" s="14"/>
      <c r="AQ194" s="14"/>
      <c r="AR194" s="14"/>
    </row>
    <row r="195" ht="15.75" customHeight="1">
      <c r="B195" s="137"/>
      <c r="P195" s="13"/>
      <c r="R195" s="13"/>
      <c r="T195" s="13"/>
      <c r="V195" s="13"/>
      <c r="X195" s="13"/>
      <c r="AP195" s="14"/>
      <c r="AQ195" s="14"/>
      <c r="AR195" s="14"/>
    </row>
    <row r="196" ht="15.75" customHeight="1">
      <c r="B196" s="137"/>
      <c r="P196" s="13"/>
      <c r="R196" s="13"/>
      <c r="T196" s="13"/>
      <c r="V196" s="13"/>
      <c r="X196" s="13"/>
      <c r="AP196" s="14"/>
      <c r="AQ196" s="14"/>
      <c r="AR196" s="14"/>
    </row>
    <row r="197" ht="15.75" customHeight="1">
      <c r="B197" s="137"/>
      <c r="P197" s="13"/>
      <c r="R197" s="13"/>
      <c r="T197" s="13"/>
      <c r="V197" s="13"/>
      <c r="X197" s="13"/>
      <c r="AP197" s="14"/>
      <c r="AQ197" s="14"/>
      <c r="AR197" s="14"/>
    </row>
    <row r="198" ht="15.75" customHeight="1">
      <c r="B198" s="137"/>
      <c r="P198" s="13"/>
      <c r="R198" s="13"/>
      <c r="T198" s="13"/>
      <c r="V198" s="13"/>
      <c r="X198" s="13"/>
      <c r="AP198" s="14"/>
      <c r="AQ198" s="14"/>
      <c r="AR198" s="14"/>
    </row>
    <row r="199" ht="15.75" customHeight="1">
      <c r="B199" s="137"/>
      <c r="P199" s="13"/>
      <c r="R199" s="13"/>
      <c r="T199" s="13"/>
      <c r="V199" s="13"/>
      <c r="X199" s="13"/>
      <c r="AP199" s="14"/>
      <c r="AQ199" s="14"/>
      <c r="AR199" s="14"/>
    </row>
    <row r="200" ht="15.75" customHeight="1">
      <c r="B200" s="137"/>
      <c r="P200" s="13"/>
      <c r="R200" s="13"/>
      <c r="T200" s="13"/>
      <c r="V200" s="13"/>
      <c r="X200" s="13"/>
      <c r="AP200" s="14"/>
      <c r="AQ200" s="14"/>
      <c r="AR200" s="14"/>
    </row>
    <row r="201" ht="15.75" customHeight="1">
      <c r="B201" s="137"/>
      <c r="P201" s="13"/>
      <c r="R201" s="13"/>
      <c r="T201" s="13"/>
      <c r="V201" s="13"/>
      <c r="X201" s="13"/>
      <c r="AP201" s="14"/>
      <c r="AQ201" s="14"/>
      <c r="AR201" s="14"/>
    </row>
    <row r="202" ht="15.75" customHeight="1">
      <c r="B202" s="137"/>
      <c r="P202" s="13"/>
      <c r="R202" s="13"/>
      <c r="T202" s="13"/>
      <c r="V202" s="13"/>
      <c r="X202" s="13"/>
      <c r="AP202" s="14"/>
      <c r="AQ202" s="14"/>
      <c r="AR202" s="14"/>
    </row>
    <row r="203" ht="15.75" customHeight="1">
      <c r="B203" s="137"/>
      <c r="P203" s="13"/>
      <c r="R203" s="13"/>
      <c r="T203" s="13"/>
      <c r="V203" s="13"/>
      <c r="X203" s="13"/>
      <c r="AP203" s="14"/>
      <c r="AQ203" s="14"/>
      <c r="AR203" s="14"/>
    </row>
    <row r="204" ht="15.75" customHeight="1">
      <c r="B204" s="137"/>
      <c r="P204" s="13"/>
      <c r="R204" s="13"/>
      <c r="T204" s="13"/>
      <c r="V204" s="13"/>
      <c r="X204" s="13"/>
      <c r="AP204" s="14"/>
      <c r="AQ204" s="14"/>
      <c r="AR204" s="14"/>
    </row>
    <row r="205" ht="15.75" customHeight="1">
      <c r="B205" s="137"/>
      <c r="P205" s="13"/>
      <c r="R205" s="13"/>
      <c r="T205" s="13"/>
      <c r="V205" s="13"/>
      <c r="X205" s="13"/>
      <c r="AP205" s="14"/>
      <c r="AQ205" s="14"/>
      <c r="AR205" s="14"/>
    </row>
    <row r="206" ht="15.75" customHeight="1">
      <c r="B206" s="137"/>
      <c r="P206" s="13"/>
      <c r="R206" s="13"/>
      <c r="T206" s="13"/>
      <c r="V206" s="13"/>
      <c r="X206" s="13"/>
      <c r="AP206" s="14"/>
      <c r="AQ206" s="14"/>
      <c r="AR206" s="14"/>
    </row>
    <row r="207" ht="15.75" customHeight="1">
      <c r="B207" s="137"/>
      <c r="P207" s="13"/>
      <c r="R207" s="13"/>
      <c r="T207" s="13"/>
      <c r="V207" s="13"/>
      <c r="X207" s="13"/>
      <c r="AP207" s="14"/>
      <c r="AQ207" s="14"/>
      <c r="AR207" s="14"/>
    </row>
    <row r="208" ht="15.75" customHeight="1">
      <c r="B208" s="137"/>
      <c r="P208" s="13"/>
      <c r="R208" s="13"/>
      <c r="T208" s="13"/>
      <c r="V208" s="13"/>
      <c r="X208" s="13"/>
      <c r="AP208" s="14"/>
      <c r="AQ208" s="14"/>
      <c r="AR208" s="14"/>
    </row>
    <row r="209" ht="15.75" customHeight="1">
      <c r="B209" s="137"/>
      <c r="P209" s="13"/>
      <c r="R209" s="13"/>
      <c r="T209" s="13"/>
      <c r="V209" s="13"/>
      <c r="X209" s="13"/>
      <c r="AP209" s="14"/>
      <c r="AQ209" s="14"/>
      <c r="AR209" s="14"/>
    </row>
    <row r="210" ht="15.75" customHeight="1">
      <c r="B210" s="137"/>
      <c r="P210" s="13"/>
      <c r="R210" s="13"/>
      <c r="T210" s="13"/>
      <c r="V210" s="13"/>
      <c r="X210" s="13"/>
      <c r="AP210" s="14"/>
      <c r="AQ210" s="14"/>
      <c r="AR210" s="14"/>
    </row>
    <row r="211" ht="15.75" customHeight="1">
      <c r="B211" s="137"/>
      <c r="P211" s="13"/>
      <c r="R211" s="13"/>
      <c r="T211" s="13"/>
      <c r="V211" s="13"/>
      <c r="X211" s="13"/>
      <c r="AP211" s="14"/>
      <c r="AQ211" s="14"/>
      <c r="AR211" s="14"/>
    </row>
    <row r="212" ht="15.75" customHeight="1">
      <c r="B212" s="137"/>
      <c r="P212" s="13"/>
      <c r="R212" s="13"/>
      <c r="T212" s="13"/>
      <c r="V212" s="13"/>
      <c r="X212" s="13"/>
      <c r="AP212" s="14"/>
      <c r="AQ212" s="14"/>
      <c r="AR212" s="14"/>
    </row>
    <row r="213" ht="15.75" customHeight="1">
      <c r="B213" s="137"/>
      <c r="P213" s="13"/>
      <c r="R213" s="13"/>
      <c r="T213" s="13"/>
      <c r="V213" s="13"/>
      <c r="X213" s="13"/>
      <c r="AP213" s="14"/>
      <c r="AQ213" s="14"/>
      <c r="AR213" s="14"/>
    </row>
    <row r="214" ht="15.75" customHeight="1">
      <c r="B214" s="137"/>
      <c r="P214" s="13"/>
      <c r="R214" s="13"/>
      <c r="T214" s="13"/>
      <c r="V214" s="13"/>
      <c r="X214" s="13"/>
      <c r="AP214" s="14"/>
      <c r="AQ214" s="14"/>
      <c r="AR214" s="14"/>
    </row>
    <row r="215" ht="15.75" customHeight="1">
      <c r="B215" s="137"/>
      <c r="P215" s="13"/>
      <c r="R215" s="13"/>
      <c r="T215" s="13"/>
      <c r="V215" s="13"/>
      <c r="X215" s="13"/>
      <c r="AP215" s="14"/>
      <c r="AQ215" s="14"/>
      <c r="AR215" s="14"/>
    </row>
    <row r="216" ht="15.75" customHeight="1">
      <c r="B216" s="137"/>
      <c r="P216" s="13"/>
      <c r="R216" s="13"/>
      <c r="T216" s="13"/>
      <c r="V216" s="13"/>
      <c r="X216" s="13"/>
      <c r="AP216" s="14"/>
      <c r="AQ216" s="14"/>
      <c r="AR216" s="14"/>
    </row>
    <row r="217" ht="15.75" customHeight="1">
      <c r="B217" s="137"/>
      <c r="P217" s="13"/>
      <c r="R217" s="13"/>
      <c r="T217" s="13"/>
      <c r="V217" s="13"/>
      <c r="X217" s="13"/>
      <c r="AP217" s="14"/>
      <c r="AQ217" s="14"/>
      <c r="AR217" s="14"/>
    </row>
    <row r="218" ht="15.75" customHeight="1">
      <c r="B218" s="137"/>
      <c r="P218" s="13"/>
      <c r="R218" s="13"/>
      <c r="T218" s="13"/>
      <c r="V218" s="13"/>
      <c r="X218" s="13"/>
      <c r="AP218" s="14"/>
      <c r="AQ218" s="14"/>
      <c r="AR218" s="14"/>
    </row>
    <row r="219" ht="15.75" customHeight="1">
      <c r="B219" s="137"/>
      <c r="P219" s="13"/>
      <c r="R219" s="13"/>
      <c r="T219" s="13"/>
      <c r="V219" s="13"/>
      <c r="X219" s="13"/>
      <c r="AP219" s="14"/>
      <c r="AQ219" s="14"/>
      <c r="AR219" s="14"/>
    </row>
    <row r="220" ht="15.75" customHeight="1">
      <c r="B220" s="137"/>
      <c r="P220" s="13"/>
      <c r="R220" s="13"/>
      <c r="T220" s="13"/>
      <c r="V220" s="13"/>
      <c r="X220" s="13"/>
      <c r="AP220" s="14"/>
      <c r="AQ220" s="14"/>
      <c r="AR220" s="14"/>
    </row>
    <row r="221" ht="15.75" customHeight="1">
      <c r="B221" s="137"/>
      <c r="P221" s="13"/>
      <c r="R221" s="13"/>
      <c r="T221" s="13"/>
      <c r="V221" s="13"/>
      <c r="X221" s="13"/>
      <c r="AP221" s="14"/>
      <c r="AQ221" s="14"/>
      <c r="AR221" s="14"/>
    </row>
    <row r="222" ht="15.75" customHeight="1">
      <c r="B222" s="137"/>
      <c r="P222" s="13"/>
      <c r="R222" s="13"/>
      <c r="T222" s="13"/>
      <c r="V222" s="13"/>
      <c r="X222" s="13"/>
      <c r="AP222" s="14"/>
      <c r="AQ222" s="14"/>
      <c r="AR222" s="14"/>
    </row>
    <row r="223" ht="15.75" customHeight="1">
      <c r="B223" s="137"/>
      <c r="P223" s="13"/>
      <c r="R223" s="13"/>
      <c r="T223" s="13"/>
      <c r="V223" s="13"/>
      <c r="X223" s="13"/>
      <c r="AP223" s="14"/>
      <c r="AQ223" s="14"/>
      <c r="AR223" s="14"/>
    </row>
    <row r="224" ht="15.75" customHeight="1">
      <c r="B224" s="137"/>
      <c r="P224" s="13"/>
      <c r="R224" s="13"/>
      <c r="T224" s="13"/>
      <c r="V224" s="13"/>
      <c r="X224" s="13"/>
      <c r="AP224" s="14"/>
      <c r="AQ224" s="14"/>
      <c r="AR224" s="14"/>
    </row>
    <row r="225" ht="15.75" customHeight="1">
      <c r="B225" s="137"/>
      <c r="P225" s="13"/>
      <c r="R225" s="13"/>
      <c r="T225" s="13"/>
      <c r="V225" s="13"/>
      <c r="X225" s="13"/>
      <c r="AP225" s="14"/>
      <c r="AQ225" s="14"/>
      <c r="AR225" s="14"/>
    </row>
    <row r="226" ht="15.75" customHeight="1">
      <c r="B226" s="137"/>
      <c r="P226" s="13"/>
      <c r="R226" s="13"/>
      <c r="T226" s="13"/>
      <c r="V226" s="13"/>
      <c r="X226" s="13"/>
      <c r="AP226" s="14"/>
      <c r="AQ226" s="14"/>
      <c r="AR226" s="14"/>
    </row>
    <row r="227" ht="15.75" customHeight="1">
      <c r="B227" s="137"/>
      <c r="P227" s="13"/>
      <c r="R227" s="13"/>
      <c r="T227" s="13"/>
      <c r="V227" s="13"/>
      <c r="X227" s="13"/>
      <c r="AP227" s="14"/>
      <c r="AQ227" s="14"/>
      <c r="AR227" s="14"/>
    </row>
    <row r="228" ht="15.75" customHeight="1">
      <c r="B228" s="137"/>
      <c r="P228" s="13"/>
      <c r="R228" s="13"/>
      <c r="T228" s="13"/>
      <c r="V228" s="13"/>
      <c r="X228" s="13"/>
      <c r="AP228" s="14"/>
      <c r="AQ228" s="14"/>
      <c r="AR228" s="14"/>
    </row>
    <row r="229" ht="15.75" customHeight="1">
      <c r="B229" s="137"/>
      <c r="P229" s="13"/>
      <c r="R229" s="13"/>
      <c r="T229" s="13"/>
      <c r="V229" s="13"/>
      <c r="X229" s="13"/>
      <c r="AP229" s="14"/>
      <c r="AQ229" s="14"/>
      <c r="AR229" s="14"/>
    </row>
    <row r="230" ht="15.75" customHeight="1">
      <c r="B230" s="137"/>
      <c r="P230" s="13"/>
      <c r="R230" s="13"/>
      <c r="T230" s="13"/>
      <c r="V230" s="13"/>
      <c r="X230" s="13"/>
      <c r="AP230" s="14"/>
      <c r="AQ230" s="14"/>
      <c r="AR230" s="14"/>
    </row>
    <row r="231" ht="15.75" customHeight="1">
      <c r="B231" s="137"/>
      <c r="P231" s="13"/>
      <c r="R231" s="13"/>
      <c r="T231" s="13"/>
      <c r="V231" s="13"/>
      <c r="X231" s="13"/>
      <c r="AP231" s="14"/>
      <c r="AQ231" s="14"/>
      <c r="AR231" s="14"/>
    </row>
    <row r="232" ht="15.75" customHeight="1">
      <c r="B232" s="137"/>
      <c r="P232" s="13"/>
      <c r="R232" s="13"/>
      <c r="T232" s="13"/>
      <c r="V232" s="13"/>
      <c r="X232" s="13"/>
      <c r="AP232" s="14"/>
      <c r="AQ232" s="14"/>
      <c r="AR232" s="14"/>
    </row>
    <row r="233" ht="15.75" customHeight="1">
      <c r="B233" s="137"/>
      <c r="P233" s="13"/>
      <c r="R233" s="13"/>
      <c r="T233" s="13"/>
      <c r="V233" s="13"/>
      <c r="X233" s="13"/>
      <c r="AP233" s="14"/>
      <c r="AQ233" s="14"/>
      <c r="AR233" s="14"/>
    </row>
    <row r="234" ht="15.75" customHeight="1">
      <c r="B234" s="137"/>
      <c r="P234" s="13"/>
      <c r="R234" s="13"/>
      <c r="T234" s="13"/>
      <c r="V234" s="13"/>
      <c r="X234" s="13"/>
      <c r="AP234" s="14"/>
      <c r="AQ234" s="14"/>
      <c r="AR234" s="14"/>
    </row>
    <row r="235" ht="15.75" customHeight="1">
      <c r="B235" s="137"/>
      <c r="P235" s="13"/>
      <c r="R235" s="13"/>
      <c r="T235" s="13"/>
      <c r="V235" s="13"/>
      <c r="X235" s="13"/>
      <c r="AP235" s="14"/>
      <c r="AQ235" s="14"/>
      <c r="AR235" s="14"/>
    </row>
    <row r="236" ht="15.75" customHeight="1">
      <c r="B236" s="137"/>
      <c r="P236" s="13"/>
      <c r="R236" s="13"/>
      <c r="T236" s="13"/>
      <c r="V236" s="13"/>
      <c r="X236" s="13"/>
      <c r="AP236" s="14"/>
      <c r="AQ236" s="14"/>
      <c r="AR236" s="14"/>
    </row>
    <row r="237" ht="15.75" customHeight="1">
      <c r="B237" s="137"/>
      <c r="P237" s="13"/>
      <c r="R237" s="13"/>
      <c r="T237" s="13"/>
      <c r="V237" s="13"/>
      <c r="X237" s="13"/>
      <c r="AP237" s="14"/>
      <c r="AQ237" s="14"/>
      <c r="AR237" s="14"/>
    </row>
    <row r="238" ht="15.75" customHeight="1">
      <c r="B238" s="137"/>
      <c r="P238" s="13"/>
      <c r="R238" s="13"/>
      <c r="T238" s="13"/>
      <c r="V238" s="13"/>
      <c r="X238" s="13"/>
      <c r="AP238" s="14"/>
      <c r="AQ238" s="14"/>
      <c r="AR238" s="14"/>
    </row>
    <row r="239" ht="15.75" customHeight="1">
      <c r="B239" s="137"/>
      <c r="P239" s="13"/>
      <c r="R239" s="13"/>
      <c r="T239" s="13"/>
      <c r="V239" s="13"/>
      <c r="X239" s="13"/>
      <c r="AP239" s="14"/>
      <c r="AQ239" s="14"/>
      <c r="AR239" s="14"/>
    </row>
    <row r="240" ht="15.75" customHeight="1">
      <c r="B240" s="137"/>
      <c r="P240" s="13"/>
      <c r="R240" s="13"/>
      <c r="T240" s="13"/>
      <c r="V240" s="13"/>
      <c r="X240" s="13"/>
      <c r="AP240" s="14"/>
      <c r="AQ240" s="14"/>
      <c r="AR240" s="14"/>
    </row>
    <row r="241" ht="15.75" customHeight="1">
      <c r="B241" s="137"/>
      <c r="P241" s="13"/>
      <c r="R241" s="13"/>
      <c r="T241" s="13"/>
      <c r="V241" s="13"/>
      <c r="X241" s="13"/>
      <c r="AP241" s="14"/>
      <c r="AQ241" s="14"/>
      <c r="AR241" s="14"/>
    </row>
    <row r="242" ht="15.75" customHeight="1">
      <c r="B242" s="137"/>
      <c r="P242" s="13"/>
      <c r="R242" s="13"/>
      <c r="T242" s="13"/>
      <c r="V242" s="13"/>
      <c r="X242" s="13"/>
      <c r="AP242" s="14"/>
      <c r="AQ242" s="14"/>
      <c r="AR242" s="14"/>
    </row>
    <row r="243" ht="15.75" customHeight="1">
      <c r="B243" s="137"/>
      <c r="P243" s="13"/>
      <c r="R243" s="13"/>
      <c r="T243" s="13"/>
      <c r="V243" s="13"/>
      <c r="X243" s="13"/>
      <c r="AP243" s="14"/>
      <c r="AQ243" s="14"/>
      <c r="AR243" s="14"/>
    </row>
    <row r="244" ht="15.75" customHeight="1">
      <c r="B244" s="137"/>
      <c r="P244" s="13"/>
      <c r="R244" s="13"/>
      <c r="T244" s="13"/>
      <c r="V244" s="13"/>
      <c r="X244" s="13"/>
      <c r="AP244" s="14"/>
      <c r="AQ244" s="14"/>
      <c r="AR244" s="14"/>
    </row>
    <row r="245" ht="15.75" customHeight="1">
      <c r="B245" s="137"/>
      <c r="P245" s="13"/>
      <c r="R245" s="13"/>
      <c r="T245" s="13"/>
      <c r="V245" s="13"/>
      <c r="X245" s="13"/>
      <c r="AP245" s="14"/>
      <c r="AQ245" s="14"/>
      <c r="AR245" s="14"/>
    </row>
    <row r="246" ht="15.75" customHeight="1">
      <c r="B246" s="137"/>
      <c r="P246" s="13"/>
      <c r="R246" s="13"/>
      <c r="T246" s="13"/>
      <c r="V246" s="13"/>
      <c r="X246" s="13"/>
      <c r="AP246" s="14"/>
      <c r="AQ246" s="14"/>
      <c r="AR246" s="14"/>
    </row>
    <row r="247" ht="15.75" customHeight="1">
      <c r="B247" s="137"/>
      <c r="P247" s="13"/>
      <c r="R247" s="13"/>
      <c r="T247" s="13"/>
      <c r="V247" s="13"/>
      <c r="X247" s="13"/>
      <c r="AP247" s="14"/>
      <c r="AQ247" s="14"/>
      <c r="AR247" s="14"/>
    </row>
    <row r="248" ht="15.75" customHeight="1">
      <c r="B248" s="137"/>
      <c r="P248" s="13"/>
      <c r="R248" s="13"/>
      <c r="T248" s="13"/>
      <c r="V248" s="13"/>
      <c r="X248" s="13"/>
      <c r="AP248" s="14"/>
      <c r="AQ248" s="14"/>
      <c r="AR248" s="14"/>
    </row>
    <row r="249" ht="15.75" customHeight="1">
      <c r="B249" s="137"/>
      <c r="P249" s="13"/>
      <c r="R249" s="13"/>
      <c r="T249" s="13"/>
      <c r="V249" s="13"/>
      <c r="X249" s="13"/>
      <c r="AP249" s="14"/>
      <c r="AQ249" s="14"/>
      <c r="AR249" s="14"/>
    </row>
    <row r="250" ht="15.75" customHeight="1">
      <c r="B250" s="137"/>
      <c r="P250" s="13"/>
      <c r="R250" s="13"/>
      <c r="T250" s="13"/>
      <c r="V250" s="13"/>
      <c r="X250" s="13"/>
      <c r="AP250" s="14"/>
      <c r="AQ250" s="14"/>
      <c r="AR250" s="14"/>
    </row>
    <row r="251" ht="15.75" customHeight="1">
      <c r="B251" s="137"/>
      <c r="P251" s="13"/>
      <c r="R251" s="13"/>
      <c r="T251" s="13"/>
      <c r="V251" s="13"/>
      <c r="X251" s="13"/>
      <c r="AP251" s="14"/>
      <c r="AQ251" s="14"/>
      <c r="AR251" s="14"/>
    </row>
    <row r="252" ht="15.75" customHeight="1">
      <c r="B252" s="137"/>
      <c r="P252" s="13"/>
      <c r="R252" s="13"/>
      <c r="T252" s="13"/>
      <c r="V252" s="13"/>
      <c r="X252" s="13"/>
      <c r="AP252" s="14"/>
      <c r="AQ252" s="14"/>
      <c r="AR252" s="14"/>
    </row>
    <row r="253" ht="15.75" customHeight="1">
      <c r="B253" s="137"/>
      <c r="P253" s="13"/>
      <c r="R253" s="13"/>
      <c r="T253" s="13"/>
      <c r="V253" s="13"/>
      <c r="X253" s="13"/>
      <c r="AP253" s="14"/>
      <c r="AQ253" s="14"/>
      <c r="AR253" s="14"/>
    </row>
    <row r="254" ht="15.75" customHeight="1">
      <c r="B254" s="137"/>
      <c r="P254" s="13"/>
      <c r="R254" s="13"/>
      <c r="T254" s="13"/>
      <c r="V254" s="13"/>
      <c r="X254" s="13"/>
      <c r="AP254" s="14"/>
      <c r="AQ254" s="14"/>
      <c r="AR254" s="14"/>
    </row>
    <row r="255" ht="15.75" customHeight="1">
      <c r="B255" s="137"/>
      <c r="P255" s="13"/>
      <c r="R255" s="13"/>
      <c r="T255" s="13"/>
      <c r="V255" s="13"/>
      <c r="X255" s="13"/>
      <c r="AP255" s="14"/>
      <c r="AQ255" s="14"/>
      <c r="AR255" s="14"/>
    </row>
    <row r="256" ht="15.75" customHeight="1">
      <c r="B256" s="137"/>
      <c r="P256" s="13"/>
      <c r="R256" s="13"/>
      <c r="T256" s="13"/>
      <c r="V256" s="13"/>
      <c r="X256" s="13"/>
      <c r="AP256" s="14"/>
      <c r="AQ256" s="14"/>
      <c r="AR256" s="14"/>
    </row>
    <row r="257" ht="15.75" customHeight="1">
      <c r="B257" s="137"/>
      <c r="P257" s="13"/>
      <c r="R257" s="13"/>
      <c r="T257" s="13"/>
      <c r="V257" s="13"/>
      <c r="X257" s="13"/>
      <c r="AP257" s="14"/>
      <c r="AQ257" s="14"/>
      <c r="AR257" s="14"/>
    </row>
    <row r="258" ht="15.75" customHeight="1">
      <c r="B258" s="137"/>
      <c r="P258" s="13"/>
      <c r="R258" s="13"/>
      <c r="T258" s="13"/>
      <c r="V258" s="13"/>
      <c r="X258" s="13"/>
      <c r="AP258" s="14"/>
      <c r="AQ258" s="14"/>
      <c r="AR258" s="14"/>
    </row>
    <row r="259" ht="15.75" customHeight="1">
      <c r="B259" s="137"/>
      <c r="P259" s="13"/>
      <c r="R259" s="13"/>
      <c r="T259" s="13"/>
      <c r="V259" s="13"/>
      <c r="X259" s="13"/>
      <c r="AP259" s="14"/>
      <c r="AQ259" s="14"/>
      <c r="AR259" s="14"/>
    </row>
    <row r="260" ht="15.75" customHeight="1">
      <c r="B260" s="137"/>
      <c r="P260" s="13"/>
      <c r="R260" s="13"/>
      <c r="T260" s="13"/>
      <c r="V260" s="13"/>
      <c r="X260" s="13"/>
      <c r="AP260" s="14"/>
      <c r="AQ260" s="14"/>
      <c r="AR260" s="14"/>
    </row>
    <row r="261" ht="15.75" customHeight="1">
      <c r="B261" s="137"/>
      <c r="P261" s="13"/>
      <c r="R261" s="13"/>
      <c r="T261" s="13"/>
      <c r="V261" s="13"/>
      <c r="X261" s="13"/>
      <c r="AP261" s="14"/>
      <c r="AQ261" s="14"/>
      <c r="AR261" s="14"/>
    </row>
    <row r="262" ht="15.75" customHeight="1">
      <c r="B262" s="137"/>
      <c r="P262" s="13"/>
      <c r="R262" s="13"/>
      <c r="T262" s="13"/>
      <c r="V262" s="13"/>
      <c r="X262" s="13"/>
      <c r="AP262" s="14"/>
      <c r="AQ262" s="14"/>
      <c r="AR262" s="14"/>
    </row>
    <row r="263" ht="15.75" customHeight="1">
      <c r="B263" s="137"/>
      <c r="P263" s="13"/>
      <c r="R263" s="13"/>
      <c r="T263" s="13"/>
      <c r="V263" s="13"/>
      <c r="X263" s="13"/>
      <c r="AP263" s="14"/>
      <c r="AQ263" s="14"/>
      <c r="AR263" s="14"/>
    </row>
    <row r="264" ht="15.75" customHeight="1">
      <c r="B264" s="137"/>
      <c r="P264" s="13"/>
      <c r="R264" s="13"/>
      <c r="T264" s="13"/>
      <c r="V264" s="13"/>
      <c r="X264" s="13"/>
      <c r="AP264" s="14"/>
      <c r="AQ264" s="14"/>
      <c r="AR264" s="14"/>
    </row>
    <row r="265" ht="15.75" customHeight="1">
      <c r="B265" s="137"/>
      <c r="P265" s="13"/>
      <c r="R265" s="13"/>
      <c r="T265" s="13"/>
      <c r="V265" s="13"/>
      <c r="X265" s="13"/>
      <c r="AP265" s="14"/>
      <c r="AQ265" s="14"/>
      <c r="AR265" s="14"/>
    </row>
    <row r="266" ht="15.75" customHeight="1">
      <c r="B266" s="137"/>
      <c r="P266" s="13"/>
      <c r="R266" s="13"/>
      <c r="T266" s="13"/>
      <c r="V266" s="13"/>
      <c r="X266" s="13"/>
      <c r="AP266" s="14"/>
      <c r="AQ266" s="14"/>
      <c r="AR266" s="14"/>
    </row>
    <row r="267" ht="15.75" customHeight="1">
      <c r="B267" s="137"/>
      <c r="P267" s="13"/>
      <c r="R267" s="13"/>
      <c r="T267" s="13"/>
      <c r="V267" s="13"/>
      <c r="X267" s="13"/>
      <c r="AP267" s="14"/>
      <c r="AQ267" s="14"/>
      <c r="AR267" s="14"/>
    </row>
    <row r="268" ht="15.75" customHeight="1">
      <c r="B268" s="137"/>
      <c r="P268" s="13"/>
      <c r="R268" s="13"/>
      <c r="T268" s="13"/>
      <c r="V268" s="13"/>
      <c r="X268" s="13"/>
      <c r="AP268" s="14"/>
      <c r="AQ268" s="14"/>
      <c r="AR268" s="14"/>
    </row>
    <row r="269" ht="15.75" customHeight="1">
      <c r="B269" s="137"/>
      <c r="P269" s="13"/>
      <c r="R269" s="13"/>
      <c r="T269" s="13"/>
      <c r="V269" s="13"/>
      <c r="X269" s="13"/>
      <c r="AP269" s="14"/>
      <c r="AQ269" s="14"/>
      <c r="AR269" s="14"/>
    </row>
    <row r="270" ht="15.75" customHeight="1">
      <c r="B270" s="137"/>
      <c r="P270" s="13"/>
      <c r="R270" s="13"/>
      <c r="T270" s="13"/>
      <c r="V270" s="13"/>
      <c r="X270" s="13"/>
      <c r="AP270" s="14"/>
      <c r="AQ270" s="14"/>
      <c r="AR270" s="14"/>
    </row>
    <row r="271" ht="15.75" customHeight="1">
      <c r="B271" s="137"/>
      <c r="P271" s="13"/>
      <c r="R271" s="13"/>
      <c r="T271" s="13"/>
      <c r="V271" s="13"/>
      <c r="X271" s="13"/>
      <c r="AP271" s="14"/>
      <c r="AQ271" s="14"/>
      <c r="AR271" s="14"/>
    </row>
    <row r="272" ht="15.75" customHeight="1">
      <c r="B272" s="137"/>
      <c r="P272" s="13"/>
      <c r="R272" s="13"/>
      <c r="T272" s="13"/>
      <c r="V272" s="13"/>
      <c r="X272" s="13"/>
      <c r="AP272" s="14"/>
      <c r="AQ272" s="14"/>
      <c r="AR272" s="14"/>
    </row>
    <row r="273" ht="15.75" customHeight="1">
      <c r="B273" s="137"/>
      <c r="P273" s="13"/>
      <c r="R273" s="13"/>
      <c r="T273" s="13"/>
      <c r="V273" s="13"/>
      <c r="X273" s="13"/>
      <c r="AP273" s="14"/>
      <c r="AQ273" s="14"/>
      <c r="AR273" s="14"/>
    </row>
    <row r="274" ht="15.75" customHeight="1">
      <c r="B274" s="137"/>
      <c r="P274" s="13"/>
      <c r="R274" s="13"/>
      <c r="T274" s="13"/>
      <c r="V274" s="13"/>
      <c r="X274" s="13"/>
      <c r="AP274" s="14"/>
      <c r="AQ274" s="14"/>
      <c r="AR274" s="14"/>
    </row>
    <row r="275" ht="15.75" customHeight="1">
      <c r="B275" s="137"/>
      <c r="P275" s="13"/>
      <c r="R275" s="13"/>
      <c r="T275" s="13"/>
      <c r="V275" s="13"/>
      <c r="X275" s="13"/>
      <c r="AP275" s="14"/>
      <c r="AQ275" s="14"/>
      <c r="AR275" s="14"/>
    </row>
    <row r="276" ht="15.75" customHeight="1">
      <c r="B276" s="137"/>
      <c r="P276" s="13"/>
      <c r="R276" s="13"/>
      <c r="T276" s="13"/>
      <c r="V276" s="13"/>
      <c r="X276" s="13"/>
      <c r="AP276" s="14"/>
      <c r="AQ276" s="14"/>
      <c r="AR276" s="14"/>
    </row>
    <row r="277" ht="15.75" customHeight="1">
      <c r="B277" s="137"/>
      <c r="P277" s="13"/>
      <c r="R277" s="13"/>
      <c r="T277" s="13"/>
      <c r="V277" s="13"/>
      <c r="X277" s="13"/>
      <c r="AP277" s="14"/>
      <c r="AQ277" s="14"/>
      <c r="AR277" s="14"/>
    </row>
    <row r="278" ht="15.75" customHeight="1">
      <c r="B278" s="137"/>
      <c r="P278" s="13"/>
      <c r="R278" s="13"/>
      <c r="T278" s="13"/>
      <c r="V278" s="13"/>
      <c r="X278" s="13"/>
      <c r="AP278" s="14"/>
      <c r="AQ278" s="14"/>
      <c r="AR278" s="14"/>
    </row>
    <row r="279" ht="15.75" customHeight="1">
      <c r="B279" s="137"/>
      <c r="P279" s="13"/>
      <c r="R279" s="13"/>
      <c r="T279" s="13"/>
      <c r="V279" s="13"/>
      <c r="X279" s="13"/>
      <c r="AP279" s="14"/>
      <c r="AQ279" s="14"/>
      <c r="AR279" s="14"/>
    </row>
    <row r="280" ht="15.75" customHeight="1">
      <c r="B280" s="137"/>
      <c r="P280" s="13"/>
      <c r="R280" s="13"/>
      <c r="T280" s="13"/>
      <c r="V280" s="13"/>
      <c r="X280" s="13"/>
      <c r="AP280" s="14"/>
      <c r="AQ280" s="14"/>
      <c r="AR280" s="14"/>
    </row>
    <row r="281" ht="15.75" customHeight="1">
      <c r="B281" s="137"/>
      <c r="P281" s="13"/>
      <c r="R281" s="13"/>
      <c r="T281" s="13"/>
      <c r="V281" s="13"/>
      <c r="X281" s="13"/>
      <c r="AP281" s="14"/>
      <c r="AQ281" s="14"/>
      <c r="AR281" s="14"/>
    </row>
    <row r="282" ht="15.75" customHeight="1">
      <c r="B282" s="137"/>
      <c r="P282" s="13"/>
      <c r="R282" s="13"/>
      <c r="T282" s="13"/>
      <c r="V282" s="13"/>
      <c r="X282" s="13"/>
      <c r="AP282" s="14"/>
      <c r="AQ282" s="14"/>
      <c r="AR282" s="14"/>
    </row>
    <row r="283" ht="15.75" customHeight="1">
      <c r="B283" s="137"/>
      <c r="P283" s="13"/>
      <c r="R283" s="13"/>
      <c r="T283" s="13"/>
      <c r="V283" s="13"/>
      <c r="X283" s="13"/>
      <c r="AP283" s="14"/>
      <c r="AQ283" s="14"/>
      <c r="AR283" s="14"/>
    </row>
    <row r="284" ht="15.75" customHeight="1">
      <c r="B284" s="137"/>
      <c r="P284" s="13"/>
      <c r="R284" s="13"/>
      <c r="T284" s="13"/>
      <c r="V284" s="13"/>
      <c r="X284" s="13"/>
      <c r="AP284" s="14"/>
      <c r="AQ284" s="14"/>
      <c r="AR284" s="14"/>
    </row>
    <row r="285" ht="15.75" customHeight="1">
      <c r="B285" s="137"/>
      <c r="P285" s="13"/>
      <c r="R285" s="13"/>
      <c r="T285" s="13"/>
      <c r="V285" s="13"/>
      <c r="X285" s="13"/>
      <c r="AP285" s="14"/>
      <c r="AQ285" s="14"/>
      <c r="AR285" s="14"/>
    </row>
    <row r="286" ht="15.75" customHeight="1">
      <c r="B286" s="137"/>
      <c r="P286" s="13"/>
      <c r="R286" s="13"/>
      <c r="T286" s="13"/>
      <c r="V286" s="13"/>
      <c r="X286" s="13"/>
      <c r="AP286" s="14"/>
      <c r="AQ286" s="14"/>
      <c r="AR286" s="14"/>
    </row>
    <row r="287" ht="15.75" customHeight="1">
      <c r="B287" s="137"/>
      <c r="P287" s="13"/>
      <c r="R287" s="13"/>
      <c r="T287" s="13"/>
      <c r="V287" s="13"/>
      <c r="X287" s="13"/>
      <c r="AP287" s="14"/>
      <c r="AQ287" s="14"/>
      <c r="AR287" s="14"/>
    </row>
    <row r="288" ht="15.75" customHeight="1">
      <c r="B288" s="137"/>
      <c r="P288" s="13"/>
      <c r="R288" s="13"/>
      <c r="T288" s="13"/>
      <c r="V288" s="13"/>
      <c r="X288" s="13"/>
      <c r="AP288" s="14"/>
      <c r="AQ288" s="14"/>
      <c r="AR288" s="14"/>
    </row>
    <row r="289" ht="15.75" customHeight="1">
      <c r="B289" s="137"/>
      <c r="P289" s="13"/>
      <c r="R289" s="13"/>
      <c r="T289" s="13"/>
      <c r="V289" s="13"/>
      <c r="X289" s="13"/>
      <c r="AP289" s="14"/>
      <c r="AQ289" s="14"/>
      <c r="AR289" s="14"/>
    </row>
    <row r="290" ht="15.75" customHeight="1">
      <c r="B290" s="137"/>
      <c r="P290" s="13"/>
      <c r="R290" s="13"/>
      <c r="T290" s="13"/>
      <c r="V290" s="13"/>
      <c r="X290" s="13"/>
      <c r="AP290" s="14"/>
      <c r="AQ290" s="14"/>
      <c r="AR290" s="14"/>
    </row>
    <row r="291" ht="15.75" customHeight="1">
      <c r="B291" s="137"/>
      <c r="P291" s="13"/>
      <c r="R291" s="13"/>
      <c r="T291" s="13"/>
      <c r="V291" s="13"/>
      <c r="X291" s="13"/>
      <c r="AP291" s="14"/>
      <c r="AQ291" s="14"/>
      <c r="AR291" s="14"/>
    </row>
    <row r="292" ht="15.75" customHeight="1">
      <c r="B292" s="137"/>
      <c r="P292" s="13"/>
      <c r="R292" s="13"/>
      <c r="T292" s="13"/>
      <c r="V292" s="13"/>
      <c r="X292" s="13"/>
      <c r="AP292" s="14"/>
      <c r="AQ292" s="14"/>
      <c r="AR292" s="14"/>
    </row>
    <row r="293" ht="15.75" customHeight="1">
      <c r="B293" s="137"/>
      <c r="P293" s="13"/>
      <c r="R293" s="13"/>
      <c r="T293" s="13"/>
      <c r="V293" s="13"/>
      <c r="X293" s="13"/>
      <c r="AP293" s="14"/>
      <c r="AQ293" s="14"/>
      <c r="AR293" s="14"/>
    </row>
    <row r="294" ht="15.75" customHeight="1">
      <c r="B294" s="137"/>
      <c r="P294" s="13"/>
      <c r="R294" s="13"/>
      <c r="T294" s="13"/>
      <c r="V294" s="13"/>
      <c r="X294" s="13"/>
      <c r="AP294" s="14"/>
      <c r="AQ294" s="14"/>
      <c r="AR294" s="14"/>
    </row>
    <row r="295" ht="15.75" customHeight="1">
      <c r="B295" s="137"/>
      <c r="P295" s="13"/>
      <c r="R295" s="13"/>
      <c r="T295" s="13"/>
      <c r="V295" s="13"/>
      <c r="X295" s="13"/>
      <c r="AP295" s="14"/>
      <c r="AQ295" s="14"/>
      <c r="AR295" s="14"/>
    </row>
    <row r="296" ht="15.75" customHeight="1">
      <c r="B296" s="137"/>
      <c r="P296" s="13"/>
      <c r="R296" s="13"/>
      <c r="T296" s="13"/>
      <c r="V296" s="13"/>
      <c r="X296" s="13"/>
      <c r="AP296" s="14"/>
      <c r="AQ296" s="14"/>
      <c r="AR296" s="14"/>
    </row>
    <row r="297" ht="15.75" customHeight="1">
      <c r="B297" s="137"/>
      <c r="P297" s="13"/>
      <c r="R297" s="13"/>
      <c r="T297" s="13"/>
      <c r="V297" s="13"/>
      <c r="X297" s="13"/>
      <c r="AP297" s="14"/>
      <c r="AQ297" s="14"/>
      <c r="AR297" s="14"/>
    </row>
    <row r="298" ht="15.75" customHeight="1">
      <c r="B298" s="137"/>
      <c r="P298" s="13"/>
      <c r="R298" s="13"/>
      <c r="T298" s="13"/>
      <c r="V298" s="13"/>
      <c r="X298" s="13"/>
      <c r="AP298" s="14"/>
      <c r="AQ298" s="14"/>
      <c r="AR298" s="14"/>
    </row>
    <row r="299" ht="15.75" customHeight="1">
      <c r="B299" s="137"/>
      <c r="P299" s="13"/>
      <c r="R299" s="13"/>
      <c r="T299" s="13"/>
      <c r="V299" s="13"/>
      <c r="X299" s="13"/>
      <c r="AP299" s="14"/>
      <c r="AQ299" s="14"/>
      <c r="AR299" s="14"/>
    </row>
    <row r="300" ht="15.75" customHeight="1">
      <c r="B300" s="137"/>
      <c r="P300" s="13"/>
      <c r="R300" s="13"/>
      <c r="T300" s="13"/>
      <c r="V300" s="13"/>
      <c r="X300" s="13"/>
      <c r="AP300" s="14"/>
      <c r="AQ300" s="14"/>
      <c r="AR300" s="14"/>
    </row>
    <row r="301" ht="15.75" customHeight="1">
      <c r="B301" s="137"/>
      <c r="P301" s="13"/>
      <c r="R301" s="13"/>
      <c r="T301" s="13"/>
      <c r="V301" s="13"/>
      <c r="X301" s="13"/>
      <c r="AP301" s="14"/>
      <c r="AQ301" s="14"/>
      <c r="AR301" s="14"/>
    </row>
    <row r="302" ht="15.75" customHeight="1">
      <c r="B302" s="137"/>
      <c r="P302" s="13"/>
      <c r="R302" s="13"/>
      <c r="T302" s="13"/>
      <c r="V302" s="13"/>
      <c r="X302" s="13"/>
      <c r="AP302" s="14"/>
      <c r="AQ302" s="14"/>
      <c r="AR302" s="14"/>
    </row>
    <row r="303" ht="15.75" customHeight="1">
      <c r="B303" s="137"/>
      <c r="P303" s="13"/>
      <c r="R303" s="13"/>
      <c r="T303" s="13"/>
      <c r="V303" s="13"/>
      <c r="X303" s="13"/>
      <c r="AP303" s="14"/>
      <c r="AQ303" s="14"/>
      <c r="AR303" s="14"/>
    </row>
    <row r="304" ht="15.75" customHeight="1">
      <c r="B304" s="137"/>
      <c r="P304" s="13"/>
      <c r="R304" s="13"/>
      <c r="T304" s="13"/>
      <c r="V304" s="13"/>
      <c r="X304" s="13"/>
      <c r="AP304" s="14"/>
      <c r="AQ304" s="14"/>
      <c r="AR304" s="14"/>
    </row>
    <row r="305" ht="15.75" customHeight="1">
      <c r="B305" s="137"/>
      <c r="P305" s="13"/>
      <c r="R305" s="13"/>
      <c r="T305" s="13"/>
      <c r="V305" s="13"/>
      <c r="X305" s="13"/>
      <c r="AP305" s="14"/>
      <c r="AQ305" s="14"/>
      <c r="AR305" s="14"/>
    </row>
    <row r="306" ht="15.75" customHeight="1">
      <c r="B306" s="137"/>
      <c r="P306" s="13"/>
      <c r="R306" s="13"/>
      <c r="T306" s="13"/>
      <c r="V306" s="13"/>
      <c r="X306" s="13"/>
      <c r="AP306" s="14"/>
      <c r="AQ306" s="14"/>
      <c r="AR306" s="14"/>
    </row>
    <row r="307" ht="15.75" customHeight="1">
      <c r="B307" s="137"/>
      <c r="P307" s="13"/>
      <c r="R307" s="13"/>
      <c r="T307" s="13"/>
      <c r="V307" s="13"/>
      <c r="X307" s="13"/>
      <c r="AP307" s="14"/>
      <c r="AQ307" s="14"/>
      <c r="AR307" s="14"/>
    </row>
    <row r="308" ht="15.75" customHeight="1">
      <c r="B308" s="137"/>
      <c r="P308" s="13"/>
      <c r="R308" s="13"/>
      <c r="T308" s="13"/>
      <c r="V308" s="13"/>
      <c r="X308" s="13"/>
      <c r="AP308" s="14"/>
      <c r="AQ308" s="14"/>
      <c r="AR308" s="14"/>
    </row>
    <row r="309" ht="15.75" customHeight="1">
      <c r="B309" s="137"/>
      <c r="P309" s="13"/>
      <c r="R309" s="13"/>
      <c r="T309" s="13"/>
      <c r="V309" s="13"/>
      <c r="X309" s="13"/>
      <c r="AP309" s="14"/>
      <c r="AQ309" s="14"/>
      <c r="AR309" s="14"/>
    </row>
    <row r="310" ht="15.75" customHeight="1">
      <c r="B310" s="137"/>
      <c r="P310" s="13"/>
      <c r="R310" s="13"/>
      <c r="T310" s="13"/>
      <c r="V310" s="13"/>
      <c r="X310" s="13"/>
      <c r="AP310" s="14"/>
      <c r="AQ310" s="14"/>
      <c r="AR310" s="14"/>
    </row>
    <row r="311" ht="15.75" customHeight="1">
      <c r="B311" s="137"/>
      <c r="P311" s="13"/>
      <c r="R311" s="13"/>
      <c r="T311" s="13"/>
      <c r="V311" s="13"/>
      <c r="X311" s="13"/>
      <c r="AP311" s="14"/>
      <c r="AQ311" s="14"/>
      <c r="AR311" s="14"/>
    </row>
    <row r="312" ht="15.75" customHeight="1">
      <c r="B312" s="137"/>
      <c r="P312" s="13"/>
      <c r="R312" s="13"/>
      <c r="T312" s="13"/>
      <c r="V312" s="13"/>
      <c r="X312" s="13"/>
      <c r="AP312" s="14"/>
      <c r="AQ312" s="14"/>
      <c r="AR312" s="14"/>
    </row>
    <row r="313" ht="15.75" customHeight="1">
      <c r="B313" s="137"/>
      <c r="P313" s="13"/>
      <c r="R313" s="13"/>
      <c r="T313" s="13"/>
      <c r="V313" s="13"/>
      <c r="X313" s="13"/>
      <c r="AP313" s="14"/>
      <c r="AQ313" s="14"/>
      <c r="AR313" s="14"/>
    </row>
    <row r="314" ht="15.75" customHeight="1">
      <c r="B314" s="137"/>
      <c r="P314" s="13"/>
      <c r="R314" s="13"/>
      <c r="T314" s="13"/>
      <c r="V314" s="13"/>
      <c r="X314" s="13"/>
      <c r="AP314" s="14"/>
      <c r="AQ314" s="14"/>
      <c r="AR314" s="14"/>
    </row>
    <row r="315" ht="15.75" customHeight="1">
      <c r="B315" s="137"/>
      <c r="P315" s="13"/>
      <c r="R315" s="13"/>
      <c r="T315" s="13"/>
      <c r="V315" s="13"/>
      <c r="X315" s="13"/>
      <c r="AP315" s="14"/>
      <c r="AQ315" s="14"/>
      <c r="AR315" s="14"/>
    </row>
    <row r="316" ht="15.75" customHeight="1">
      <c r="B316" s="137"/>
      <c r="P316" s="13"/>
      <c r="R316" s="13"/>
      <c r="T316" s="13"/>
      <c r="V316" s="13"/>
      <c r="X316" s="13"/>
      <c r="AP316" s="14"/>
      <c r="AQ316" s="14"/>
      <c r="AR316" s="14"/>
    </row>
    <row r="317" ht="15.75" customHeight="1">
      <c r="B317" s="137"/>
      <c r="P317" s="13"/>
      <c r="R317" s="13"/>
      <c r="T317" s="13"/>
      <c r="V317" s="13"/>
      <c r="X317" s="13"/>
      <c r="AP317" s="14"/>
      <c r="AQ317" s="14"/>
      <c r="AR317" s="14"/>
    </row>
    <row r="318" ht="15.75" customHeight="1">
      <c r="B318" s="137"/>
      <c r="P318" s="13"/>
      <c r="R318" s="13"/>
      <c r="T318" s="13"/>
      <c r="V318" s="13"/>
      <c r="X318" s="13"/>
      <c r="AP318" s="14"/>
      <c r="AQ318" s="14"/>
      <c r="AR318" s="14"/>
    </row>
    <row r="319" ht="15.75" customHeight="1">
      <c r="B319" s="137"/>
      <c r="P319" s="13"/>
      <c r="R319" s="13"/>
      <c r="T319" s="13"/>
      <c r="V319" s="13"/>
      <c r="X319" s="13"/>
      <c r="AP319" s="14"/>
      <c r="AQ319" s="14"/>
      <c r="AR319" s="14"/>
    </row>
    <row r="320" ht="15.75" customHeight="1">
      <c r="B320" s="137"/>
      <c r="P320" s="13"/>
      <c r="R320" s="13"/>
      <c r="T320" s="13"/>
      <c r="V320" s="13"/>
      <c r="X320" s="13"/>
      <c r="AP320" s="14"/>
      <c r="AQ320" s="14"/>
      <c r="AR320" s="14"/>
    </row>
    <row r="321" ht="15.75" customHeight="1">
      <c r="B321" s="137"/>
      <c r="P321" s="13"/>
      <c r="R321" s="13"/>
      <c r="T321" s="13"/>
      <c r="V321" s="13"/>
      <c r="X321" s="13"/>
      <c r="AP321" s="14"/>
      <c r="AQ321" s="14"/>
      <c r="AR321" s="14"/>
    </row>
    <row r="322" ht="15.75" customHeight="1">
      <c r="B322" s="137"/>
      <c r="P322" s="13"/>
      <c r="R322" s="13"/>
      <c r="T322" s="13"/>
      <c r="V322" s="13"/>
      <c r="X322" s="13"/>
      <c r="AP322" s="14"/>
      <c r="AQ322" s="14"/>
      <c r="AR322" s="14"/>
    </row>
    <row r="323" ht="15.75" customHeight="1">
      <c r="B323" s="137"/>
      <c r="P323" s="13"/>
      <c r="R323" s="13"/>
      <c r="T323" s="13"/>
      <c r="V323" s="13"/>
      <c r="X323" s="13"/>
      <c r="AP323" s="14"/>
      <c r="AQ323" s="14"/>
      <c r="AR323" s="14"/>
    </row>
    <row r="324" ht="15.75" customHeight="1">
      <c r="B324" s="137"/>
      <c r="P324" s="13"/>
      <c r="R324" s="13"/>
      <c r="T324" s="13"/>
      <c r="V324" s="13"/>
      <c r="X324" s="13"/>
      <c r="AP324" s="14"/>
      <c r="AQ324" s="14"/>
      <c r="AR324" s="14"/>
    </row>
    <row r="325" ht="15.75" customHeight="1">
      <c r="B325" s="137"/>
      <c r="P325" s="13"/>
      <c r="R325" s="13"/>
      <c r="T325" s="13"/>
      <c r="V325" s="13"/>
      <c r="X325" s="13"/>
      <c r="AP325" s="14"/>
      <c r="AQ325" s="14"/>
      <c r="AR325" s="14"/>
    </row>
    <row r="326" ht="15.75" customHeight="1">
      <c r="B326" s="137"/>
      <c r="P326" s="13"/>
      <c r="R326" s="13"/>
      <c r="T326" s="13"/>
      <c r="V326" s="13"/>
      <c r="X326" s="13"/>
      <c r="AP326" s="14"/>
      <c r="AQ326" s="14"/>
      <c r="AR326" s="14"/>
    </row>
    <row r="327" ht="15.75" customHeight="1">
      <c r="B327" s="137"/>
      <c r="P327" s="13"/>
      <c r="R327" s="13"/>
      <c r="T327" s="13"/>
      <c r="V327" s="13"/>
      <c r="X327" s="13"/>
      <c r="AP327" s="14"/>
      <c r="AQ327" s="14"/>
      <c r="AR327" s="14"/>
    </row>
    <row r="328" ht="15.75" customHeight="1">
      <c r="B328" s="137"/>
      <c r="P328" s="13"/>
      <c r="R328" s="13"/>
      <c r="T328" s="13"/>
      <c r="V328" s="13"/>
      <c r="X328" s="13"/>
      <c r="AP328" s="14"/>
      <c r="AQ328" s="14"/>
      <c r="AR328" s="14"/>
    </row>
    <row r="329" ht="15.75" customHeight="1">
      <c r="B329" s="137"/>
      <c r="P329" s="13"/>
      <c r="R329" s="13"/>
      <c r="T329" s="13"/>
      <c r="V329" s="13"/>
      <c r="X329" s="13"/>
      <c r="AP329" s="14"/>
      <c r="AQ329" s="14"/>
      <c r="AR329" s="14"/>
    </row>
    <row r="330" ht="15.75" customHeight="1">
      <c r="B330" s="137"/>
      <c r="P330" s="13"/>
      <c r="R330" s="13"/>
      <c r="T330" s="13"/>
      <c r="V330" s="13"/>
      <c r="X330" s="13"/>
      <c r="AP330" s="14"/>
      <c r="AQ330" s="14"/>
      <c r="AR330" s="14"/>
    </row>
    <row r="331" ht="15.75" customHeight="1">
      <c r="B331" s="137"/>
      <c r="P331" s="13"/>
      <c r="R331" s="13"/>
      <c r="T331" s="13"/>
      <c r="V331" s="13"/>
      <c r="X331" s="13"/>
      <c r="AP331" s="14"/>
      <c r="AQ331" s="14"/>
      <c r="AR331" s="14"/>
    </row>
    <row r="332" ht="15.75" customHeight="1">
      <c r="B332" s="137"/>
      <c r="P332" s="13"/>
      <c r="R332" s="13"/>
      <c r="T332" s="13"/>
      <c r="V332" s="13"/>
      <c r="X332" s="13"/>
      <c r="AP332" s="14"/>
      <c r="AQ332" s="14"/>
      <c r="AR332" s="14"/>
    </row>
    <row r="333" ht="15.75" customHeight="1">
      <c r="B333" s="137"/>
      <c r="P333" s="13"/>
      <c r="R333" s="13"/>
      <c r="T333" s="13"/>
      <c r="V333" s="13"/>
      <c r="X333" s="13"/>
      <c r="AP333" s="14"/>
      <c r="AQ333" s="14"/>
      <c r="AR333" s="14"/>
    </row>
    <row r="334" ht="15.75" customHeight="1">
      <c r="B334" s="137"/>
      <c r="P334" s="13"/>
      <c r="R334" s="13"/>
      <c r="T334" s="13"/>
      <c r="V334" s="13"/>
      <c r="X334" s="13"/>
      <c r="AP334" s="14"/>
      <c r="AQ334" s="14"/>
      <c r="AR334" s="14"/>
    </row>
    <row r="335" ht="15.75" customHeight="1">
      <c r="B335" s="137"/>
      <c r="P335" s="13"/>
      <c r="R335" s="13"/>
      <c r="T335" s="13"/>
      <c r="V335" s="13"/>
      <c r="X335" s="13"/>
      <c r="AP335" s="14"/>
      <c r="AQ335" s="14"/>
      <c r="AR335" s="14"/>
    </row>
    <row r="336" ht="15.75" customHeight="1">
      <c r="B336" s="137"/>
      <c r="P336" s="13"/>
      <c r="R336" s="13"/>
      <c r="T336" s="13"/>
      <c r="V336" s="13"/>
      <c r="X336" s="13"/>
      <c r="AP336" s="14"/>
      <c r="AQ336" s="14"/>
      <c r="AR336" s="14"/>
    </row>
    <row r="337" ht="15.75" customHeight="1">
      <c r="B337" s="137"/>
      <c r="P337" s="13"/>
      <c r="R337" s="13"/>
      <c r="T337" s="13"/>
      <c r="V337" s="13"/>
      <c r="X337" s="13"/>
      <c r="AP337" s="14"/>
      <c r="AQ337" s="14"/>
      <c r="AR337" s="14"/>
    </row>
    <row r="338" ht="15.75" customHeight="1">
      <c r="B338" s="137"/>
      <c r="P338" s="13"/>
      <c r="R338" s="13"/>
      <c r="T338" s="13"/>
      <c r="V338" s="13"/>
      <c r="X338" s="13"/>
      <c r="AP338" s="14"/>
      <c r="AQ338" s="14"/>
      <c r="AR338" s="14"/>
    </row>
    <row r="339" ht="15.75" customHeight="1">
      <c r="B339" s="137"/>
      <c r="P339" s="13"/>
      <c r="R339" s="13"/>
      <c r="T339" s="13"/>
      <c r="V339" s="13"/>
      <c r="X339" s="13"/>
      <c r="AP339" s="14"/>
      <c r="AQ339" s="14"/>
      <c r="AR339" s="14"/>
    </row>
    <row r="340" ht="15.75" customHeight="1">
      <c r="B340" s="137"/>
      <c r="P340" s="13"/>
      <c r="R340" s="13"/>
      <c r="T340" s="13"/>
      <c r="V340" s="13"/>
      <c r="X340" s="13"/>
      <c r="AP340" s="14"/>
      <c r="AQ340" s="14"/>
      <c r="AR340" s="14"/>
    </row>
    <row r="341" ht="15.75" customHeight="1">
      <c r="B341" s="137"/>
      <c r="P341" s="13"/>
      <c r="R341" s="13"/>
      <c r="T341" s="13"/>
      <c r="V341" s="13"/>
      <c r="X341" s="13"/>
      <c r="AP341" s="14"/>
      <c r="AQ341" s="14"/>
      <c r="AR341" s="14"/>
    </row>
    <row r="342" ht="15.75" customHeight="1">
      <c r="B342" s="137"/>
      <c r="P342" s="13"/>
      <c r="R342" s="13"/>
      <c r="T342" s="13"/>
      <c r="V342" s="13"/>
      <c r="X342" s="13"/>
      <c r="AP342" s="14"/>
      <c r="AQ342" s="14"/>
      <c r="AR342" s="14"/>
    </row>
    <row r="343" ht="15.75" customHeight="1">
      <c r="B343" s="137"/>
      <c r="P343" s="13"/>
      <c r="R343" s="13"/>
      <c r="T343" s="13"/>
      <c r="V343" s="13"/>
      <c r="X343" s="13"/>
      <c r="AP343" s="14"/>
      <c r="AQ343" s="14"/>
      <c r="AR343" s="14"/>
    </row>
    <row r="344" ht="15.75" customHeight="1">
      <c r="B344" s="137"/>
      <c r="P344" s="13"/>
      <c r="R344" s="13"/>
      <c r="T344" s="13"/>
      <c r="V344" s="13"/>
      <c r="X344" s="13"/>
      <c r="AP344" s="14"/>
      <c r="AQ344" s="14"/>
      <c r="AR344" s="14"/>
    </row>
    <row r="345" ht="15.75" customHeight="1">
      <c r="B345" s="137"/>
      <c r="P345" s="13"/>
      <c r="R345" s="13"/>
      <c r="T345" s="13"/>
      <c r="V345" s="13"/>
      <c r="X345" s="13"/>
      <c r="AP345" s="14"/>
      <c r="AQ345" s="14"/>
      <c r="AR345" s="14"/>
    </row>
    <row r="346" ht="15.75" customHeight="1">
      <c r="B346" s="137"/>
      <c r="P346" s="13"/>
      <c r="R346" s="13"/>
      <c r="T346" s="13"/>
      <c r="V346" s="13"/>
      <c r="X346" s="13"/>
      <c r="AP346" s="14"/>
      <c r="AQ346" s="14"/>
      <c r="AR346" s="14"/>
    </row>
    <row r="347" ht="15.75" customHeight="1">
      <c r="B347" s="137"/>
      <c r="P347" s="13"/>
      <c r="R347" s="13"/>
      <c r="T347" s="13"/>
      <c r="V347" s="13"/>
      <c r="X347" s="13"/>
      <c r="AP347" s="14"/>
      <c r="AQ347" s="14"/>
      <c r="AR347" s="14"/>
    </row>
    <row r="348" ht="15.75" customHeight="1">
      <c r="B348" s="137"/>
      <c r="P348" s="13"/>
      <c r="R348" s="13"/>
      <c r="T348" s="13"/>
      <c r="V348" s="13"/>
      <c r="X348" s="13"/>
      <c r="AP348" s="14"/>
      <c r="AQ348" s="14"/>
      <c r="AR348" s="14"/>
    </row>
    <row r="349" ht="15.75" customHeight="1">
      <c r="B349" s="137"/>
      <c r="P349" s="13"/>
      <c r="R349" s="13"/>
      <c r="T349" s="13"/>
      <c r="V349" s="13"/>
      <c r="X349" s="13"/>
      <c r="AP349" s="14"/>
      <c r="AQ349" s="14"/>
      <c r="AR349" s="14"/>
    </row>
    <row r="350" ht="15.75" customHeight="1">
      <c r="B350" s="137"/>
      <c r="P350" s="13"/>
      <c r="R350" s="13"/>
      <c r="T350" s="13"/>
      <c r="V350" s="13"/>
      <c r="X350" s="13"/>
      <c r="AP350" s="14"/>
      <c r="AQ350" s="14"/>
      <c r="AR350" s="14"/>
    </row>
    <row r="351" ht="15.75" customHeight="1">
      <c r="B351" s="137"/>
      <c r="P351" s="13"/>
      <c r="R351" s="13"/>
      <c r="T351" s="13"/>
      <c r="V351" s="13"/>
      <c r="X351" s="13"/>
      <c r="AP351" s="14"/>
      <c r="AQ351" s="14"/>
      <c r="AR351" s="14"/>
    </row>
    <row r="352" ht="15.75" customHeight="1">
      <c r="B352" s="137"/>
      <c r="P352" s="13"/>
      <c r="R352" s="13"/>
      <c r="T352" s="13"/>
      <c r="V352" s="13"/>
      <c r="X352" s="13"/>
      <c r="AP352" s="14"/>
      <c r="AQ352" s="14"/>
      <c r="AR352" s="14"/>
    </row>
    <row r="353" ht="15.75" customHeight="1">
      <c r="B353" s="137"/>
      <c r="P353" s="13"/>
      <c r="R353" s="13"/>
      <c r="T353" s="13"/>
      <c r="V353" s="13"/>
      <c r="X353" s="13"/>
      <c r="AP353" s="14"/>
      <c r="AQ353" s="14"/>
      <c r="AR353" s="14"/>
    </row>
    <row r="354" ht="15.75" customHeight="1">
      <c r="B354" s="137"/>
      <c r="P354" s="13"/>
      <c r="R354" s="13"/>
      <c r="T354" s="13"/>
      <c r="V354" s="13"/>
      <c r="X354" s="13"/>
      <c r="AP354" s="14"/>
      <c r="AQ354" s="14"/>
      <c r="AR354" s="14"/>
    </row>
    <row r="355" ht="15.75" customHeight="1">
      <c r="B355" s="137"/>
      <c r="P355" s="13"/>
      <c r="R355" s="13"/>
      <c r="T355" s="13"/>
      <c r="V355" s="13"/>
      <c r="X355" s="13"/>
      <c r="AP355" s="14"/>
      <c r="AQ355" s="14"/>
      <c r="AR355" s="14"/>
    </row>
    <row r="356" ht="15.75" customHeight="1">
      <c r="B356" s="137"/>
      <c r="P356" s="13"/>
      <c r="R356" s="13"/>
      <c r="T356" s="13"/>
      <c r="V356" s="13"/>
      <c r="X356" s="13"/>
      <c r="AP356" s="14"/>
      <c r="AQ356" s="14"/>
      <c r="AR356" s="14"/>
    </row>
    <row r="357" ht="15.75" customHeight="1">
      <c r="B357" s="137"/>
      <c r="P357" s="13"/>
      <c r="R357" s="13"/>
      <c r="T357" s="13"/>
      <c r="V357" s="13"/>
      <c r="X357" s="13"/>
      <c r="AP357" s="14"/>
      <c r="AQ357" s="14"/>
      <c r="AR357" s="14"/>
    </row>
    <row r="358" ht="15.75" customHeight="1">
      <c r="B358" s="137"/>
      <c r="P358" s="13"/>
      <c r="R358" s="13"/>
      <c r="T358" s="13"/>
      <c r="V358" s="13"/>
      <c r="X358" s="13"/>
      <c r="AP358" s="14"/>
      <c r="AQ358" s="14"/>
      <c r="AR358" s="14"/>
    </row>
    <row r="359" ht="15.75" customHeight="1">
      <c r="B359" s="137"/>
      <c r="P359" s="13"/>
      <c r="R359" s="13"/>
      <c r="T359" s="13"/>
      <c r="V359" s="13"/>
      <c r="X359" s="13"/>
      <c r="AP359" s="14"/>
      <c r="AQ359" s="14"/>
      <c r="AR359" s="14"/>
    </row>
    <row r="360" ht="15.75" customHeight="1">
      <c r="B360" s="137"/>
      <c r="P360" s="13"/>
      <c r="R360" s="13"/>
      <c r="T360" s="13"/>
      <c r="V360" s="13"/>
      <c r="X360" s="13"/>
      <c r="AP360" s="14"/>
      <c r="AQ360" s="14"/>
      <c r="AR360" s="14"/>
    </row>
    <row r="361" ht="15.75" customHeight="1">
      <c r="B361" s="137"/>
      <c r="P361" s="13"/>
      <c r="R361" s="13"/>
      <c r="T361" s="13"/>
      <c r="V361" s="13"/>
      <c r="X361" s="13"/>
      <c r="AP361" s="14"/>
      <c r="AQ361" s="14"/>
      <c r="AR361" s="14"/>
    </row>
    <row r="362" ht="15.75" customHeight="1">
      <c r="B362" s="137"/>
      <c r="P362" s="13"/>
      <c r="R362" s="13"/>
      <c r="T362" s="13"/>
      <c r="V362" s="13"/>
      <c r="X362" s="13"/>
      <c r="AP362" s="14"/>
      <c r="AQ362" s="14"/>
      <c r="AR362" s="14"/>
    </row>
    <row r="363" ht="15.75" customHeight="1">
      <c r="B363" s="137"/>
      <c r="P363" s="13"/>
      <c r="R363" s="13"/>
      <c r="T363" s="13"/>
      <c r="V363" s="13"/>
      <c r="X363" s="13"/>
      <c r="AP363" s="14"/>
      <c r="AQ363" s="14"/>
      <c r="AR363" s="14"/>
    </row>
    <row r="364" ht="15.75" customHeight="1">
      <c r="B364" s="137"/>
      <c r="P364" s="13"/>
      <c r="R364" s="13"/>
      <c r="T364" s="13"/>
      <c r="V364" s="13"/>
      <c r="X364" s="13"/>
      <c r="AP364" s="14"/>
      <c r="AQ364" s="14"/>
      <c r="AR364" s="14"/>
    </row>
    <row r="365" ht="15.75" customHeight="1">
      <c r="B365" s="137"/>
      <c r="P365" s="13"/>
      <c r="R365" s="13"/>
      <c r="T365" s="13"/>
      <c r="V365" s="13"/>
      <c r="X365" s="13"/>
      <c r="AP365" s="14"/>
      <c r="AQ365" s="14"/>
      <c r="AR365" s="14"/>
    </row>
    <row r="366" ht="15.75" customHeight="1">
      <c r="B366" s="137"/>
      <c r="P366" s="13"/>
      <c r="R366" s="13"/>
      <c r="T366" s="13"/>
      <c r="V366" s="13"/>
      <c r="X366" s="13"/>
      <c r="AP366" s="14"/>
      <c r="AQ366" s="14"/>
      <c r="AR366" s="14"/>
    </row>
    <row r="367" ht="15.75" customHeight="1">
      <c r="B367" s="137"/>
      <c r="P367" s="13"/>
      <c r="R367" s="13"/>
      <c r="T367" s="13"/>
      <c r="V367" s="13"/>
      <c r="X367" s="13"/>
      <c r="AP367" s="14"/>
      <c r="AQ367" s="14"/>
      <c r="AR367" s="14"/>
    </row>
    <row r="368" ht="15.75" customHeight="1">
      <c r="B368" s="137"/>
      <c r="P368" s="13"/>
      <c r="R368" s="13"/>
      <c r="T368" s="13"/>
      <c r="V368" s="13"/>
      <c r="X368" s="13"/>
      <c r="AP368" s="14"/>
      <c r="AQ368" s="14"/>
      <c r="AR368" s="14"/>
    </row>
    <row r="369" ht="15.75" customHeight="1">
      <c r="B369" s="137"/>
      <c r="P369" s="13"/>
      <c r="R369" s="13"/>
      <c r="T369" s="13"/>
      <c r="V369" s="13"/>
      <c r="X369" s="13"/>
      <c r="AP369" s="14"/>
      <c r="AQ369" s="14"/>
      <c r="AR369" s="14"/>
    </row>
    <row r="370" ht="15.75" customHeight="1">
      <c r="B370" s="137"/>
      <c r="P370" s="13"/>
      <c r="R370" s="13"/>
      <c r="T370" s="13"/>
      <c r="V370" s="13"/>
      <c r="X370" s="13"/>
      <c r="AP370" s="14"/>
      <c r="AQ370" s="14"/>
      <c r="AR370" s="14"/>
    </row>
    <row r="371" ht="15.75" customHeight="1">
      <c r="B371" s="137"/>
      <c r="P371" s="13"/>
      <c r="R371" s="13"/>
      <c r="T371" s="13"/>
      <c r="V371" s="13"/>
      <c r="X371" s="13"/>
      <c r="AP371" s="14"/>
      <c r="AQ371" s="14"/>
      <c r="AR371" s="14"/>
    </row>
    <row r="372" ht="15.75" customHeight="1">
      <c r="B372" s="137"/>
      <c r="P372" s="13"/>
      <c r="R372" s="13"/>
      <c r="T372" s="13"/>
      <c r="V372" s="13"/>
      <c r="X372" s="13"/>
      <c r="AP372" s="14"/>
      <c r="AQ372" s="14"/>
      <c r="AR372" s="14"/>
    </row>
    <row r="373" ht="15.75" customHeight="1">
      <c r="B373" s="137"/>
      <c r="P373" s="13"/>
      <c r="R373" s="13"/>
      <c r="T373" s="13"/>
      <c r="V373" s="13"/>
      <c r="X373" s="13"/>
      <c r="AP373" s="14"/>
      <c r="AQ373" s="14"/>
      <c r="AR373" s="14"/>
    </row>
    <row r="374" ht="15.75" customHeight="1">
      <c r="B374" s="137"/>
      <c r="P374" s="13"/>
      <c r="R374" s="13"/>
      <c r="T374" s="13"/>
      <c r="V374" s="13"/>
      <c r="X374" s="13"/>
      <c r="AP374" s="14"/>
      <c r="AQ374" s="14"/>
      <c r="AR374" s="14"/>
    </row>
    <row r="375" ht="15.75" customHeight="1">
      <c r="B375" s="137"/>
      <c r="P375" s="13"/>
      <c r="R375" s="13"/>
      <c r="T375" s="13"/>
      <c r="V375" s="13"/>
      <c r="X375" s="13"/>
      <c r="AP375" s="14"/>
      <c r="AQ375" s="14"/>
      <c r="AR375" s="14"/>
    </row>
    <row r="376" ht="15.75" customHeight="1">
      <c r="B376" s="137"/>
      <c r="P376" s="13"/>
      <c r="R376" s="13"/>
      <c r="T376" s="13"/>
      <c r="V376" s="13"/>
      <c r="X376" s="13"/>
      <c r="AP376" s="14"/>
      <c r="AQ376" s="14"/>
      <c r="AR376" s="14"/>
    </row>
    <row r="377" ht="15.75" customHeight="1">
      <c r="B377" s="137"/>
      <c r="P377" s="13"/>
      <c r="R377" s="13"/>
      <c r="T377" s="13"/>
      <c r="V377" s="13"/>
      <c r="X377" s="13"/>
      <c r="AP377" s="14"/>
      <c r="AQ377" s="14"/>
      <c r="AR377" s="14"/>
    </row>
    <row r="378" ht="15.75" customHeight="1">
      <c r="B378" s="137"/>
      <c r="P378" s="13"/>
      <c r="R378" s="13"/>
      <c r="T378" s="13"/>
      <c r="V378" s="13"/>
      <c r="X378" s="13"/>
      <c r="AP378" s="14"/>
      <c r="AQ378" s="14"/>
      <c r="AR378" s="14"/>
    </row>
    <row r="379" ht="15.75" customHeight="1">
      <c r="B379" s="137"/>
      <c r="P379" s="13"/>
      <c r="R379" s="13"/>
      <c r="T379" s="13"/>
      <c r="V379" s="13"/>
      <c r="X379" s="13"/>
      <c r="AP379" s="14"/>
      <c r="AQ379" s="14"/>
      <c r="AR379" s="14"/>
    </row>
    <row r="380" ht="15.75" customHeight="1">
      <c r="B380" s="137"/>
      <c r="P380" s="13"/>
      <c r="R380" s="13"/>
      <c r="T380" s="13"/>
      <c r="V380" s="13"/>
      <c r="X380" s="13"/>
      <c r="AP380" s="14"/>
      <c r="AQ380" s="14"/>
      <c r="AR380" s="14"/>
    </row>
    <row r="381" ht="15.75" customHeight="1">
      <c r="B381" s="137"/>
      <c r="P381" s="13"/>
      <c r="R381" s="13"/>
      <c r="T381" s="13"/>
      <c r="V381" s="13"/>
      <c r="X381" s="13"/>
      <c r="AP381" s="14"/>
      <c r="AQ381" s="14"/>
      <c r="AR381" s="14"/>
    </row>
    <row r="382" ht="15.75" customHeight="1">
      <c r="B382" s="137"/>
      <c r="P382" s="13"/>
      <c r="R382" s="13"/>
      <c r="T382" s="13"/>
      <c r="V382" s="13"/>
      <c r="X382" s="13"/>
      <c r="AP382" s="14"/>
      <c r="AQ382" s="14"/>
      <c r="AR382" s="14"/>
    </row>
    <row r="383" ht="15.75" customHeight="1">
      <c r="B383" s="137"/>
      <c r="P383" s="13"/>
      <c r="R383" s="13"/>
      <c r="T383" s="13"/>
      <c r="V383" s="13"/>
      <c r="X383" s="13"/>
      <c r="AP383" s="14"/>
      <c r="AQ383" s="14"/>
      <c r="AR383" s="14"/>
    </row>
    <row r="384" ht="15.75" customHeight="1">
      <c r="B384" s="137"/>
      <c r="P384" s="13"/>
      <c r="R384" s="13"/>
      <c r="T384" s="13"/>
      <c r="V384" s="13"/>
      <c r="X384" s="13"/>
      <c r="AP384" s="14"/>
      <c r="AQ384" s="14"/>
      <c r="AR384" s="14"/>
    </row>
    <row r="385" ht="15.75" customHeight="1">
      <c r="B385" s="137"/>
      <c r="P385" s="13"/>
      <c r="R385" s="13"/>
      <c r="T385" s="13"/>
      <c r="V385" s="13"/>
      <c r="X385" s="13"/>
      <c r="AP385" s="14"/>
      <c r="AQ385" s="14"/>
      <c r="AR385" s="14"/>
    </row>
    <row r="386" ht="15.75" customHeight="1">
      <c r="B386" s="137"/>
      <c r="P386" s="13"/>
      <c r="R386" s="13"/>
      <c r="T386" s="13"/>
      <c r="V386" s="13"/>
      <c r="X386" s="13"/>
      <c r="AP386" s="14"/>
      <c r="AQ386" s="14"/>
      <c r="AR386" s="14"/>
    </row>
    <row r="387" ht="15.75" customHeight="1">
      <c r="B387" s="137"/>
      <c r="P387" s="13"/>
      <c r="R387" s="13"/>
      <c r="T387" s="13"/>
      <c r="V387" s="13"/>
      <c r="X387" s="13"/>
      <c r="AP387" s="14"/>
      <c r="AQ387" s="14"/>
      <c r="AR387" s="14"/>
    </row>
    <row r="388" ht="15.75" customHeight="1">
      <c r="B388" s="137"/>
      <c r="P388" s="13"/>
      <c r="R388" s="13"/>
      <c r="T388" s="13"/>
      <c r="V388" s="13"/>
      <c r="X388" s="13"/>
      <c r="AP388" s="14"/>
      <c r="AQ388" s="14"/>
      <c r="AR388" s="14"/>
    </row>
    <row r="389" ht="15.75" customHeight="1">
      <c r="B389" s="137"/>
      <c r="P389" s="13"/>
      <c r="R389" s="13"/>
      <c r="T389" s="13"/>
      <c r="V389" s="13"/>
      <c r="X389" s="13"/>
      <c r="AP389" s="14"/>
      <c r="AQ389" s="14"/>
      <c r="AR389" s="14"/>
    </row>
    <row r="390" ht="15.75" customHeight="1">
      <c r="B390" s="137"/>
      <c r="P390" s="13"/>
      <c r="R390" s="13"/>
      <c r="T390" s="13"/>
      <c r="V390" s="13"/>
      <c r="X390" s="13"/>
      <c r="AP390" s="14"/>
      <c r="AQ390" s="14"/>
      <c r="AR390" s="14"/>
    </row>
    <row r="391" ht="15.75" customHeight="1">
      <c r="B391" s="137"/>
      <c r="P391" s="13"/>
      <c r="R391" s="13"/>
      <c r="T391" s="13"/>
      <c r="V391" s="13"/>
      <c r="X391" s="13"/>
      <c r="AP391" s="14"/>
      <c r="AQ391" s="14"/>
      <c r="AR391" s="14"/>
    </row>
    <row r="392" ht="15.75" customHeight="1">
      <c r="B392" s="137"/>
      <c r="P392" s="13"/>
      <c r="R392" s="13"/>
      <c r="T392" s="13"/>
      <c r="V392" s="13"/>
      <c r="X392" s="13"/>
      <c r="AP392" s="14"/>
      <c r="AQ392" s="14"/>
      <c r="AR392" s="14"/>
    </row>
    <row r="393" ht="15.75" customHeight="1">
      <c r="B393" s="137"/>
      <c r="P393" s="13"/>
      <c r="R393" s="13"/>
      <c r="T393" s="13"/>
      <c r="V393" s="13"/>
      <c r="X393" s="13"/>
      <c r="AP393" s="14"/>
      <c r="AQ393" s="14"/>
      <c r="AR393" s="14"/>
    </row>
    <row r="394" ht="15.75" customHeight="1">
      <c r="B394" s="137"/>
      <c r="P394" s="13"/>
      <c r="R394" s="13"/>
      <c r="T394" s="13"/>
      <c r="V394" s="13"/>
      <c r="X394" s="13"/>
      <c r="AP394" s="14"/>
      <c r="AQ394" s="14"/>
      <c r="AR394" s="14"/>
    </row>
    <row r="395" ht="15.75" customHeight="1">
      <c r="B395" s="137"/>
      <c r="P395" s="13"/>
      <c r="R395" s="13"/>
      <c r="T395" s="13"/>
      <c r="V395" s="13"/>
      <c r="X395" s="13"/>
      <c r="AP395" s="14"/>
      <c r="AQ395" s="14"/>
      <c r="AR395" s="14"/>
    </row>
    <row r="396" ht="15.75" customHeight="1">
      <c r="B396" s="137"/>
      <c r="P396" s="13"/>
      <c r="R396" s="13"/>
      <c r="T396" s="13"/>
      <c r="V396" s="13"/>
      <c r="X396" s="13"/>
      <c r="AP396" s="14"/>
      <c r="AQ396" s="14"/>
      <c r="AR396" s="14"/>
    </row>
    <row r="397" ht="15.75" customHeight="1">
      <c r="B397" s="137"/>
      <c r="P397" s="13"/>
      <c r="R397" s="13"/>
      <c r="T397" s="13"/>
      <c r="V397" s="13"/>
      <c r="X397" s="13"/>
      <c r="AP397" s="14"/>
      <c r="AQ397" s="14"/>
      <c r="AR397" s="14"/>
    </row>
    <row r="398" ht="15.75" customHeight="1">
      <c r="B398" s="137"/>
      <c r="P398" s="13"/>
      <c r="R398" s="13"/>
      <c r="T398" s="13"/>
      <c r="V398" s="13"/>
      <c r="X398" s="13"/>
      <c r="AP398" s="14"/>
      <c r="AQ398" s="14"/>
      <c r="AR398" s="14"/>
    </row>
    <row r="399" ht="15.75" customHeight="1">
      <c r="B399" s="137"/>
      <c r="P399" s="13"/>
      <c r="R399" s="13"/>
      <c r="T399" s="13"/>
      <c r="V399" s="13"/>
      <c r="X399" s="13"/>
      <c r="AP399" s="14"/>
      <c r="AQ399" s="14"/>
      <c r="AR399" s="14"/>
    </row>
    <row r="400" ht="15.75" customHeight="1">
      <c r="B400" s="137"/>
      <c r="P400" s="13"/>
      <c r="R400" s="13"/>
      <c r="T400" s="13"/>
      <c r="V400" s="13"/>
      <c r="X400" s="13"/>
      <c r="AP400" s="14"/>
      <c r="AQ400" s="14"/>
      <c r="AR400" s="14"/>
    </row>
    <row r="401" ht="15.75" customHeight="1">
      <c r="B401" s="137"/>
      <c r="P401" s="13"/>
      <c r="R401" s="13"/>
      <c r="T401" s="13"/>
      <c r="V401" s="13"/>
      <c r="X401" s="13"/>
      <c r="AP401" s="14"/>
      <c r="AQ401" s="14"/>
      <c r="AR401" s="14"/>
    </row>
    <row r="402" ht="15.75" customHeight="1">
      <c r="B402" s="137"/>
      <c r="P402" s="13"/>
      <c r="R402" s="13"/>
      <c r="T402" s="13"/>
      <c r="V402" s="13"/>
      <c r="X402" s="13"/>
      <c r="AP402" s="14"/>
      <c r="AQ402" s="14"/>
      <c r="AR402" s="14"/>
    </row>
    <row r="403" ht="15.75" customHeight="1">
      <c r="B403" s="137"/>
      <c r="P403" s="13"/>
      <c r="R403" s="13"/>
      <c r="T403" s="13"/>
      <c r="V403" s="13"/>
      <c r="X403" s="13"/>
      <c r="AP403" s="14"/>
      <c r="AQ403" s="14"/>
      <c r="AR403" s="14"/>
    </row>
    <row r="404" ht="15.75" customHeight="1">
      <c r="B404" s="137"/>
      <c r="P404" s="13"/>
      <c r="R404" s="13"/>
      <c r="T404" s="13"/>
      <c r="V404" s="13"/>
      <c r="X404" s="13"/>
      <c r="AP404" s="14"/>
      <c r="AQ404" s="14"/>
      <c r="AR404" s="14"/>
    </row>
    <row r="405" ht="15.75" customHeight="1">
      <c r="B405" s="137"/>
      <c r="P405" s="13"/>
      <c r="R405" s="13"/>
      <c r="T405" s="13"/>
      <c r="V405" s="13"/>
      <c r="X405" s="13"/>
      <c r="AP405" s="14"/>
      <c r="AQ405" s="14"/>
      <c r="AR405" s="14"/>
    </row>
    <row r="406" ht="15.75" customHeight="1">
      <c r="B406" s="137"/>
      <c r="P406" s="13"/>
      <c r="R406" s="13"/>
      <c r="T406" s="13"/>
      <c r="V406" s="13"/>
      <c r="X406" s="13"/>
      <c r="AP406" s="14"/>
      <c r="AQ406" s="14"/>
      <c r="AR406" s="14"/>
    </row>
    <row r="407" ht="15.75" customHeight="1">
      <c r="B407" s="137"/>
      <c r="P407" s="13"/>
      <c r="R407" s="13"/>
      <c r="T407" s="13"/>
      <c r="V407" s="13"/>
      <c r="X407" s="13"/>
      <c r="AP407" s="14"/>
      <c r="AQ407" s="14"/>
      <c r="AR407" s="14"/>
    </row>
    <row r="408" ht="15.75" customHeight="1">
      <c r="B408" s="137"/>
      <c r="P408" s="13"/>
      <c r="R408" s="13"/>
      <c r="T408" s="13"/>
      <c r="V408" s="13"/>
      <c r="X408" s="13"/>
      <c r="AP408" s="14"/>
      <c r="AQ408" s="14"/>
      <c r="AR408" s="14"/>
    </row>
    <row r="409" ht="15.75" customHeight="1">
      <c r="B409" s="137"/>
      <c r="P409" s="13"/>
      <c r="R409" s="13"/>
      <c r="T409" s="13"/>
      <c r="V409" s="13"/>
      <c r="X409" s="13"/>
      <c r="AP409" s="14"/>
      <c r="AQ409" s="14"/>
      <c r="AR409" s="14"/>
    </row>
    <row r="410" ht="15.75" customHeight="1">
      <c r="B410" s="137"/>
      <c r="P410" s="13"/>
      <c r="R410" s="13"/>
      <c r="T410" s="13"/>
      <c r="V410" s="13"/>
      <c r="X410" s="13"/>
      <c r="AP410" s="14"/>
      <c r="AQ410" s="14"/>
      <c r="AR410" s="14"/>
    </row>
    <row r="411" ht="15.75" customHeight="1">
      <c r="B411" s="137"/>
      <c r="P411" s="13"/>
      <c r="R411" s="13"/>
      <c r="T411" s="13"/>
      <c r="V411" s="13"/>
      <c r="X411" s="13"/>
      <c r="AP411" s="14"/>
      <c r="AQ411" s="14"/>
      <c r="AR411" s="14"/>
    </row>
    <row r="412" ht="15.75" customHeight="1">
      <c r="B412" s="137"/>
      <c r="P412" s="13"/>
      <c r="R412" s="13"/>
      <c r="T412" s="13"/>
      <c r="V412" s="13"/>
      <c r="X412" s="13"/>
      <c r="AP412" s="14"/>
      <c r="AQ412" s="14"/>
      <c r="AR412" s="14"/>
    </row>
    <row r="413" ht="15.75" customHeight="1">
      <c r="B413" s="137"/>
      <c r="P413" s="13"/>
      <c r="R413" s="13"/>
      <c r="T413" s="13"/>
      <c r="V413" s="13"/>
      <c r="X413" s="13"/>
      <c r="AP413" s="14"/>
      <c r="AQ413" s="14"/>
      <c r="AR413" s="14"/>
    </row>
    <row r="414" ht="15.75" customHeight="1">
      <c r="B414" s="137"/>
      <c r="P414" s="13"/>
      <c r="R414" s="13"/>
      <c r="T414" s="13"/>
      <c r="V414" s="13"/>
      <c r="X414" s="13"/>
      <c r="AP414" s="14"/>
      <c r="AQ414" s="14"/>
      <c r="AR414" s="14"/>
    </row>
    <row r="415" ht="15.75" customHeight="1">
      <c r="B415" s="137"/>
      <c r="P415" s="13"/>
      <c r="R415" s="13"/>
      <c r="T415" s="13"/>
      <c r="V415" s="13"/>
      <c r="X415" s="13"/>
      <c r="AP415" s="14"/>
      <c r="AQ415" s="14"/>
      <c r="AR415" s="14"/>
    </row>
    <row r="416" ht="15.75" customHeight="1">
      <c r="B416" s="137"/>
      <c r="P416" s="13"/>
      <c r="R416" s="13"/>
      <c r="T416" s="13"/>
      <c r="V416" s="13"/>
      <c r="X416" s="13"/>
      <c r="AP416" s="14"/>
      <c r="AQ416" s="14"/>
      <c r="AR416" s="14"/>
    </row>
    <row r="417" ht="15.75" customHeight="1">
      <c r="B417" s="137"/>
      <c r="P417" s="13"/>
      <c r="R417" s="13"/>
      <c r="T417" s="13"/>
      <c r="V417" s="13"/>
      <c r="X417" s="13"/>
      <c r="AP417" s="14"/>
      <c r="AQ417" s="14"/>
      <c r="AR417" s="14"/>
    </row>
    <row r="418" ht="15.75" customHeight="1">
      <c r="B418" s="137"/>
      <c r="P418" s="13"/>
      <c r="R418" s="13"/>
      <c r="T418" s="13"/>
      <c r="V418" s="13"/>
      <c r="X418" s="13"/>
      <c r="AP418" s="14"/>
      <c r="AQ418" s="14"/>
      <c r="AR418" s="14"/>
    </row>
    <row r="419" ht="15.75" customHeight="1">
      <c r="B419" s="137"/>
      <c r="P419" s="13"/>
      <c r="R419" s="13"/>
      <c r="T419" s="13"/>
      <c r="V419" s="13"/>
      <c r="X419" s="13"/>
      <c r="AP419" s="14"/>
      <c r="AQ419" s="14"/>
      <c r="AR419" s="14"/>
    </row>
    <row r="420" ht="15.75" customHeight="1">
      <c r="B420" s="137"/>
      <c r="P420" s="13"/>
      <c r="R420" s="13"/>
      <c r="T420" s="13"/>
      <c r="V420" s="13"/>
      <c r="X420" s="13"/>
      <c r="AP420" s="14"/>
      <c r="AQ420" s="14"/>
      <c r="AR420" s="14"/>
    </row>
    <row r="421" ht="15.75" customHeight="1">
      <c r="B421" s="137"/>
      <c r="P421" s="13"/>
      <c r="R421" s="13"/>
      <c r="T421" s="13"/>
      <c r="V421" s="13"/>
      <c r="X421" s="13"/>
      <c r="AP421" s="14"/>
      <c r="AQ421" s="14"/>
      <c r="AR421" s="14"/>
    </row>
    <row r="422" ht="15.75" customHeight="1">
      <c r="B422" s="137"/>
      <c r="P422" s="13"/>
      <c r="R422" s="13"/>
      <c r="T422" s="13"/>
      <c r="V422" s="13"/>
      <c r="X422" s="13"/>
      <c r="AP422" s="14"/>
      <c r="AQ422" s="14"/>
      <c r="AR422" s="14"/>
    </row>
    <row r="423" ht="15.75" customHeight="1">
      <c r="B423" s="137"/>
      <c r="P423" s="13"/>
      <c r="R423" s="13"/>
      <c r="T423" s="13"/>
      <c r="V423" s="13"/>
      <c r="X423" s="13"/>
      <c r="AP423" s="14"/>
      <c r="AQ423" s="14"/>
      <c r="AR423" s="14"/>
    </row>
    <row r="424" ht="15.75" customHeight="1">
      <c r="B424" s="137"/>
      <c r="P424" s="13"/>
      <c r="R424" s="13"/>
      <c r="T424" s="13"/>
      <c r="V424" s="13"/>
      <c r="X424" s="13"/>
      <c r="AP424" s="14"/>
      <c r="AQ424" s="14"/>
      <c r="AR424" s="14"/>
    </row>
    <row r="425" ht="15.75" customHeight="1">
      <c r="B425" s="137"/>
      <c r="P425" s="13"/>
      <c r="R425" s="13"/>
      <c r="T425" s="13"/>
      <c r="V425" s="13"/>
      <c r="X425" s="13"/>
      <c r="AP425" s="14"/>
      <c r="AQ425" s="14"/>
      <c r="AR425" s="14"/>
    </row>
    <row r="426" ht="15.75" customHeight="1">
      <c r="B426" s="137"/>
      <c r="P426" s="13"/>
      <c r="R426" s="13"/>
      <c r="T426" s="13"/>
      <c r="V426" s="13"/>
      <c r="X426" s="13"/>
      <c r="AP426" s="14"/>
      <c r="AQ426" s="14"/>
      <c r="AR426" s="14"/>
    </row>
    <row r="427" ht="15.75" customHeight="1">
      <c r="B427" s="137"/>
      <c r="P427" s="13"/>
      <c r="R427" s="13"/>
      <c r="T427" s="13"/>
      <c r="V427" s="13"/>
      <c r="X427" s="13"/>
      <c r="AP427" s="14"/>
      <c r="AQ427" s="14"/>
      <c r="AR427" s="14"/>
    </row>
    <row r="428" ht="15.75" customHeight="1">
      <c r="B428" s="137"/>
      <c r="P428" s="13"/>
      <c r="R428" s="13"/>
      <c r="T428" s="13"/>
      <c r="V428" s="13"/>
      <c r="X428" s="13"/>
      <c r="AP428" s="14"/>
      <c r="AQ428" s="14"/>
      <c r="AR428" s="14"/>
    </row>
    <row r="429" ht="15.75" customHeight="1">
      <c r="B429" s="137"/>
      <c r="P429" s="13"/>
      <c r="R429" s="13"/>
      <c r="T429" s="13"/>
      <c r="V429" s="13"/>
      <c r="X429" s="13"/>
      <c r="AP429" s="14"/>
      <c r="AQ429" s="14"/>
      <c r="AR429" s="14"/>
    </row>
    <row r="430" ht="15.75" customHeight="1">
      <c r="B430" s="137"/>
      <c r="P430" s="13"/>
      <c r="R430" s="13"/>
      <c r="T430" s="13"/>
      <c r="V430" s="13"/>
      <c r="X430" s="13"/>
      <c r="AP430" s="14"/>
      <c r="AQ430" s="14"/>
      <c r="AR430" s="14"/>
    </row>
    <row r="431" ht="15.75" customHeight="1">
      <c r="B431" s="137"/>
      <c r="P431" s="13"/>
      <c r="R431" s="13"/>
      <c r="T431" s="13"/>
      <c r="V431" s="13"/>
      <c r="X431" s="13"/>
      <c r="AP431" s="14"/>
      <c r="AQ431" s="14"/>
      <c r="AR431" s="14"/>
    </row>
    <row r="432" ht="15.75" customHeight="1">
      <c r="B432" s="137"/>
      <c r="P432" s="13"/>
      <c r="R432" s="13"/>
      <c r="T432" s="13"/>
      <c r="V432" s="13"/>
      <c r="X432" s="13"/>
      <c r="AP432" s="14"/>
      <c r="AQ432" s="14"/>
      <c r="AR432" s="14"/>
    </row>
    <row r="433" ht="15.75" customHeight="1">
      <c r="B433" s="137"/>
      <c r="P433" s="13"/>
      <c r="R433" s="13"/>
      <c r="T433" s="13"/>
      <c r="V433" s="13"/>
      <c r="X433" s="13"/>
      <c r="AP433" s="14"/>
      <c r="AQ433" s="14"/>
      <c r="AR433" s="14"/>
    </row>
    <row r="434" ht="15.75" customHeight="1">
      <c r="B434" s="137"/>
      <c r="P434" s="13"/>
      <c r="R434" s="13"/>
      <c r="T434" s="13"/>
      <c r="V434" s="13"/>
      <c r="X434" s="13"/>
      <c r="AP434" s="14"/>
      <c r="AQ434" s="14"/>
      <c r="AR434" s="14"/>
    </row>
    <row r="435" ht="15.75" customHeight="1">
      <c r="B435" s="137"/>
      <c r="P435" s="13"/>
      <c r="R435" s="13"/>
      <c r="T435" s="13"/>
      <c r="V435" s="13"/>
      <c r="X435" s="13"/>
      <c r="AP435" s="14"/>
      <c r="AQ435" s="14"/>
      <c r="AR435" s="14"/>
    </row>
    <row r="436" ht="15.75" customHeight="1">
      <c r="B436" s="137"/>
      <c r="P436" s="13"/>
      <c r="R436" s="13"/>
      <c r="T436" s="13"/>
      <c r="V436" s="13"/>
      <c r="X436" s="13"/>
      <c r="AP436" s="14"/>
      <c r="AQ436" s="14"/>
      <c r="AR436" s="14"/>
    </row>
    <row r="437" ht="15.75" customHeight="1">
      <c r="B437" s="137"/>
      <c r="P437" s="13"/>
      <c r="R437" s="13"/>
      <c r="T437" s="13"/>
      <c r="V437" s="13"/>
      <c r="X437" s="13"/>
      <c r="AP437" s="14"/>
      <c r="AQ437" s="14"/>
      <c r="AR437" s="14"/>
    </row>
    <row r="438" ht="15.75" customHeight="1">
      <c r="B438" s="137"/>
      <c r="P438" s="13"/>
      <c r="R438" s="13"/>
      <c r="T438" s="13"/>
      <c r="V438" s="13"/>
      <c r="X438" s="13"/>
      <c r="AP438" s="14"/>
      <c r="AQ438" s="14"/>
      <c r="AR438" s="14"/>
    </row>
    <row r="439" ht="15.75" customHeight="1">
      <c r="B439" s="137"/>
      <c r="P439" s="13"/>
      <c r="R439" s="13"/>
      <c r="T439" s="13"/>
      <c r="V439" s="13"/>
      <c r="X439" s="13"/>
      <c r="AP439" s="14"/>
      <c r="AQ439" s="14"/>
      <c r="AR439" s="14"/>
    </row>
    <row r="440" ht="15.75" customHeight="1">
      <c r="B440" s="137"/>
      <c r="P440" s="13"/>
      <c r="R440" s="13"/>
      <c r="T440" s="13"/>
      <c r="V440" s="13"/>
      <c r="X440" s="13"/>
      <c r="AP440" s="14"/>
      <c r="AQ440" s="14"/>
      <c r="AR440" s="14"/>
    </row>
    <row r="441" ht="15.75" customHeight="1">
      <c r="B441" s="137"/>
      <c r="P441" s="13"/>
      <c r="R441" s="13"/>
      <c r="T441" s="13"/>
      <c r="V441" s="13"/>
      <c r="X441" s="13"/>
      <c r="AP441" s="14"/>
      <c r="AQ441" s="14"/>
      <c r="AR441" s="14"/>
    </row>
    <row r="442" ht="15.75" customHeight="1">
      <c r="B442" s="137"/>
      <c r="P442" s="13"/>
      <c r="R442" s="13"/>
      <c r="T442" s="13"/>
      <c r="V442" s="13"/>
      <c r="X442" s="13"/>
      <c r="AP442" s="14"/>
      <c r="AQ442" s="14"/>
      <c r="AR442" s="14"/>
    </row>
    <row r="443" ht="15.75" customHeight="1">
      <c r="B443" s="137"/>
      <c r="P443" s="13"/>
      <c r="R443" s="13"/>
      <c r="T443" s="13"/>
      <c r="V443" s="13"/>
      <c r="X443" s="13"/>
      <c r="AP443" s="14"/>
      <c r="AQ443" s="14"/>
      <c r="AR443" s="14"/>
    </row>
    <row r="444" ht="15.75" customHeight="1">
      <c r="B444" s="137"/>
      <c r="P444" s="13"/>
      <c r="R444" s="13"/>
      <c r="T444" s="13"/>
      <c r="V444" s="13"/>
      <c r="X444" s="13"/>
      <c r="AP444" s="14"/>
      <c r="AQ444" s="14"/>
      <c r="AR444" s="14"/>
    </row>
    <row r="445" ht="15.75" customHeight="1">
      <c r="B445" s="137"/>
      <c r="P445" s="13"/>
      <c r="R445" s="13"/>
      <c r="T445" s="13"/>
      <c r="V445" s="13"/>
      <c r="X445" s="13"/>
      <c r="AP445" s="14"/>
      <c r="AQ445" s="14"/>
      <c r="AR445" s="14"/>
    </row>
    <row r="446" ht="15.75" customHeight="1">
      <c r="B446" s="137"/>
      <c r="P446" s="13"/>
      <c r="R446" s="13"/>
      <c r="T446" s="13"/>
      <c r="V446" s="13"/>
      <c r="X446" s="13"/>
      <c r="AP446" s="14"/>
      <c r="AQ446" s="14"/>
      <c r="AR446" s="14"/>
    </row>
    <row r="447" ht="15.75" customHeight="1">
      <c r="B447" s="137"/>
      <c r="P447" s="13"/>
      <c r="R447" s="13"/>
      <c r="T447" s="13"/>
      <c r="V447" s="13"/>
      <c r="X447" s="13"/>
      <c r="AP447" s="14"/>
      <c r="AQ447" s="14"/>
      <c r="AR447" s="14"/>
    </row>
    <row r="448" ht="15.75" customHeight="1">
      <c r="B448" s="137"/>
      <c r="P448" s="13"/>
      <c r="R448" s="13"/>
      <c r="T448" s="13"/>
      <c r="V448" s="13"/>
      <c r="X448" s="13"/>
      <c r="AP448" s="14"/>
      <c r="AQ448" s="14"/>
      <c r="AR448" s="14"/>
    </row>
    <row r="449" ht="15.75" customHeight="1">
      <c r="B449" s="137"/>
      <c r="P449" s="13"/>
      <c r="R449" s="13"/>
      <c r="T449" s="13"/>
      <c r="V449" s="13"/>
      <c r="X449" s="13"/>
      <c r="AP449" s="14"/>
      <c r="AQ449" s="14"/>
      <c r="AR449" s="14"/>
    </row>
    <row r="450" ht="15.75" customHeight="1">
      <c r="B450" s="137"/>
      <c r="P450" s="13"/>
      <c r="R450" s="13"/>
      <c r="T450" s="13"/>
      <c r="V450" s="13"/>
      <c r="X450" s="13"/>
      <c r="AP450" s="14"/>
      <c r="AQ450" s="14"/>
      <c r="AR450" s="14"/>
    </row>
    <row r="451" ht="15.75" customHeight="1">
      <c r="B451" s="137"/>
      <c r="P451" s="13"/>
      <c r="R451" s="13"/>
      <c r="T451" s="13"/>
      <c r="V451" s="13"/>
      <c r="X451" s="13"/>
      <c r="AP451" s="14"/>
      <c r="AQ451" s="14"/>
      <c r="AR451" s="14"/>
    </row>
    <row r="452" ht="15.75" customHeight="1">
      <c r="B452" s="137"/>
      <c r="P452" s="13"/>
      <c r="R452" s="13"/>
      <c r="T452" s="13"/>
      <c r="V452" s="13"/>
      <c r="X452" s="13"/>
      <c r="AP452" s="14"/>
      <c r="AQ452" s="14"/>
      <c r="AR452" s="14"/>
    </row>
    <row r="453" ht="15.75" customHeight="1">
      <c r="B453" s="137"/>
      <c r="P453" s="13"/>
      <c r="R453" s="13"/>
      <c r="T453" s="13"/>
      <c r="V453" s="13"/>
      <c r="X453" s="13"/>
      <c r="AP453" s="14"/>
      <c r="AQ453" s="14"/>
      <c r="AR453" s="14"/>
    </row>
    <row r="454" ht="15.75" customHeight="1">
      <c r="B454" s="137"/>
      <c r="P454" s="13"/>
      <c r="R454" s="13"/>
      <c r="T454" s="13"/>
      <c r="V454" s="13"/>
      <c r="X454" s="13"/>
      <c r="AP454" s="14"/>
      <c r="AQ454" s="14"/>
      <c r="AR454" s="14"/>
    </row>
    <row r="455" ht="15.75" customHeight="1">
      <c r="B455" s="137"/>
      <c r="P455" s="13"/>
      <c r="R455" s="13"/>
      <c r="T455" s="13"/>
      <c r="V455" s="13"/>
      <c r="X455" s="13"/>
      <c r="AP455" s="14"/>
      <c r="AQ455" s="14"/>
      <c r="AR455" s="14"/>
    </row>
    <row r="456" ht="15.75" customHeight="1">
      <c r="B456" s="137"/>
      <c r="P456" s="13"/>
      <c r="R456" s="13"/>
      <c r="T456" s="13"/>
      <c r="V456" s="13"/>
      <c r="X456" s="13"/>
      <c r="AP456" s="14"/>
      <c r="AQ456" s="14"/>
      <c r="AR456" s="14"/>
    </row>
    <row r="457" ht="15.75" customHeight="1">
      <c r="B457" s="137"/>
      <c r="P457" s="13"/>
      <c r="R457" s="13"/>
      <c r="T457" s="13"/>
      <c r="V457" s="13"/>
      <c r="X457" s="13"/>
      <c r="AP457" s="14"/>
      <c r="AQ457" s="14"/>
      <c r="AR457" s="14"/>
    </row>
    <row r="458" ht="15.75" customHeight="1">
      <c r="B458" s="137"/>
      <c r="P458" s="13"/>
      <c r="R458" s="13"/>
      <c r="T458" s="13"/>
      <c r="V458" s="13"/>
      <c r="X458" s="13"/>
      <c r="AP458" s="14"/>
      <c r="AQ458" s="14"/>
      <c r="AR458" s="14"/>
    </row>
    <row r="459" ht="15.75" customHeight="1">
      <c r="B459" s="137"/>
      <c r="P459" s="13"/>
      <c r="R459" s="13"/>
      <c r="T459" s="13"/>
      <c r="V459" s="13"/>
      <c r="X459" s="13"/>
      <c r="AP459" s="14"/>
      <c r="AQ459" s="14"/>
      <c r="AR459" s="14"/>
    </row>
    <row r="460" ht="15.75" customHeight="1">
      <c r="B460" s="137"/>
      <c r="P460" s="13"/>
      <c r="R460" s="13"/>
      <c r="T460" s="13"/>
      <c r="V460" s="13"/>
      <c r="X460" s="13"/>
      <c r="AP460" s="14"/>
      <c r="AQ460" s="14"/>
      <c r="AR460" s="14"/>
    </row>
    <row r="461" ht="15.75" customHeight="1">
      <c r="B461" s="137"/>
      <c r="P461" s="13"/>
      <c r="R461" s="13"/>
      <c r="T461" s="13"/>
      <c r="V461" s="13"/>
      <c r="X461" s="13"/>
      <c r="AP461" s="14"/>
      <c r="AQ461" s="14"/>
      <c r="AR461" s="14"/>
    </row>
    <row r="462" ht="15.75" customHeight="1">
      <c r="B462" s="137"/>
      <c r="P462" s="13"/>
      <c r="R462" s="13"/>
      <c r="T462" s="13"/>
      <c r="V462" s="13"/>
      <c r="X462" s="13"/>
      <c r="AP462" s="14"/>
      <c r="AQ462" s="14"/>
      <c r="AR462" s="14"/>
    </row>
    <row r="463" ht="15.75" customHeight="1">
      <c r="B463" s="137"/>
      <c r="P463" s="13"/>
      <c r="R463" s="13"/>
      <c r="T463" s="13"/>
      <c r="V463" s="13"/>
      <c r="X463" s="13"/>
      <c r="AP463" s="14"/>
      <c r="AQ463" s="14"/>
      <c r="AR463" s="14"/>
    </row>
    <row r="464" ht="15.75" customHeight="1">
      <c r="B464" s="137"/>
      <c r="P464" s="13"/>
      <c r="R464" s="13"/>
      <c r="T464" s="13"/>
      <c r="V464" s="13"/>
      <c r="X464" s="13"/>
      <c r="AP464" s="14"/>
      <c r="AQ464" s="14"/>
      <c r="AR464" s="14"/>
    </row>
    <row r="465" ht="15.75" customHeight="1">
      <c r="B465" s="137"/>
      <c r="P465" s="13"/>
      <c r="R465" s="13"/>
      <c r="T465" s="13"/>
      <c r="V465" s="13"/>
      <c r="X465" s="13"/>
      <c r="AP465" s="14"/>
      <c r="AQ465" s="14"/>
      <c r="AR465" s="14"/>
    </row>
    <row r="466" ht="15.75" customHeight="1">
      <c r="B466" s="137"/>
      <c r="P466" s="13"/>
      <c r="R466" s="13"/>
      <c r="T466" s="13"/>
      <c r="V466" s="13"/>
      <c r="X466" s="13"/>
      <c r="AP466" s="14"/>
      <c r="AQ466" s="14"/>
      <c r="AR466" s="14"/>
    </row>
    <row r="467" ht="15.75" customHeight="1">
      <c r="B467" s="137"/>
      <c r="P467" s="13"/>
      <c r="R467" s="13"/>
      <c r="T467" s="13"/>
      <c r="V467" s="13"/>
      <c r="X467" s="13"/>
      <c r="AP467" s="14"/>
      <c r="AQ467" s="14"/>
      <c r="AR467" s="14"/>
    </row>
    <row r="468" ht="15.75" customHeight="1">
      <c r="B468" s="137"/>
      <c r="P468" s="13"/>
      <c r="R468" s="13"/>
      <c r="T468" s="13"/>
      <c r="V468" s="13"/>
      <c r="X468" s="13"/>
      <c r="AP468" s="14"/>
      <c r="AQ468" s="14"/>
      <c r="AR468" s="14"/>
    </row>
    <row r="469" ht="15.75" customHeight="1">
      <c r="B469" s="137"/>
      <c r="P469" s="13"/>
      <c r="R469" s="13"/>
      <c r="T469" s="13"/>
      <c r="V469" s="13"/>
      <c r="X469" s="13"/>
      <c r="AP469" s="14"/>
      <c r="AQ469" s="14"/>
      <c r="AR469" s="14"/>
    </row>
    <row r="470" ht="15.75" customHeight="1">
      <c r="B470" s="137"/>
      <c r="P470" s="13"/>
      <c r="R470" s="13"/>
      <c r="T470" s="13"/>
      <c r="V470" s="13"/>
      <c r="X470" s="13"/>
      <c r="AP470" s="14"/>
      <c r="AQ470" s="14"/>
      <c r="AR470" s="14"/>
    </row>
    <row r="471" ht="15.75" customHeight="1">
      <c r="B471" s="137"/>
      <c r="P471" s="13"/>
      <c r="R471" s="13"/>
      <c r="T471" s="13"/>
      <c r="V471" s="13"/>
      <c r="X471" s="13"/>
      <c r="AP471" s="14"/>
      <c r="AQ471" s="14"/>
      <c r="AR471" s="14"/>
    </row>
    <row r="472" ht="15.75" customHeight="1">
      <c r="B472" s="137"/>
      <c r="P472" s="13"/>
      <c r="R472" s="13"/>
      <c r="T472" s="13"/>
      <c r="V472" s="13"/>
      <c r="X472" s="13"/>
      <c r="AP472" s="14"/>
      <c r="AQ472" s="14"/>
      <c r="AR472" s="14"/>
    </row>
    <row r="473" ht="15.75" customHeight="1">
      <c r="B473" s="137"/>
      <c r="P473" s="13"/>
      <c r="R473" s="13"/>
      <c r="T473" s="13"/>
      <c r="V473" s="13"/>
      <c r="X473" s="13"/>
      <c r="AP473" s="14"/>
      <c r="AQ473" s="14"/>
      <c r="AR473" s="14"/>
    </row>
    <row r="474" ht="15.75" customHeight="1">
      <c r="B474" s="137"/>
      <c r="P474" s="13"/>
      <c r="R474" s="13"/>
      <c r="T474" s="13"/>
      <c r="V474" s="13"/>
      <c r="X474" s="13"/>
      <c r="AP474" s="14"/>
      <c r="AQ474" s="14"/>
      <c r="AR474" s="14"/>
    </row>
    <row r="475" ht="15.75" customHeight="1">
      <c r="B475" s="137"/>
      <c r="P475" s="13"/>
      <c r="R475" s="13"/>
      <c r="T475" s="13"/>
      <c r="V475" s="13"/>
      <c r="X475" s="13"/>
      <c r="AP475" s="14"/>
      <c r="AQ475" s="14"/>
      <c r="AR475" s="14"/>
    </row>
    <row r="476" ht="15.75" customHeight="1">
      <c r="B476" s="137"/>
      <c r="P476" s="13"/>
      <c r="R476" s="13"/>
      <c r="T476" s="13"/>
      <c r="V476" s="13"/>
      <c r="X476" s="13"/>
      <c r="AP476" s="14"/>
      <c r="AQ476" s="14"/>
      <c r="AR476" s="14"/>
    </row>
    <row r="477" ht="15.75" customHeight="1">
      <c r="B477" s="137"/>
      <c r="P477" s="13"/>
      <c r="R477" s="13"/>
      <c r="T477" s="13"/>
      <c r="V477" s="13"/>
      <c r="X477" s="13"/>
      <c r="AP477" s="14"/>
      <c r="AQ477" s="14"/>
      <c r="AR477" s="14"/>
    </row>
    <row r="478" ht="15.75" customHeight="1">
      <c r="B478" s="137"/>
      <c r="P478" s="13"/>
      <c r="R478" s="13"/>
      <c r="T478" s="13"/>
      <c r="V478" s="13"/>
      <c r="X478" s="13"/>
      <c r="AP478" s="14"/>
      <c r="AQ478" s="14"/>
      <c r="AR478" s="14"/>
    </row>
    <row r="479" ht="15.75" customHeight="1">
      <c r="B479" s="137"/>
      <c r="P479" s="13"/>
      <c r="R479" s="13"/>
      <c r="T479" s="13"/>
      <c r="V479" s="13"/>
      <c r="X479" s="13"/>
      <c r="AP479" s="14"/>
      <c r="AQ479" s="14"/>
      <c r="AR479" s="14"/>
    </row>
    <row r="480" ht="15.75" customHeight="1">
      <c r="B480" s="137"/>
      <c r="P480" s="13"/>
      <c r="R480" s="13"/>
      <c r="T480" s="13"/>
      <c r="V480" s="13"/>
      <c r="X480" s="13"/>
      <c r="AP480" s="14"/>
      <c r="AQ480" s="14"/>
      <c r="AR480" s="14"/>
    </row>
    <row r="481" ht="15.75" customHeight="1">
      <c r="B481" s="137"/>
      <c r="P481" s="13"/>
      <c r="R481" s="13"/>
      <c r="T481" s="13"/>
      <c r="V481" s="13"/>
      <c r="X481" s="13"/>
      <c r="AP481" s="14"/>
      <c r="AQ481" s="14"/>
      <c r="AR481" s="14"/>
    </row>
    <row r="482" ht="15.75" customHeight="1">
      <c r="B482" s="137"/>
      <c r="P482" s="13"/>
      <c r="R482" s="13"/>
      <c r="T482" s="13"/>
      <c r="V482" s="13"/>
      <c r="X482" s="13"/>
      <c r="AP482" s="14"/>
      <c r="AQ482" s="14"/>
      <c r="AR482" s="14"/>
    </row>
    <row r="483" ht="15.75" customHeight="1">
      <c r="B483" s="137"/>
      <c r="P483" s="13"/>
      <c r="R483" s="13"/>
      <c r="T483" s="13"/>
      <c r="V483" s="13"/>
      <c r="X483" s="13"/>
      <c r="AP483" s="14"/>
      <c r="AQ483" s="14"/>
      <c r="AR483" s="14"/>
    </row>
    <row r="484" ht="15.75" customHeight="1">
      <c r="B484" s="137"/>
      <c r="P484" s="13"/>
      <c r="R484" s="13"/>
      <c r="T484" s="13"/>
      <c r="V484" s="13"/>
      <c r="X484" s="13"/>
      <c r="AP484" s="14"/>
      <c r="AQ484" s="14"/>
      <c r="AR484" s="14"/>
    </row>
    <row r="485" ht="15.75" customHeight="1">
      <c r="B485" s="137"/>
      <c r="P485" s="13"/>
      <c r="R485" s="13"/>
      <c r="T485" s="13"/>
      <c r="V485" s="13"/>
      <c r="X485" s="13"/>
      <c r="AP485" s="14"/>
      <c r="AQ485" s="14"/>
      <c r="AR485" s="14"/>
    </row>
    <row r="486" ht="15.75" customHeight="1">
      <c r="B486" s="137"/>
      <c r="P486" s="13"/>
      <c r="R486" s="13"/>
      <c r="T486" s="13"/>
      <c r="V486" s="13"/>
      <c r="X486" s="13"/>
      <c r="AP486" s="14"/>
      <c r="AQ486" s="14"/>
      <c r="AR486" s="14"/>
    </row>
    <row r="487" ht="15.75" customHeight="1">
      <c r="B487" s="137"/>
      <c r="P487" s="13"/>
      <c r="R487" s="13"/>
      <c r="T487" s="13"/>
      <c r="V487" s="13"/>
      <c r="X487" s="13"/>
      <c r="AP487" s="14"/>
      <c r="AQ487" s="14"/>
      <c r="AR487" s="14"/>
    </row>
    <row r="488" ht="15.75" customHeight="1">
      <c r="B488" s="137"/>
      <c r="P488" s="13"/>
      <c r="R488" s="13"/>
      <c r="T488" s="13"/>
      <c r="V488" s="13"/>
      <c r="X488" s="13"/>
      <c r="AP488" s="14"/>
      <c r="AQ488" s="14"/>
      <c r="AR488" s="14"/>
    </row>
    <row r="489" ht="15.75" customHeight="1">
      <c r="B489" s="137"/>
      <c r="P489" s="13"/>
      <c r="R489" s="13"/>
      <c r="T489" s="13"/>
      <c r="V489" s="13"/>
      <c r="X489" s="13"/>
      <c r="AP489" s="14"/>
      <c r="AQ489" s="14"/>
      <c r="AR489" s="14"/>
    </row>
    <row r="490" ht="15.75" customHeight="1">
      <c r="B490" s="137"/>
      <c r="P490" s="13"/>
      <c r="R490" s="13"/>
      <c r="T490" s="13"/>
      <c r="V490" s="13"/>
      <c r="X490" s="13"/>
      <c r="AP490" s="14"/>
      <c r="AQ490" s="14"/>
      <c r="AR490" s="14"/>
    </row>
    <row r="491" ht="15.75" customHeight="1">
      <c r="B491" s="137"/>
      <c r="P491" s="13"/>
      <c r="R491" s="13"/>
      <c r="T491" s="13"/>
      <c r="V491" s="13"/>
      <c r="X491" s="13"/>
      <c r="AP491" s="14"/>
      <c r="AQ491" s="14"/>
      <c r="AR491" s="14"/>
    </row>
    <row r="492" ht="15.75" customHeight="1">
      <c r="B492" s="137"/>
      <c r="P492" s="13"/>
      <c r="R492" s="13"/>
      <c r="T492" s="13"/>
      <c r="V492" s="13"/>
      <c r="X492" s="13"/>
      <c r="AP492" s="14"/>
      <c r="AQ492" s="14"/>
      <c r="AR492" s="14"/>
    </row>
    <row r="493" ht="15.75" customHeight="1">
      <c r="B493" s="137"/>
      <c r="P493" s="13"/>
      <c r="R493" s="13"/>
      <c r="T493" s="13"/>
      <c r="V493" s="13"/>
      <c r="X493" s="13"/>
      <c r="AP493" s="14"/>
      <c r="AQ493" s="14"/>
      <c r="AR493" s="14"/>
    </row>
    <row r="494" ht="15.75" customHeight="1">
      <c r="B494" s="137"/>
      <c r="P494" s="13"/>
      <c r="R494" s="13"/>
      <c r="T494" s="13"/>
      <c r="V494" s="13"/>
      <c r="X494" s="13"/>
      <c r="AP494" s="14"/>
      <c r="AQ494" s="14"/>
      <c r="AR494" s="14"/>
    </row>
    <row r="495" ht="15.75" customHeight="1">
      <c r="B495" s="137"/>
      <c r="P495" s="13"/>
      <c r="R495" s="13"/>
      <c r="T495" s="13"/>
      <c r="V495" s="13"/>
      <c r="X495" s="13"/>
      <c r="AP495" s="14"/>
      <c r="AQ495" s="14"/>
      <c r="AR495" s="14"/>
    </row>
    <row r="496" ht="15.75" customHeight="1">
      <c r="B496" s="137"/>
      <c r="P496" s="13"/>
      <c r="R496" s="13"/>
      <c r="T496" s="13"/>
      <c r="V496" s="13"/>
      <c r="X496" s="13"/>
      <c r="AP496" s="14"/>
      <c r="AQ496" s="14"/>
      <c r="AR496" s="14"/>
    </row>
    <row r="497" ht="15.75" customHeight="1">
      <c r="B497" s="137"/>
      <c r="P497" s="13"/>
      <c r="R497" s="13"/>
      <c r="T497" s="13"/>
      <c r="V497" s="13"/>
      <c r="X497" s="13"/>
      <c r="AP497" s="14"/>
      <c r="AQ497" s="14"/>
      <c r="AR497" s="14"/>
    </row>
    <row r="498" ht="15.75" customHeight="1">
      <c r="B498" s="137"/>
      <c r="P498" s="13"/>
      <c r="R498" s="13"/>
      <c r="T498" s="13"/>
      <c r="V498" s="13"/>
      <c r="X498" s="13"/>
      <c r="AP498" s="14"/>
      <c r="AQ498" s="14"/>
      <c r="AR498" s="14"/>
    </row>
    <row r="499" ht="15.75" customHeight="1">
      <c r="B499" s="137"/>
      <c r="P499" s="13"/>
      <c r="R499" s="13"/>
      <c r="T499" s="13"/>
      <c r="V499" s="13"/>
      <c r="X499" s="13"/>
      <c r="AP499" s="14"/>
      <c r="AQ499" s="14"/>
      <c r="AR499" s="14"/>
    </row>
    <row r="500" ht="15.75" customHeight="1">
      <c r="B500" s="137"/>
      <c r="P500" s="13"/>
      <c r="R500" s="13"/>
      <c r="T500" s="13"/>
      <c r="V500" s="13"/>
      <c r="X500" s="13"/>
      <c r="AP500" s="14"/>
      <c r="AQ500" s="14"/>
      <c r="AR500" s="14"/>
    </row>
    <row r="501" ht="15.75" customHeight="1">
      <c r="B501" s="137"/>
      <c r="P501" s="13"/>
      <c r="R501" s="13"/>
      <c r="T501" s="13"/>
      <c r="V501" s="13"/>
      <c r="X501" s="13"/>
      <c r="AP501" s="14"/>
      <c r="AQ501" s="14"/>
      <c r="AR501" s="14"/>
    </row>
    <row r="502" ht="15.75" customHeight="1">
      <c r="B502" s="137"/>
      <c r="P502" s="13"/>
      <c r="R502" s="13"/>
      <c r="T502" s="13"/>
      <c r="V502" s="13"/>
      <c r="X502" s="13"/>
      <c r="AP502" s="14"/>
      <c r="AQ502" s="14"/>
      <c r="AR502" s="14"/>
    </row>
    <row r="503" ht="15.75" customHeight="1">
      <c r="B503" s="137"/>
      <c r="P503" s="13"/>
      <c r="R503" s="13"/>
      <c r="T503" s="13"/>
      <c r="V503" s="13"/>
      <c r="X503" s="13"/>
      <c r="AP503" s="14"/>
      <c r="AQ503" s="14"/>
      <c r="AR503" s="14"/>
    </row>
    <row r="504" ht="15.75" customHeight="1">
      <c r="B504" s="137"/>
      <c r="P504" s="13"/>
      <c r="R504" s="13"/>
      <c r="T504" s="13"/>
      <c r="V504" s="13"/>
      <c r="X504" s="13"/>
      <c r="AP504" s="14"/>
      <c r="AQ504" s="14"/>
      <c r="AR504" s="14"/>
    </row>
    <row r="505" ht="15.75" customHeight="1">
      <c r="B505" s="137"/>
      <c r="P505" s="13"/>
      <c r="R505" s="13"/>
      <c r="T505" s="13"/>
      <c r="V505" s="13"/>
      <c r="X505" s="13"/>
      <c r="AP505" s="14"/>
      <c r="AQ505" s="14"/>
      <c r="AR505" s="14"/>
    </row>
    <row r="506" ht="15.75" customHeight="1">
      <c r="B506" s="137"/>
      <c r="P506" s="13"/>
      <c r="R506" s="13"/>
      <c r="T506" s="13"/>
      <c r="V506" s="13"/>
      <c r="X506" s="13"/>
      <c r="AP506" s="14"/>
      <c r="AQ506" s="14"/>
      <c r="AR506" s="14"/>
    </row>
    <row r="507" ht="15.75" customHeight="1">
      <c r="B507" s="137"/>
      <c r="P507" s="13"/>
      <c r="R507" s="13"/>
      <c r="T507" s="13"/>
      <c r="V507" s="13"/>
      <c r="X507" s="13"/>
      <c r="AP507" s="14"/>
      <c r="AQ507" s="14"/>
      <c r="AR507" s="14"/>
    </row>
    <row r="508" ht="15.75" customHeight="1">
      <c r="B508" s="137"/>
      <c r="P508" s="13"/>
      <c r="R508" s="13"/>
      <c r="T508" s="13"/>
      <c r="V508" s="13"/>
      <c r="X508" s="13"/>
      <c r="AP508" s="14"/>
      <c r="AQ508" s="14"/>
      <c r="AR508" s="14"/>
    </row>
    <row r="509" ht="15.75" customHeight="1">
      <c r="B509" s="137"/>
      <c r="P509" s="13"/>
      <c r="R509" s="13"/>
      <c r="T509" s="13"/>
      <c r="V509" s="13"/>
      <c r="X509" s="13"/>
      <c r="AP509" s="14"/>
      <c r="AQ509" s="14"/>
      <c r="AR509" s="14"/>
    </row>
    <row r="510" ht="15.75" customHeight="1">
      <c r="B510" s="137"/>
      <c r="P510" s="13"/>
      <c r="R510" s="13"/>
      <c r="T510" s="13"/>
      <c r="V510" s="13"/>
      <c r="X510" s="13"/>
      <c r="AP510" s="14"/>
      <c r="AQ510" s="14"/>
      <c r="AR510" s="14"/>
    </row>
    <row r="511" ht="15.75" customHeight="1">
      <c r="B511" s="137"/>
      <c r="P511" s="13"/>
      <c r="R511" s="13"/>
      <c r="T511" s="13"/>
      <c r="V511" s="13"/>
      <c r="X511" s="13"/>
      <c r="AP511" s="14"/>
      <c r="AQ511" s="14"/>
      <c r="AR511" s="14"/>
    </row>
    <row r="512" ht="15.75" customHeight="1">
      <c r="B512" s="137"/>
      <c r="P512" s="13"/>
      <c r="R512" s="13"/>
      <c r="T512" s="13"/>
      <c r="V512" s="13"/>
      <c r="X512" s="13"/>
      <c r="AP512" s="14"/>
      <c r="AQ512" s="14"/>
      <c r="AR512" s="14"/>
    </row>
    <row r="513" ht="15.75" customHeight="1">
      <c r="B513" s="137"/>
      <c r="P513" s="13"/>
      <c r="R513" s="13"/>
      <c r="T513" s="13"/>
      <c r="V513" s="13"/>
      <c r="X513" s="13"/>
      <c r="AP513" s="14"/>
      <c r="AQ513" s="14"/>
      <c r="AR513" s="14"/>
    </row>
    <row r="514" ht="15.75" customHeight="1">
      <c r="B514" s="137"/>
      <c r="P514" s="13"/>
      <c r="R514" s="13"/>
      <c r="T514" s="13"/>
      <c r="V514" s="13"/>
      <c r="X514" s="13"/>
      <c r="AP514" s="14"/>
      <c r="AQ514" s="14"/>
      <c r="AR514" s="14"/>
    </row>
    <row r="515" ht="15.75" customHeight="1">
      <c r="B515" s="137"/>
      <c r="P515" s="13"/>
      <c r="R515" s="13"/>
      <c r="T515" s="13"/>
      <c r="V515" s="13"/>
      <c r="X515" s="13"/>
      <c r="AP515" s="14"/>
      <c r="AQ515" s="14"/>
      <c r="AR515" s="14"/>
    </row>
    <row r="516" ht="15.75" customHeight="1">
      <c r="B516" s="137"/>
      <c r="P516" s="13"/>
      <c r="R516" s="13"/>
      <c r="T516" s="13"/>
      <c r="V516" s="13"/>
      <c r="X516" s="13"/>
      <c r="AP516" s="14"/>
      <c r="AQ516" s="14"/>
      <c r="AR516" s="14"/>
    </row>
    <row r="517" ht="15.75" customHeight="1">
      <c r="B517" s="137"/>
      <c r="P517" s="13"/>
      <c r="R517" s="13"/>
      <c r="T517" s="13"/>
      <c r="V517" s="13"/>
      <c r="X517" s="13"/>
      <c r="AP517" s="14"/>
      <c r="AQ517" s="14"/>
      <c r="AR517" s="14"/>
    </row>
    <row r="518" ht="15.75" customHeight="1">
      <c r="B518" s="137"/>
      <c r="P518" s="13"/>
      <c r="R518" s="13"/>
      <c r="T518" s="13"/>
      <c r="V518" s="13"/>
      <c r="X518" s="13"/>
      <c r="AP518" s="14"/>
      <c r="AQ518" s="14"/>
      <c r="AR518" s="14"/>
    </row>
    <row r="519" ht="15.75" customHeight="1">
      <c r="B519" s="137"/>
      <c r="P519" s="13"/>
      <c r="R519" s="13"/>
      <c r="T519" s="13"/>
      <c r="V519" s="13"/>
      <c r="X519" s="13"/>
      <c r="AP519" s="14"/>
      <c r="AQ519" s="14"/>
      <c r="AR519" s="14"/>
    </row>
    <row r="520" ht="15.75" customHeight="1">
      <c r="B520" s="137"/>
      <c r="P520" s="13"/>
      <c r="R520" s="13"/>
      <c r="T520" s="13"/>
      <c r="V520" s="13"/>
      <c r="X520" s="13"/>
      <c r="AP520" s="14"/>
      <c r="AQ520" s="14"/>
      <c r="AR520" s="14"/>
    </row>
    <row r="521" ht="15.75" customHeight="1">
      <c r="B521" s="137"/>
      <c r="P521" s="13"/>
      <c r="R521" s="13"/>
      <c r="T521" s="13"/>
      <c r="V521" s="13"/>
      <c r="X521" s="13"/>
      <c r="AP521" s="14"/>
      <c r="AQ521" s="14"/>
      <c r="AR521" s="14"/>
    </row>
    <row r="522" ht="15.75" customHeight="1">
      <c r="B522" s="137"/>
      <c r="P522" s="13"/>
      <c r="R522" s="13"/>
      <c r="T522" s="13"/>
      <c r="V522" s="13"/>
      <c r="X522" s="13"/>
      <c r="AP522" s="14"/>
      <c r="AQ522" s="14"/>
      <c r="AR522" s="14"/>
    </row>
    <row r="523" ht="15.75" customHeight="1">
      <c r="B523" s="137"/>
      <c r="P523" s="13"/>
      <c r="R523" s="13"/>
      <c r="T523" s="13"/>
      <c r="V523" s="13"/>
      <c r="X523" s="13"/>
      <c r="AP523" s="14"/>
      <c r="AQ523" s="14"/>
      <c r="AR523" s="14"/>
    </row>
    <row r="524" ht="15.75" customHeight="1">
      <c r="B524" s="137"/>
      <c r="P524" s="13"/>
      <c r="R524" s="13"/>
      <c r="T524" s="13"/>
      <c r="V524" s="13"/>
      <c r="X524" s="13"/>
      <c r="AP524" s="14"/>
      <c r="AQ524" s="14"/>
      <c r="AR524" s="14"/>
    </row>
    <row r="525" ht="15.75" customHeight="1">
      <c r="B525" s="137"/>
      <c r="P525" s="13"/>
      <c r="R525" s="13"/>
      <c r="T525" s="13"/>
      <c r="V525" s="13"/>
      <c r="X525" s="13"/>
      <c r="AP525" s="14"/>
      <c r="AQ525" s="14"/>
      <c r="AR525" s="14"/>
    </row>
    <row r="526" ht="15.75" customHeight="1">
      <c r="B526" s="137"/>
      <c r="P526" s="13"/>
      <c r="R526" s="13"/>
      <c r="T526" s="13"/>
      <c r="V526" s="13"/>
      <c r="X526" s="13"/>
      <c r="AP526" s="14"/>
      <c r="AQ526" s="14"/>
      <c r="AR526" s="14"/>
    </row>
    <row r="527" ht="15.75" customHeight="1">
      <c r="B527" s="137"/>
      <c r="P527" s="13"/>
      <c r="R527" s="13"/>
      <c r="T527" s="13"/>
      <c r="V527" s="13"/>
      <c r="X527" s="13"/>
      <c r="AP527" s="14"/>
      <c r="AQ527" s="14"/>
      <c r="AR527" s="14"/>
    </row>
    <row r="528" ht="15.75" customHeight="1">
      <c r="B528" s="137"/>
      <c r="P528" s="13"/>
      <c r="R528" s="13"/>
      <c r="T528" s="13"/>
      <c r="V528" s="13"/>
      <c r="X528" s="13"/>
      <c r="AP528" s="14"/>
      <c r="AQ528" s="14"/>
      <c r="AR528" s="14"/>
    </row>
    <row r="529" ht="15.75" customHeight="1">
      <c r="B529" s="137"/>
      <c r="P529" s="13"/>
      <c r="R529" s="13"/>
      <c r="T529" s="13"/>
      <c r="V529" s="13"/>
      <c r="X529" s="13"/>
      <c r="AP529" s="14"/>
      <c r="AQ529" s="14"/>
      <c r="AR529" s="14"/>
    </row>
    <row r="530" ht="15.75" customHeight="1">
      <c r="B530" s="137"/>
      <c r="P530" s="13"/>
      <c r="R530" s="13"/>
      <c r="T530" s="13"/>
      <c r="V530" s="13"/>
      <c r="X530" s="13"/>
      <c r="AP530" s="14"/>
      <c r="AQ530" s="14"/>
      <c r="AR530" s="14"/>
    </row>
    <row r="531" ht="15.75" customHeight="1">
      <c r="B531" s="137"/>
      <c r="P531" s="13"/>
      <c r="R531" s="13"/>
      <c r="T531" s="13"/>
      <c r="V531" s="13"/>
      <c r="X531" s="13"/>
      <c r="AP531" s="14"/>
      <c r="AQ531" s="14"/>
      <c r="AR531" s="14"/>
    </row>
    <row r="532" ht="15.75" customHeight="1">
      <c r="B532" s="137"/>
      <c r="P532" s="13"/>
      <c r="R532" s="13"/>
      <c r="T532" s="13"/>
      <c r="V532" s="13"/>
      <c r="X532" s="13"/>
      <c r="AP532" s="14"/>
      <c r="AQ532" s="14"/>
      <c r="AR532" s="14"/>
    </row>
    <row r="533" ht="15.75" customHeight="1">
      <c r="B533" s="137"/>
      <c r="P533" s="13"/>
      <c r="R533" s="13"/>
      <c r="T533" s="13"/>
      <c r="V533" s="13"/>
      <c r="X533" s="13"/>
      <c r="AP533" s="14"/>
      <c r="AQ533" s="14"/>
      <c r="AR533" s="14"/>
    </row>
    <row r="534" ht="15.75" customHeight="1">
      <c r="B534" s="137"/>
      <c r="P534" s="13"/>
      <c r="R534" s="13"/>
      <c r="T534" s="13"/>
      <c r="V534" s="13"/>
      <c r="X534" s="13"/>
      <c r="AP534" s="14"/>
      <c r="AQ534" s="14"/>
      <c r="AR534" s="14"/>
    </row>
    <row r="535" ht="15.75" customHeight="1">
      <c r="B535" s="137"/>
      <c r="P535" s="13"/>
      <c r="R535" s="13"/>
      <c r="T535" s="13"/>
      <c r="V535" s="13"/>
      <c r="X535" s="13"/>
      <c r="AP535" s="14"/>
      <c r="AQ535" s="14"/>
      <c r="AR535" s="14"/>
    </row>
    <row r="536" ht="15.75" customHeight="1">
      <c r="B536" s="137"/>
      <c r="P536" s="13"/>
      <c r="R536" s="13"/>
      <c r="T536" s="13"/>
      <c r="V536" s="13"/>
      <c r="X536" s="13"/>
      <c r="AP536" s="14"/>
      <c r="AQ536" s="14"/>
      <c r="AR536" s="14"/>
    </row>
    <row r="537" ht="15.75" customHeight="1">
      <c r="B537" s="137"/>
      <c r="P537" s="13"/>
      <c r="R537" s="13"/>
      <c r="T537" s="13"/>
      <c r="V537" s="13"/>
      <c r="X537" s="13"/>
      <c r="AP537" s="14"/>
      <c r="AQ537" s="14"/>
      <c r="AR537" s="14"/>
    </row>
    <row r="538" ht="15.75" customHeight="1">
      <c r="B538" s="137"/>
      <c r="P538" s="13"/>
      <c r="R538" s="13"/>
      <c r="T538" s="13"/>
      <c r="V538" s="13"/>
      <c r="X538" s="13"/>
      <c r="AP538" s="14"/>
      <c r="AQ538" s="14"/>
      <c r="AR538" s="14"/>
    </row>
    <row r="539" ht="15.75" customHeight="1">
      <c r="B539" s="137"/>
      <c r="P539" s="13"/>
      <c r="R539" s="13"/>
      <c r="T539" s="13"/>
      <c r="V539" s="13"/>
      <c r="X539" s="13"/>
      <c r="AP539" s="14"/>
      <c r="AQ539" s="14"/>
      <c r="AR539" s="14"/>
    </row>
    <row r="540" ht="15.75" customHeight="1">
      <c r="B540" s="137"/>
      <c r="P540" s="13"/>
      <c r="R540" s="13"/>
      <c r="T540" s="13"/>
      <c r="V540" s="13"/>
      <c r="X540" s="13"/>
      <c r="AP540" s="14"/>
      <c r="AQ540" s="14"/>
      <c r="AR540" s="14"/>
    </row>
    <row r="541" ht="15.75" customHeight="1">
      <c r="B541" s="137"/>
      <c r="P541" s="13"/>
      <c r="R541" s="13"/>
      <c r="T541" s="13"/>
      <c r="V541" s="13"/>
      <c r="X541" s="13"/>
      <c r="AP541" s="14"/>
      <c r="AQ541" s="14"/>
      <c r="AR541" s="14"/>
    </row>
    <row r="542" ht="15.75" customHeight="1">
      <c r="B542" s="137"/>
      <c r="P542" s="13"/>
      <c r="R542" s="13"/>
      <c r="T542" s="13"/>
      <c r="V542" s="13"/>
      <c r="X542" s="13"/>
      <c r="AP542" s="14"/>
      <c r="AQ542" s="14"/>
      <c r="AR542" s="14"/>
    </row>
    <row r="543" ht="15.75" customHeight="1">
      <c r="B543" s="137"/>
      <c r="P543" s="13"/>
      <c r="R543" s="13"/>
      <c r="T543" s="13"/>
      <c r="V543" s="13"/>
      <c r="X543" s="13"/>
      <c r="AP543" s="14"/>
      <c r="AQ543" s="14"/>
      <c r="AR543" s="14"/>
    </row>
    <row r="544" ht="15.75" customHeight="1">
      <c r="B544" s="137"/>
      <c r="P544" s="13"/>
      <c r="R544" s="13"/>
      <c r="T544" s="13"/>
      <c r="V544" s="13"/>
      <c r="X544" s="13"/>
      <c r="AP544" s="14"/>
      <c r="AQ544" s="14"/>
      <c r="AR544" s="14"/>
    </row>
    <row r="545" ht="15.75" customHeight="1">
      <c r="B545" s="137"/>
      <c r="P545" s="13"/>
      <c r="R545" s="13"/>
      <c r="T545" s="13"/>
      <c r="V545" s="13"/>
      <c r="X545" s="13"/>
      <c r="AP545" s="14"/>
      <c r="AQ545" s="14"/>
      <c r="AR545" s="14"/>
    </row>
    <row r="546" ht="15.75" customHeight="1">
      <c r="B546" s="137"/>
      <c r="P546" s="13"/>
      <c r="R546" s="13"/>
      <c r="T546" s="13"/>
      <c r="V546" s="13"/>
      <c r="X546" s="13"/>
      <c r="AP546" s="14"/>
      <c r="AQ546" s="14"/>
      <c r="AR546" s="14"/>
    </row>
    <row r="547" ht="15.75" customHeight="1">
      <c r="B547" s="137"/>
      <c r="P547" s="13"/>
      <c r="R547" s="13"/>
      <c r="T547" s="13"/>
      <c r="V547" s="13"/>
      <c r="X547" s="13"/>
      <c r="AP547" s="14"/>
      <c r="AQ547" s="14"/>
      <c r="AR547" s="14"/>
    </row>
    <row r="548" ht="15.75" customHeight="1">
      <c r="B548" s="137"/>
      <c r="P548" s="13"/>
      <c r="R548" s="13"/>
      <c r="T548" s="13"/>
      <c r="V548" s="13"/>
      <c r="X548" s="13"/>
      <c r="AP548" s="14"/>
      <c r="AQ548" s="14"/>
      <c r="AR548" s="14"/>
    </row>
    <row r="549" ht="15.75" customHeight="1">
      <c r="B549" s="137"/>
      <c r="P549" s="13"/>
      <c r="R549" s="13"/>
      <c r="T549" s="13"/>
      <c r="V549" s="13"/>
      <c r="X549" s="13"/>
      <c r="AP549" s="14"/>
      <c r="AQ549" s="14"/>
      <c r="AR549" s="14"/>
    </row>
    <row r="550" ht="15.75" customHeight="1">
      <c r="B550" s="137"/>
      <c r="P550" s="13"/>
      <c r="R550" s="13"/>
      <c r="T550" s="13"/>
      <c r="V550" s="13"/>
      <c r="X550" s="13"/>
      <c r="AP550" s="14"/>
      <c r="AQ550" s="14"/>
      <c r="AR550" s="14"/>
    </row>
    <row r="551" ht="15.75" customHeight="1">
      <c r="B551" s="137"/>
      <c r="P551" s="13"/>
      <c r="R551" s="13"/>
      <c r="T551" s="13"/>
      <c r="V551" s="13"/>
      <c r="X551" s="13"/>
      <c r="AP551" s="14"/>
      <c r="AQ551" s="14"/>
      <c r="AR551" s="14"/>
    </row>
    <row r="552" ht="15.75" customHeight="1">
      <c r="B552" s="137"/>
      <c r="P552" s="13"/>
      <c r="R552" s="13"/>
      <c r="T552" s="13"/>
      <c r="V552" s="13"/>
      <c r="X552" s="13"/>
      <c r="AP552" s="14"/>
      <c r="AQ552" s="14"/>
      <c r="AR552" s="14"/>
    </row>
    <row r="553" ht="15.75" customHeight="1">
      <c r="B553" s="137"/>
      <c r="P553" s="13"/>
      <c r="R553" s="13"/>
      <c r="T553" s="13"/>
      <c r="V553" s="13"/>
      <c r="X553" s="13"/>
      <c r="AP553" s="14"/>
      <c r="AQ553" s="14"/>
      <c r="AR553" s="14"/>
    </row>
    <row r="554" ht="15.75" customHeight="1">
      <c r="B554" s="137"/>
      <c r="P554" s="13"/>
      <c r="R554" s="13"/>
      <c r="T554" s="13"/>
      <c r="V554" s="13"/>
      <c r="X554" s="13"/>
      <c r="AP554" s="14"/>
      <c r="AQ554" s="14"/>
      <c r="AR554" s="14"/>
    </row>
    <row r="555" ht="15.75" customHeight="1">
      <c r="B555" s="137"/>
      <c r="P555" s="13"/>
      <c r="R555" s="13"/>
      <c r="T555" s="13"/>
      <c r="V555" s="13"/>
      <c r="X555" s="13"/>
      <c r="AP555" s="14"/>
      <c r="AQ555" s="14"/>
      <c r="AR555" s="14"/>
    </row>
    <row r="556" ht="15.75" customHeight="1">
      <c r="B556" s="137"/>
      <c r="P556" s="13"/>
      <c r="R556" s="13"/>
      <c r="T556" s="13"/>
      <c r="V556" s="13"/>
      <c r="X556" s="13"/>
      <c r="AP556" s="14"/>
      <c r="AQ556" s="14"/>
      <c r="AR556" s="14"/>
    </row>
    <row r="557" ht="15.75" customHeight="1">
      <c r="B557" s="137"/>
      <c r="P557" s="13"/>
      <c r="R557" s="13"/>
      <c r="T557" s="13"/>
      <c r="V557" s="13"/>
      <c r="X557" s="13"/>
      <c r="AP557" s="14"/>
      <c r="AQ557" s="14"/>
      <c r="AR557" s="14"/>
    </row>
    <row r="558" ht="15.75" customHeight="1">
      <c r="B558" s="137"/>
      <c r="P558" s="13"/>
      <c r="R558" s="13"/>
      <c r="T558" s="13"/>
      <c r="V558" s="13"/>
      <c r="X558" s="13"/>
      <c r="AP558" s="14"/>
      <c r="AQ558" s="14"/>
      <c r="AR558" s="14"/>
    </row>
    <row r="559" ht="15.75" customHeight="1">
      <c r="B559" s="137"/>
      <c r="P559" s="13"/>
      <c r="R559" s="13"/>
      <c r="T559" s="13"/>
      <c r="V559" s="13"/>
      <c r="X559" s="13"/>
      <c r="AP559" s="14"/>
      <c r="AQ559" s="14"/>
      <c r="AR559" s="14"/>
    </row>
    <row r="560" ht="15.75" customHeight="1">
      <c r="B560" s="137"/>
      <c r="P560" s="13"/>
      <c r="R560" s="13"/>
      <c r="T560" s="13"/>
      <c r="V560" s="13"/>
      <c r="X560" s="13"/>
      <c r="AP560" s="14"/>
      <c r="AQ560" s="14"/>
      <c r="AR560" s="14"/>
    </row>
    <row r="561" ht="15.75" customHeight="1">
      <c r="B561" s="137"/>
      <c r="P561" s="13"/>
      <c r="R561" s="13"/>
      <c r="T561" s="13"/>
      <c r="V561" s="13"/>
      <c r="X561" s="13"/>
      <c r="AP561" s="14"/>
      <c r="AQ561" s="14"/>
      <c r="AR561" s="14"/>
    </row>
    <row r="562" ht="15.75" customHeight="1">
      <c r="B562" s="137"/>
      <c r="P562" s="13"/>
      <c r="R562" s="13"/>
      <c r="T562" s="13"/>
      <c r="V562" s="13"/>
      <c r="X562" s="13"/>
      <c r="AP562" s="14"/>
      <c r="AQ562" s="14"/>
      <c r="AR562" s="14"/>
    </row>
    <row r="563" ht="15.75" customHeight="1">
      <c r="B563" s="137"/>
      <c r="P563" s="13"/>
      <c r="R563" s="13"/>
      <c r="T563" s="13"/>
      <c r="V563" s="13"/>
      <c r="X563" s="13"/>
      <c r="AP563" s="14"/>
      <c r="AQ563" s="14"/>
      <c r="AR563" s="14"/>
    </row>
    <row r="564" ht="15.75" customHeight="1">
      <c r="B564" s="137"/>
      <c r="P564" s="13"/>
      <c r="R564" s="13"/>
      <c r="T564" s="13"/>
      <c r="V564" s="13"/>
      <c r="X564" s="13"/>
      <c r="AP564" s="14"/>
      <c r="AQ564" s="14"/>
      <c r="AR564" s="14"/>
    </row>
    <row r="565" ht="15.75" customHeight="1">
      <c r="B565" s="137"/>
      <c r="P565" s="13"/>
      <c r="R565" s="13"/>
      <c r="T565" s="13"/>
      <c r="V565" s="13"/>
      <c r="X565" s="13"/>
      <c r="AP565" s="14"/>
      <c r="AQ565" s="14"/>
      <c r="AR565" s="14"/>
    </row>
    <row r="566" ht="15.75" customHeight="1">
      <c r="B566" s="137"/>
      <c r="P566" s="13"/>
      <c r="R566" s="13"/>
      <c r="T566" s="13"/>
      <c r="V566" s="13"/>
      <c r="X566" s="13"/>
      <c r="AP566" s="14"/>
      <c r="AQ566" s="14"/>
      <c r="AR566" s="14"/>
    </row>
    <row r="567" ht="15.75" customHeight="1">
      <c r="B567" s="137"/>
      <c r="P567" s="13"/>
      <c r="R567" s="13"/>
      <c r="T567" s="13"/>
      <c r="V567" s="13"/>
      <c r="X567" s="13"/>
      <c r="AP567" s="14"/>
      <c r="AQ567" s="14"/>
      <c r="AR567" s="14"/>
    </row>
    <row r="568" ht="15.75" customHeight="1">
      <c r="B568" s="137"/>
      <c r="P568" s="13"/>
      <c r="R568" s="13"/>
      <c r="T568" s="13"/>
      <c r="V568" s="13"/>
      <c r="X568" s="13"/>
      <c r="AP568" s="14"/>
      <c r="AQ568" s="14"/>
      <c r="AR568" s="14"/>
    </row>
    <row r="569" ht="15.75" customHeight="1">
      <c r="B569" s="137"/>
      <c r="P569" s="13"/>
      <c r="R569" s="13"/>
      <c r="T569" s="13"/>
      <c r="V569" s="13"/>
      <c r="X569" s="13"/>
      <c r="AP569" s="14"/>
      <c r="AQ569" s="14"/>
      <c r="AR569" s="14"/>
    </row>
    <row r="570" ht="15.75" customHeight="1">
      <c r="B570" s="137"/>
      <c r="P570" s="13"/>
      <c r="R570" s="13"/>
      <c r="T570" s="13"/>
      <c r="V570" s="13"/>
      <c r="X570" s="13"/>
      <c r="AP570" s="14"/>
      <c r="AQ570" s="14"/>
      <c r="AR570" s="14"/>
    </row>
    <row r="571" ht="15.75" customHeight="1">
      <c r="B571" s="137"/>
      <c r="P571" s="13"/>
      <c r="R571" s="13"/>
      <c r="T571" s="13"/>
      <c r="V571" s="13"/>
      <c r="X571" s="13"/>
      <c r="AP571" s="14"/>
      <c r="AQ571" s="14"/>
      <c r="AR571" s="14"/>
    </row>
    <row r="572" ht="15.75" customHeight="1">
      <c r="B572" s="137"/>
      <c r="P572" s="13"/>
      <c r="R572" s="13"/>
      <c r="T572" s="13"/>
      <c r="V572" s="13"/>
      <c r="X572" s="13"/>
      <c r="AP572" s="14"/>
      <c r="AQ572" s="14"/>
      <c r="AR572" s="14"/>
    </row>
    <row r="573" ht="15.75" customHeight="1">
      <c r="B573" s="137"/>
      <c r="P573" s="13"/>
      <c r="R573" s="13"/>
      <c r="T573" s="13"/>
      <c r="V573" s="13"/>
      <c r="X573" s="13"/>
      <c r="AP573" s="14"/>
      <c r="AQ573" s="14"/>
      <c r="AR573" s="14"/>
    </row>
    <row r="574" ht="15.75" customHeight="1">
      <c r="B574" s="137"/>
      <c r="P574" s="13"/>
      <c r="R574" s="13"/>
      <c r="T574" s="13"/>
      <c r="V574" s="13"/>
      <c r="X574" s="13"/>
      <c r="AP574" s="14"/>
      <c r="AQ574" s="14"/>
      <c r="AR574" s="14"/>
    </row>
    <row r="575" ht="15.75" customHeight="1">
      <c r="B575" s="137"/>
      <c r="P575" s="13"/>
      <c r="R575" s="13"/>
      <c r="T575" s="13"/>
      <c r="V575" s="13"/>
      <c r="X575" s="13"/>
      <c r="AP575" s="14"/>
      <c r="AQ575" s="14"/>
      <c r="AR575" s="14"/>
    </row>
    <row r="576" ht="15.75" customHeight="1">
      <c r="B576" s="137"/>
      <c r="P576" s="13"/>
      <c r="R576" s="13"/>
      <c r="T576" s="13"/>
      <c r="V576" s="13"/>
      <c r="X576" s="13"/>
      <c r="AP576" s="14"/>
      <c r="AQ576" s="14"/>
      <c r="AR576" s="14"/>
    </row>
    <row r="577" ht="15.75" customHeight="1">
      <c r="B577" s="137"/>
      <c r="P577" s="13"/>
      <c r="R577" s="13"/>
      <c r="T577" s="13"/>
      <c r="V577" s="13"/>
      <c r="X577" s="13"/>
      <c r="AP577" s="14"/>
      <c r="AQ577" s="14"/>
      <c r="AR577" s="14"/>
    </row>
    <row r="578" ht="15.75" customHeight="1">
      <c r="B578" s="137"/>
      <c r="P578" s="13"/>
      <c r="R578" s="13"/>
      <c r="T578" s="13"/>
      <c r="V578" s="13"/>
      <c r="X578" s="13"/>
      <c r="AP578" s="14"/>
      <c r="AQ578" s="14"/>
      <c r="AR578" s="14"/>
    </row>
    <row r="579" ht="15.75" customHeight="1">
      <c r="B579" s="137"/>
      <c r="P579" s="13"/>
      <c r="R579" s="13"/>
      <c r="T579" s="13"/>
      <c r="V579" s="13"/>
      <c r="X579" s="13"/>
      <c r="AP579" s="14"/>
      <c r="AQ579" s="14"/>
      <c r="AR579" s="14"/>
    </row>
    <row r="580" ht="15.75" customHeight="1">
      <c r="B580" s="137"/>
      <c r="P580" s="13"/>
      <c r="R580" s="13"/>
      <c r="T580" s="13"/>
      <c r="V580" s="13"/>
      <c r="X580" s="13"/>
      <c r="AP580" s="14"/>
      <c r="AQ580" s="14"/>
      <c r="AR580" s="14"/>
    </row>
    <row r="581" ht="15.75" customHeight="1">
      <c r="B581" s="137"/>
      <c r="P581" s="13"/>
      <c r="R581" s="13"/>
      <c r="T581" s="13"/>
      <c r="V581" s="13"/>
      <c r="X581" s="13"/>
      <c r="AP581" s="14"/>
      <c r="AQ581" s="14"/>
      <c r="AR581" s="14"/>
    </row>
    <row r="582" ht="15.75" customHeight="1">
      <c r="B582" s="137"/>
      <c r="P582" s="13"/>
      <c r="R582" s="13"/>
      <c r="T582" s="13"/>
      <c r="V582" s="13"/>
      <c r="X582" s="13"/>
      <c r="AP582" s="14"/>
      <c r="AQ582" s="14"/>
      <c r="AR582" s="14"/>
    </row>
    <row r="583" ht="15.75" customHeight="1">
      <c r="B583" s="137"/>
      <c r="P583" s="13"/>
      <c r="R583" s="13"/>
      <c r="T583" s="13"/>
      <c r="V583" s="13"/>
      <c r="X583" s="13"/>
      <c r="AP583" s="14"/>
      <c r="AQ583" s="14"/>
      <c r="AR583" s="14"/>
    </row>
    <row r="584" ht="15.75" customHeight="1">
      <c r="B584" s="137"/>
      <c r="P584" s="13"/>
      <c r="R584" s="13"/>
      <c r="T584" s="13"/>
      <c r="V584" s="13"/>
      <c r="X584" s="13"/>
      <c r="AP584" s="14"/>
      <c r="AQ584" s="14"/>
      <c r="AR584" s="14"/>
    </row>
    <row r="585" ht="15.75" customHeight="1">
      <c r="B585" s="137"/>
      <c r="P585" s="13"/>
      <c r="R585" s="13"/>
      <c r="T585" s="13"/>
      <c r="V585" s="13"/>
      <c r="X585" s="13"/>
      <c r="AP585" s="14"/>
      <c r="AQ585" s="14"/>
      <c r="AR585" s="14"/>
    </row>
    <row r="586" ht="15.75" customHeight="1">
      <c r="B586" s="137"/>
      <c r="P586" s="13"/>
      <c r="R586" s="13"/>
      <c r="T586" s="13"/>
      <c r="V586" s="13"/>
      <c r="X586" s="13"/>
      <c r="AP586" s="14"/>
      <c r="AQ586" s="14"/>
      <c r="AR586" s="14"/>
    </row>
    <row r="587" ht="15.75" customHeight="1">
      <c r="B587" s="137"/>
      <c r="P587" s="13"/>
      <c r="R587" s="13"/>
      <c r="T587" s="13"/>
      <c r="V587" s="13"/>
      <c r="X587" s="13"/>
      <c r="AP587" s="14"/>
      <c r="AQ587" s="14"/>
      <c r="AR587" s="14"/>
    </row>
    <row r="588" ht="15.75" customHeight="1">
      <c r="B588" s="137"/>
      <c r="P588" s="13"/>
      <c r="R588" s="13"/>
      <c r="T588" s="13"/>
      <c r="V588" s="13"/>
      <c r="X588" s="13"/>
      <c r="AP588" s="14"/>
      <c r="AQ588" s="14"/>
      <c r="AR588" s="14"/>
    </row>
    <row r="589" ht="15.75" customHeight="1">
      <c r="B589" s="137"/>
      <c r="P589" s="13"/>
      <c r="R589" s="13"/>
      <c r="T589" s="13"/>
      <c r="V589" s="13"/>
      <c r="X589" s="13"/>
      <c r="AP589" s="14"/>
      <c r="AQ589" s="14"/>
      <c r="AR589" s="14"/>
    </row>
    <row r="590" ht="15.75" customHeight="1">
      <c r="B590" s="137"/>
      <c r="P590" s="13"/>
      <c r="R590" s="13"/>
      <c r="T590" s="13"/>
      <c r="V590" s="13"/>
      <c r="X590" s="13"/>
      <c r="AP590" s="14"/>
      <c r="AQ590" s="14"/>
      <c r="AR590" s="14"/>
    </row>
    <row r="591" ht="15.75" customHeight="1">
      <c r="B591" s="137"/>
      <c r="P591" s="13"/>
      <c r="R591" s="13"/>
      <c r="T591" s="13"/>
      <c r="V591" s="13"/>
      <c r="X591" s="13"/>
      <c r="AP591" s="14"/>
      <c r="AQ591" s="14"/>
      <c r="AR591" s="14"/>
    </row>
    <row r="592" ht="15.75" customHeight="1">
      <c r="B592" s="137"/>
      <c r="P592" s="13"/>
      <c r="R592" s="13"/>
      <c r="T592" s="13"/>
      <c r="V592" s="13"/>
      <c r="X592" s="13"/>
      <c r="AP592" s="14"/>
      <c r="AQ592" s="14"/>
      <c r="AR592" s="14"/>
    </row>
    <row r="593" ht="15.75" customHeight="1">
      <c r="B593" s="137"/>
      <c r="P593" s="13"/>
      <c r="R593" s="13"/>
      <c r="T593" s="13"/>
      <c r="V593" s="13"/>
      <c r="X593" s="13"/>
      <c r="AP593" s="14"/>
      <c r="AQ593" s="14"/>
      <c r="AR593" s="14"/>
    </row>
    <row r="594" ht="15.75" customHeight="1">
      <c r="B594" s="137"/>
      <c r="P594" s="13"/>
      <c r="R594" s="13"/>
      <c r="T594" s="13"/>
      <c r="V594" s="13"/>
      <c r="X594" s="13"/>
      <c r="AP594" s="14"/>
      <c r="AQ594" s="14"/>
      <c r="AR594" s="14"/>
    </row>
    <row r="595" ht="15.75" customHeight="1">
      <c r="B595" s="137"/>
      <c r="P595" s="13"/>
      <c r="R595" s="13"/>
      <c r="T595" s="13"/>
      <c r="V595" s="13"/>
      <c r="X595" s="13"/>
      <c r="AP595" s="14"/>
      <c r="AQ595" s="14"/>
      <c r="AR595" s="14"/>
    </row>
    <row r="596" ht="15.75" customHeight="1">
      <c r="B596" s="137"/>
      <c r="P596" s="13"/>
      <c r="R596" s="13"/>
      <c r="T596" s="13"/>
      <c r="V596" s="13"/>
      <c r="X596" s="13"/>
      <c r="AP596" s="14"/>
      <c r="AQ596" s="14"/>
      <c r="AR596" s="14"/>
    </row>
    <row r="597" ht="15.75" customHeight="1">
      <c r="B597" s="137"/>
      <c r="P597" s="13"/>
      <c r="R597" s="13"/>
      <c r="T597" s="13"/>
      <c r="V597" s="13"/>
      <c r="X597" s="13"/>
      <c r="AP597" s="14"/>
      <c r="AQ597" s="14"/>
      <c r="AR597" s="14"/>
    </row>
    <row r="598" ht="15.75" customHeight="1">
      <c r="B598" s="137"/>
      <c r="P598" s="13"/>
      <c r="R598" s="13"/>
      <c r="T598" s="13"/>
      <c r="V598" s="13"/>
      <c r="X598" s="13"/>
      <c r="AP598" s="14"/>
      <c r="AQ598" s="14"/>
      <c r="AR598" s="14"/>
    </row>
    <row r="599" ht="15.75" customHeight="1">
      <c r="B599" s="137"/>
      <c r="P599" s="13"/>
      <c r="R599" s="13"/>
      <c r="T599" s="13"/>
      <c r="V599" s="13"/>
      <c r="X599" s="13"/>
      <c r="AP599" s="14"/>
      <c r="AQ599" s="14"/>
      <c r="AR599" s="14"/>
    </row>
    <row r="600" ht="15.75" customHeight="1">
      <c r="B600" s="137"/>
      <c r="P600" s="13"/>
      <c r="R600" s="13"/>
      <c r="T600" s="13"/>
      <c r="V600" s="13"/>
      <c r="X600" s="13"/>
      <c r="AP600" s="14"/>
      <c r="AQ600" s="14"/>
      <c r="AR600" s="14"/>
    </row>
    <row r="601" ht="15.75" customHeight="1">
      <c r="B601" s="137"/>
      <c r="P601" s="13"/>
      <c r="R601" s="13"/>
      <c r="T601" s="13"/>
      <c r="V601" s="13"/>
      <c r="X601" s="13"/>
      <c r="AP601" s="14"/>
      <c r="AQ601" s="14"/>
      <c r="AR601" s="14"/>
    </row>
    <row r="602" ht="15.75" customHeight="1">
      <c r="B602" s="137"/>
      <c r="P602" s="13"/>
      <c r="R602" s="13"/>
      <c r="T602" s="13"/>
      <c r="V602" s="13"/>
      <c r="X602" s="13"/>
      <c r="AP602" s="14"/>
      <c r="AQ602" s="14"/>
      <c r="AR602" s="14"/>
    </row>
    <row r="603" ht="15.75" customHeight="1">
      <c r="B603" s="137"/>
      <c r="P603" s="13"/>
      <c r="R603" s="13"/>
      <c r="T603" s="13"/>
      <c r="V603" s="13"/>
      <c r="X603" s="13"/>
      <c r="AP603" s="14"/>
      <c r="AQ603" s="14"/>
      <c r="AR603" s="14"/>
    </row>
    <row r="604" ht="15.75" customHeight="1">
      <c r="B604" s="137"/>
      <c r="P604" s="13"/>
      <c r="R604" s="13"/>
      <c r="T604" s="13"/>
      <c r="V604" s="13"/>
      <c r="X604" s="13"/>
      <c r="AP604" s="14"/>
      <c r="AQ604" s="14"/>
      <c r="AR604" s="14"/>
    </row>
    <row r="605" ht="15.75" customHeight="1">
      <c r="B605" s="137"/>
      <c r="P605" s="13"/>
      <c r="R605" s="13"/>
      <c r="T605" s="13"/>
      <c r="V605" s="13"/>
      <c r="X605" s="13"/>
      <c r="AP605" s="14"/>
      <c r="AQ605" s="14"/>
      <c r="AR605" s="14"/>
    </row>
    <row r="606" ht="15.75" customHeight="1">
      <c r="B606" s="137"/>
      <c r="P606" s="13"/>
      <c r="R606" s="13"/>
      <c r="T606" s="13"/>
      <c r="V606" s="13"/>
      <c r="X606" s="13"/>
      <c r="AP606" s="14"/>
      <c r="AQ606" s="14"/>
      <c r="AR606" s="14"/>
    </row>
    <row r="607" ht="15.75" customHeight="1">
      <c r="B607" s="137"/>
      <c r="P607" s="13"/>
      <c r="R607" s="13"/>
      <c r="T607" s="13"/>
      <c r="V607" s="13"/>
      <c r="X607" s="13"/>
      <c r="AP607" s="14"/>
      <c r="AQ607" s="14"/>
      <c r="AR607" s="14"/>
    </row>
    <row r="608" ht="15.75" customHeight="1">
      <c r="B608" s="137"/>
      <c r="P608" s="13"/>
      <c r="R608" s="13"/>
      <c r="T608" s="13"/>
      <c r="V608" s="13"/>
      <c r="X608" s="13"/>
      <c r="AP608" s="14"/>
      <c r="AQ608" s="14"/>
      <c r="AR608" s="14"/>
    </row>
    <row r="609" ht="15.75" customHeight="1">
      <c r="B609" s="137"/>
      <c r="P609" s="13"/>
      <c r="R609" s="13"/>
      <c r="T609" s="13"/>
      <c r="V609" s="13"/>
      <c r="X609" s="13"/>
      <c r="AP609" s="14"/>
      <c r="AQ609" s="14"/>
      <c r="AR609" s="14"/>
    </row>
    <row r="610" ht="15.75" customHeight="1">
      <c r="B610" s="137"/>
      <c r="P610" s="13"/>
      <c r="R610" s="13"/>
      <c r="T610" s="13"/>
      <c r="V610" s="13"/>
      <c r="X610" s="13"/>
      <c r="AP610" s="14"/>
      <c r="AQ610" s="14"/>
      <c r="AR610" s="14"/>
    </row>
    <row r="611" ht="15.75" customHeight="1">
      <c r="B611" s="137"/>
      <c r="P611" s="13"/>
      <c r="R611" s="13"/>
      <c r="T611" s="13"/>
      <c r="V611" s="13"/>
      <c r="X611" s="13"/>
      <c r="AP611" s="14"/>
      <c r="AQ611" s="14"/>
      <c r="AR611" s="14"/>
    </row>
    <row r="612" ht="15.75" customHeight="1">
      <c r="B612" s="137"/>
      <c r="P612" s="13"/>
      <c r="R612" s="13"/>
      <c r="T612" s="13"/>
      <c r="V612" s="13"/>
      <c r="X612" s="13"/>
      <c r="AP612" s="14"/>
      <c r="AQ612" s="14"/>
      <c r="AR612" s="14"/>
    </row>
    <row r="613" ht="15.75" customHeight="1">
      <c r="B613" s="137"/>
      <c r="P613" s="13"/>
      <c r="R613" s="13"/>
      <c r="T613" s="13"/>
      <c r="V613" s="13"/>
      <c r="X613" s="13"/>
      <c r="AP613" s="14"/>
      <c r="AQ613" s="14"/>
      <c r="AR613" s="14"/>
    </row>
    <row r="614" ht="15.75" customHeight="1">
      <c r="B614" s="137"/>
      <c r="P614" s="13"/>
      <c r="R614" s="13"/>
      <c r="T614" s="13"/>
      <c r="V614" s="13"/>
      <c r="X614" s="13"/>
      <c r="AP614" s="14"/>
      <c r="AQ614" s="14"/>
      <c r="AR614" s="14"/>
    </row>
    <row r="615" ht="15.75" customHeight="1">
      <c r="B615" s="137"/>
      <c r="P615" s="13"/>
      <c r="R615" s="13"/>
      <c r="T615" s="13"/>
      <c r="V615" s="13"/>
      <c r="X615" s="13"/>
      <c r="AP615" s="14"/>
      <c r="AQ615" s="14"/>
      <c r="AR615" s="14"/>
    </row>
    <row r="616" ht="15.75" customHeight="1">
      <c r="B616" s="137"/>
      <c r="P616" s="13"/>
      <c r="R616" s="13"/>
      <c r="T616" s="13"/>
      <c r="V616" s="13"/>
      <c r="X616" s="13"/>
      <c r="AP616" s="14"/>
      <c r="AQ616" s="14"/>
      <c r="AR616" s="14"/>
    </row>
    <row r="617" ht="15.75" customHeight="1">
      <c r="B617" s="137"/>
      <c r="P617" s="13"/>
      <c r="R617" s="13"/>
      <c r="T617" s="13"/>
      <c r="V617" s="13"/>
      <c r="X617" s="13"/>
      <c r="AP617" s="14"/>
      <c r="AQ617" s="14"/>
      <c r="AR617" s="14"/>
    </row>
    <row r="618" ht="15.75" customHeight="1">
      <c r="B618" s="137"/>
      <c r="P618" s="13"/>
      <c r="R618" s="13"/>
      <c r="T618" s="13"/>
      <c r="V618" s="13"/>
      <c r="X618" s="13"/>
      <c r="AP618" s="14"/>
      <c r="AQ618" s="14"/>
      <c r="AR618" s="14"/>
    </row>
    <row r="619" ht="15.75" customHeight="1">
      <c r="B619" s="137"/>
      <c r="P619" s="13"/>
      <c r="R619" s="13"/>
      <c r="T619" s="13"/>
      <c r="V619" s="13"/>
      <c r="X619" s="13"/>
      <c r="AP619" s="14"/>
      <c r="AQ619" s="14"/>
      <c r="AR619" s="14"/>
    </row>
    <row r="620" ht="15.75" customHeight="1">
      <c r="B620" s="137"/>
      <c r="P620" s="13"/>
      <c r="R620" s="13"/>
      <c r="T620" s="13"/>
      <c r="V620" s="13"/>
      <c r="X620" s="13"/>
      <c r="AP620" s="14"/>
      <c r="AQ620" s="14"/>
      <c r="AR620" s="14"/>
    </row>
    <row r="621" ht="15.75" customHeight="1">
      <c r="B621" s="137"/>
      <c r="P621" s="13"/>
      <c r="R621" s="13"/>
      <c r="T621" s="13"/>
      <c r="V621" s="13"/>
      <c r="X621" s="13"/>
      <c r="AP621" s="14"/>
      <c r="AQ621" s="14"/>
      <c r="AR621" s="14"/>
    </row>
    <row r="622" ht="15.75" customHeight="1">
      <c r="B622" s="137"/>
      <c r="P622" s="13"/>
      <c r="R622" s="13"/>
      <c r="T622" s="13"/>
      <c r="V622" s="13"/>
      <c r="X622" s="13"/>
      <c r="AP622" s="14"/>
      <c r="AQ622" s="14"/>
      <c r="AR622" s="14"/>
    </row>
    <row r="623" ht="15.75" customHeight="1">
      <c r="B623" s="137"/>
      <c r="P623" s="13"/>
      <c r="R623" s="13"/>
      <c r="T623" s="13"/>
      <c r="V623" s="13"/>
      <c r="X623" s="13"/>
      <c r="AP623" s="14"/>
      <c r="AQ623" s="14"/>
      <c r="AR623" s="14"/>
    </row>
    <row r="624" ht="15.75" customHeight="1">
      <c r="B624" s="137"/>
      <c r="P624" s="13"/>
      <c r="R624" s="13"/>
      <c r="T624" s="13"/>
      <c r="V624" s="13"/>
      <c r="X624" s="13"/>
      <c r="AP624" s="14"/>
      <c r="AQ624" s="14"/>
      <c r="AR624" s="14"/>
    </row>
    <row r="625" ht="15.75" customHeight="1">
      <c r="B625" s="137"/>
      <c r="P625" s="13"/>
      <c r="R625" s="13"/>
      <c r="T625" s="13"/>
      <c r="V625" s="13"/>
      <c r="X625" s="13"/>
      <c r="AP625" s="14"/>
      <c r="AQ625" s="14"/>
      <c r="AR625" s="14"/>
    </row>
    <row r="626" ht="15.75" customHeight="1">
      <c r="B626" s="137"/>
      <c r="P626" s="13"/>
      <c r="R626" s="13"/>
      <c r="T626" s="13"/>
      <c r="V626" s="13"/>
      <c r="X626" s="13"/>
      <c r="AP626" s="14"/>
      <c r="AQ626" s="14"/>
      <c r="AR626" s="14"/>
    </row>
    <row r="627" ht="15.75" customHeight="1">
      <c r="B627" s="137"/>
      <c r="P627" s="13"/>
      <c r="R627" s="13"/>
      <c r="T627" s="13"/>
      <c r="V627" s="13"/>
      <c r="X627" s="13"/>
      <c r="AP627" s="14"/>
      <c r="AQ627" s="14"/>
      <c r="AR627" s="14"/>
    </row>
    <row r="628" ht="15.75" customHeight="1">
      <c r="B628" s="137"/>
      <c r="P628" s="13"/>
      <c r="R628" s="13"/>
      <c r="T628" s="13"/>
      <c r="V628" s="13"/>
      <c r="X628" s="13"/>
      <c r="AP628" s="14"/>
      <c r="AQ628" s="14"/>
      <c r="AR628" s="14"/>
    </row>
    <row r="629" ht="15.75" customHeight="1">
      <c r="B629" s="137"/>
      <c r="P629" s="13"/>
      <c r="R629" s="13"/>
      <c r="T629" s="13"/>
      <c r="V629" s="13"/>
      <c r="X629" s="13"/>
      <c r="AP629" s="14"/>
      <c r="AQ629" s="14"/>
      <c r="AR629" s="14"/>
    </row>
    <row r="630" ht="15.75" customHeight="1">
      <c r="B630" s="137"/>
      <c r="P630" s="13"/>
      <c r="R630" s="13"/>
      <c r="T630" s="13"/>
      <c r="V630" s="13"/>
      <c r="X630" s="13"/>
      <c r="AP630" s="14"/>
      <c r="AQ630" s="14"/>
      <c r="AR630" s="14"/>
    </row>
    <row r="631" ht="15.75" customHeight="1">
      <c r="B631" s="137"/>
      <c r="P631" s="13"/>
      <c r="R631" s="13"/>
      <c r="T631" s="13"/>
      <c r="V631" s="13"/>
      <c r="X631" s="13"/>
      <c r="AP631" s="14"/>
      <c r="AQ631" s="14"/>
      <c r="AR631" s="14"/>
    </row>
    <row r="632" ht="15.75" customHeight="1">
      <c r="B632" s="137"/>
      <c r="P632" s="13"/>
      <c r="R632" s="13"/>
      <c r="T632" s="13"/>
      <c r="V632" s="13"/>
      <c r="X632" s="13"/>
      <c r="AP632" s="14"/>
      <c r="AQ632" s="14"/>
      <c r="AR632" s="14"/>
    </row>
    <row r="633" ht="15.75" customHeight="1">
      <c r="B633" s="137"/>
      <c r="P633" s="13"/>
      <c r="R633" s="13"/>
      <c r="T633" s="13"/>
      <c r="V633" s="13"/>
      <c r="X633" s="13"/>
      <c r="AP633" s="14"/>
      <c r="AQ633" s="14"/>
      <c r="AR633" s="14"/>
    </row>
    <row r="634" ht="15.75" customHeight="1">
      <c r="B634" s="137"/>
      <c r="P634" s="13"/>
      <c r="R634" s="13"/>
      <c r="T634" s="13"/>
      <c r="V634" s="13"/>
      <c r="X634" s="13"/>
      <c r="AP634" s="14"/>
      <c r="AQ634" s="14"/>
      <c r="AR634" s="14"/>
    </row>
    <row r="635" ht="15.75" customHeight="1">
      <c r="B635" s="137"/>
      <c r="P635" s="13"/>
      <c r="R635" s="13"/>
      <c r="T635" s="13"/>
      <c r="V635" s="13"/>
      <c r="X635" s="13"/>
      <c r="AP635" s="14"/>
      <c r="AQ635" s="14"/>
      <c r="AR635" s="14"/>
    </row>
    <row r="636" ht="15.75" customHeight="1">
      <c r="B636" s="137"/>
      <c r="P636" s="13"/>
      <c r="R636" s="13"/>
      <c r="T636" s="13"/>
      <c r="V636" s="13"/>
      <c r="X636" s="13"/>
      <c r="AP636" s="14"/>
      <c r="AQ636" s="14"/>
      <c r="AR636" s="14"/>
    </row>
    <row r="637" ht="15.75" customHeight="1">
      <c r="B637" s="137"/>
      <c r="P637" s="13"/>
      <c r="R637" s="13"/>
      <c r="T637" s="13"/>
      <c r="V637" s="13"/>
      <c r="X637" s="13"/>
      <c r="AP637" s="14"/>
      <c r="AQ637" s="14"/>
      <c r="AR637" s="14"/>
    </row>
    <row r="638" ht="15.75" customHeight="1">
      <c r="B638" s="137"/>
      <c r="P638" s="13"/>
      <c r="R638" s="13"/>
      <c r="T638" s="13"/>
      <c r="V638" s="13"/>
      <c r="X638" s="13"/>
      <c r="AP638" s="14"/>
      <c r="AQ638" s="14"/>
      <c r="AR638" s="14"/>
    </row>
    <row r="639" ht="15.75" customHeight="1">
      <c r="B639" s="137"/>
      <c r="P639" s="13"/>
      <c r="R639" s="13"/>
      <c r="T639" s="13"/>
      <c r="V639" s="13"/>
      <c r="X639" s="13"/>
      <c r="AP639" s="14"/>
      <c r="AQ639" s="14"/>
      <c r="AR639" s="14"/>
    </row>
    <row r="640" ht="15.75" customHeight="1">
      <c r="B640" s="137"/>
      <c r="P640" s="13"/>
      <c r="R640" s="13"/>
      <c r="T640" s="13"/>
      <c r="V640" s="13"/>
      <c r="X640" s="13"/>
      <c r="AP640" s="14"/>
      <c r="AQ640" s="14"/>
      <c r="AR640" s="14"/>
    </row>
    <row r="641" ht="15.75" customHeight="1">
      <c r="B641" s="137"/>
      <c r="P641" s="13"/>
      <c r="R641" s="13"/>
      <c r="T641" s="13"/>
      <c r="V641" s="13"/>
      <c r="X641" s="13"/>
      <c r="AP641" s="14"/>
      <c r="AQ641" s="14"/>
      <c r="AR641" s="14"/>
    </row>
    <row r="642" ht="15.75" customHeight="1">
      <c r="B642" s="137"/>
      <c r="P642" s="13"/>
      <c r="R642" s="13"/>
      <c r="T642" s="13"/>
      <c r="V642" s="13"/>
      <c r="X642" s="13"/>
      <c r="AP642" s="14"/>
      <c r="AQ642" s="14"/>
      <c r="AR642" s="14"/>
    </row>
    <row r="643" ht="15.75" customHeight="1">
      <c r="B643" s="137"/>
      <c r="P643" s="13"/>
      <c r="R643" s="13"/>
      <c r="T643" s="13"/>
      <c r="V643" s="13"/>
      <c r="X643" s="13"/>
      <c r="AP643" s="14"/>
      <c r="AQ643" s="14"/>
      <c r="AR643" s="14"/>
    </row>
    <row r="644" ht="15.75" customHeight="1">
      <c r="B644" s="137"/>
      <c r="P644" s="13"/>
      <c r="R644" s="13"/>
      <c r="T644" s="13"/>
      <c r="V644" s="13"/>
      <c r="X644" s="13"/>
      <c r="AP644" s="14"/>
      <c r="AQ644" s="14"/>
      <c r="AR644" s="14"/>
    </row>
    <row r="645" ht="15.75" customHeight="1">
      <c r="B645" s="137"/>
      <c r="P645" s="13"/>
      <c r="R645" s="13"/>
      <c r="T645" s="13"/>
      <c r="V645" s="13"/>
      <c r="X645" s="13"/>
      <c r="AP645" s="14"/>
      <c r="AQ645" s="14"/>
      <c r="AR645" s="14"/>
    </row>
    <row r="646" ht="15.75" customHeight="1">
      <c r="B646" s="137"/>
      <c r="P646" s="13"/>
      <c r="R646" s="13"/>
      <c r="T646" s="13"/>
      <c r="V646" s="13"/>
      <c r="X646" s="13"/>
      <c r="AP646" s="14"/>
      <c r="AQ646" s="14"/>
      <c r="AR646" s="14"/>
    </row>
    <row r="647" ht="15.75" customHeight="1">
      <c r="B647" s="137"/>
      <c r="P647" s="13"/>
      <c r="R647" s="13"/>
      <c r="T647" s="13"/>
      <c r="V647" s="13"/>
      <c r="X647" s="13"/>
      <c r="AP647" s="14"/>
      <c r="AQ647" s="14"/>
      <c r="AR647" s="14"/>
    </row>
    <row r="648" ht="15.75" customHeight="1">
      <c r="B648" s="137"/>
      <c r="P648" s="13"/>
      <c r="R648" s="13"/>
      <c r="T648" s="13"/>
      <c r="V648" s="13"/>
      <c r="X648" s="13"/>
      <c r="AP648" s="14"/>
      <c r="AQ648" s="14"/>
      <c r="AR648" s="14"/>
    </row>
    <row r="649" ht="15.75" customHeight="1">
      <c r="B649" s="137"/>
      <c r="P649" s="13"/>
      <c r="R649" s="13"/>
      <c r="T649" s="13"/>
      <c r="V649" s="13"/>
      <c r="X649" s="13"/>
      <c r="AP649" s="14"/>
      <c r="AQ649" s="14"/>
      <c r="AR649" s="14"/>
    </row>
    <row r="650" ht="15.75" customHeight="1">
      <c r="B650" s="137"/>
      <c r="P650" s="13"/>
      <c r="R650" s="13"/>
      <c r="T650" s="13"/>
      <c r="V650" s="13"/>
      <c r="X650" s="13"/>
      <c r="AP650" s="14"/>
      <c r="AQ650" s="14"/>
      <c r="AR650" s="14"/>
    </row>
    <row r="651" ht="15.75" customHeight="1">
      <c r="B651" s="137"/>
      <c r="P651" s="13"/>
      <c r="R651" s="13"/>
      <c r="T651" s="13"/>
      <c r="V651" s="13"/>
      <c r="X651" s="13"/>
      <c r="AP651" s="14"/>
      <c r="AQ651" s="14"/>
      <c r="AR651" s="14"/>
    </row>
    <row r="652" ht="15.75" customHeight="1">
      <c r="B652" s="137"/>
      <c r="P652" s="13"/>
      <c r="R652" s="13"/>
      <c r="T652" s="13"/>
      <c r="V652" s="13"/>
      <c r="X652" s="13"/>
      <c r="AP652" s="14"/>
      <c r="AQ652" s="14"/>
      <c r="AR652" s="14"/>
    </row>
    <row r="653" ht="15.75" customHeight="1">
      <c r="B653" s="137"/>
      <c r="P653" s="13"/>
      <c r="R653" s="13"/>
      <c r="T653" s="13"/>
      <c r="V653" s="13"/>
      <c r="X653" s="13"/>
      <c r="AP653" s="14"/>
      <c r="AQ653" s="14"/>
      <c r="AR653" s="14"/>
    </row>
    <row r="654" ht="15.75" customHeight="1">
      <c r="B654" s="137"/>
      <c r="P654" s="13"/>
      <c r="R654" s="13"/>
      <c r="T654" s="13"/>
      <c r="V654" s="13"/>
      <c r="X654" s="13"/>
      <c r="AP654" s="14"/>
      <c r="AQ654" s="14"/>
      <c r="AR654" s="14"/>
    </row>
    <row r="655" ht="15.75" customHeight="1">
      <c r="B655" s="137"/>
      <c r="P655" s="13"/>
      <c r="R655" s="13"/>
      <c r="T655" s="13"/>
      <c r="V655" s="13"/>
      <c r="X655" s="13"/>
      <c r="AP655" s="14"/>
      <c r="AQ655" s="14"/>
      <c r="AR655" s="14"/>
    </row>
    <row r="656" ht="15.75" customHeight="1">
      <c r="B656" s="137"/>
      <c r="P656" s="13"/>
      <c r="R656" s="13"/>
      <c r="T656" s="13"/>
      <c r="V656" s="13"/>
      <c r="X656" s="13"/>
      <c r="AP656" s="14"/>
      <c r="AQ656" s="14"/>
      <c r="AR656" s="14"/>
    </row>
    <row r="657" ht="15.75" customHeight="1">
      <c r="B657" s="137"/>
      <c r="P657" s="13"/>
      <c r="R657" s="13"/>
      <c r="T657" s="13"/>
      <c r="V657" s="13"/>
      <c r="X657" s="13"/>
      <c r="AP657" s="14"/>
      <c r="AQ657" s="14"/>
      <c r="AR657" s="14"/>
    </row>
    <row r="658" ht="15.75" customHeight="1">
      <c r="B658" s="137"/>
      <c r="P658" s="13"/>
      <c r="R658" s="13"/>
      <c r="T658" s="13"/>
      <c r="V658" s="13"/>
      <c r="X658" s="13"/>
      <c r="AP658" s="14"/>
      <c r="AQ658" s="14"/>
      <c r="AR658" s="14"/>
    </row>
    <row r="659" ht="15.75" customHeight="1">
      <c r="B659" s="137"/>
      <c r="P659" s="13"/>
      <c r="R659" s="13"/>
      <c r="T659" s="13"/>
      <c r="V659" s="13"/>
      <c r="X659" s="13"/>
      <c r="AP659" s="14"/>
      <c r="AQ659" s="14"/>
      <c r="AR659" s="14"/>
    </row>
    <row r="660" ht="15.75" customHeight="1">
      <c r="B660" s="137"/>
      <c r="P660" s="13"/>
      <c r="R660" s="13"/>
      <c r="T660" s="13"/>
      <c r="V660" s="13"/>
      <c r="X660" s="13"/>
      <c r="AP660" s="14"/>
      <c r="AQ660" s="14"/>
      <c r="AR660" s="14"/>
    </row>
    <row r="661" ht="15.75" customHeight="1">
      <c r="B661" s="137"/>
      <c r="P661" s="13"/>
      <c r="R661" s="13"/>
      <c r="T661" s="13"/>
      <c r="V661" s="13"/>
      <c r="X661" s="13"/>
      <c r="AP661" s="14"/>
      <c r="AQ661" s="14"/>
      <c r="AR661" s="14"/>
    </row>
    <row r="662" ht="15.75" customHeight="1">
      <c r="B662" s="137"/>
      <c r="P662" s="13"/>
      <c r="R662" s="13"/>
      <c r="T662" s="13"/>
      <c r="V662" s="13"/>
      <c r="X662" s="13"/>
      <c r="AP662" s="14"/>
      <c r="AQ662" s="14"/>
      <c r="AR662" s="14"/>
    </row>
    <row r="663" ht="15.75" customHeight="1">
      <c r="B663" s="137"/>
      <c r="P663" s="13"/>
      <c r="R663" s="13"/>
      <c r="T663" s="13"/>
      <c r="V663" s="13"/>
      <c r="X663" s="13"/>
      <c r="AP663" s="14"/>
      <c r="AQ663" s="14"/>
      <c r="AR663" s="14"/>
    </row>
    <row r="664" ht="15.75" customHeight="1">
      <c r="B664" s="137"/>
      <c r="P664" s="13"/>
      <c r="R664" s="13"/>
      <c r="T664" s="13"/>
      <c r="V664" s="13"/>
      <c r="X664" s="13"/>
      <c r="AP664" s="14"/>
      <c r="AQ664" s="14"/>
      <c r="AR664" s="14"/>
    </row>
    <row r="665" ht="15.75" customHeight="1">
      <c r="B665" s="137"/>
      <c r="P665" s="13"/>
      <c r="R665" s="13"/>
      <c r="T665" s="13"/>
      <c r="V665" s="13"/>
      <c r="X665" s="13"/>
      <c r="AP665" s="14"/>
      <c r="AQ665" s="14"/>
      <c r="AR665" s="14"/>
    </row>
    <row r="666" ht="15.75" customHeight="1">
      <c r="B666" s="137"/>
      <c r="P666" s="13"/>
      <c r="R666" s="13"/>
      <c r="T666" s="13"/>
      <c r="V666" s="13"/>
      <c r="X666" s="13"/>
      <c r="AP666" s="14"/>
      <c r="AQ666" s="14"/>
      <c r="AR666" s="14"/>
    </row>
    <row r="667" ht="15.75" customHeight="1">
      <c r="B667" s="137"/>
      <c r="P667" s="13"/>
      <c r="R667" s="13"/>
      <c r="T667" s="13"/>
      <c r="V667" s="13"/>
      <c r="X667" s="13"/>
      <c r="AP667" s="14"/>
      <c r="AQ667" s="14"/>
      <c r="AR667" s="14"/>
    </row>
    <row r="668" ht="15.75" customHeight="1">
      <c r="B668" s="137"/>
      <c r="P668" s="13"/>
      <c r="R668" s="13"/>
      <c r="T668" s="13"/>
      <c r="V668" s="13"/>
      <c r="X668" s="13"/>
      <c r="AP668" s="14"/>
      <c r="AQ668" s="14"/>
      <c r="AR668" s="14"/>
    </row>
    <row r="669" ht="15.75" customHeight="1">
      <c r="B669" s="137"/>
      <c r="P669" s="13"/>
      <c r="R669" s="13"/>
      <c r="T669" s="13"/>
      <c r="V669" s="13"/>
      <c r="X669" s="13"/>
      <c r="AP669" s="14"/>
      <c r="AQ669" s="14"/>
      <c r="AR669" s="14"/>
    </row>
    <row r="670" ht="15.75" customHeight="1">
      <c r="B670" s="137"/>
      <c r="P670" s="13"/>
      <c r="R670" s="13"/>
      <c r="T670" s="13"/>
      <c r="V670" s="13"/>
      <c r="X670" s="13"/>
      <c r="AP670" s="14"/>
      <c r="AQ670" s="14"/>
      <c r="AR670" s="14"/>
    </row>
    <row r="671" ht="15.75" customHeight="1">
      <c r="B671" s="137"/>
      <c r="P671" s="13"/>
      <c r="R671" s="13"/>
      <c r="T671" s="13"/>
      <c r="V671" s="13"/>
      <c r="X671" s="13"/>
      <c r="AP671" s="14"/>
      <c r="AQ671" s="14"/>
      <c r="AR671" s="14"/>
    </row>
    <row r="672" ht="15.75" customHeight="1">
      <c r="B672" s="137"/>
      <c r="P672" s="13"/>
      <c r="R672" s="13"/>
      <c r="T672" s="13"/>
      <c r="V672" s="13"/>
      <c r="X672" s="13"/>
      <c r="AP672" s="14"/>
      <c r="AQ672" s="14"/>
      <c r="AR672" s="14"/>
    </row>
    <row r="673" ht="15.75" customHeight="1">
      <c r="B673" s="137"/>
      <c r="P673" s="13"/>
      <c r="R673" s="13"/>
      <c r="T673" s="13"/>
      <c r="V673" s="13"/>
      <c r="X673" s="13"/>
      <c r="AP673" s="14"/>
      <c r="AQ673" s="14"/>
      <c r="AR673" s="14"/>
    </row>
    <row r="674" ht="15.75" customHeight="1">
      <c r="B674" s="137"/>
      <c r="P674" s="13"/>
      <c r="R674" s="13"/>
      <c r="T674" s="13"/>
      <c r="V674" s="13"/>
      <c r="X674" s="13"/>
      <c r="AP674" s="14"/>
      <c r="AQ674" s="14"/>
      <c r="AR674" s="14"/>
    </row>
    <row r="675" ht="15.75" customHeight="1">
      <c r="B675" s="137"/>
      <c r="P675" s="13"/>
      <c r="R675" s="13"/>
      <c r="T675" s="13"/>
      <c r="V675" s="13"/>
      <c r="X675" s="13"/>
      <c r="AP675" s="14"/>
      <c r="AQ675" s="14"/>
      <c r="AR675" s="14"/>
    </row>
    <row r="676" ht="15.75" customHeight="1">
      <c r="B676" s="137"/>
      <c r="P676" s="13"/>
      <c r="R676" s="13"/>
      <c r="T676" s="13"/>
      <c r="V676" s="13"/>
      <c r="X676" s="13"/>
      <c r="AP676" s="14"/>
      <c r="AQ676" s="14"/>
      <c r="AR676" s="14"/>
    </row>
    <row r="677" ht="15.75" customHeight="1">
      <c r="B677" s="137"/>
      <c r="P677" s="13"/>
      <c r="R677" s="13"/>
      <c r="T677" s="13"/>
      <c r="V677" s="13"/>
      <c r="X677" s="13"/>
      <c r="AP677" s="14"/>
      <c r="AQ677" s="14"/>
      <c r="AR677" s="14"/>
    </row>
    <row r="678" ht="15.75" customHeight="1">
      <c r="B678" s="137"/>
      <c r="P678" s="13"/>
      <c r="R678" s="13"/>
      <c r="T678" s="13"/>
      <c r="V678" s="13"/>
      <c r="X678" s="13"/>
      <c r="AP678" s="14"/>
      <c r="AQ678" s="14"/>
      <c r="AR678" s="14"/>
    </row>
    <row r="679" ht="15.75" customHeight="1">
      <c r="B679" s="137"/>
      <c r="P679" s="13"/>
      <c r="R679" s="13"/>
      <c r="T679" s="13"/>
      <c r="V679" s="13"/>
      <c r="X679" s="13"/>
      <c r="AP679" s="14"/>
      <c r="AQ679" s="14"/>
      <c r="AR679" s="14"/>
    </row>
    <row r="680" ht="15.75" customHeight="1">
      <c r="B680" s="137"/>
      <c r="P680" s="13"/>
      <c r="R680" s="13"/>
      <c r="T680" s="13"/>
      <c r="V680" s="13"/>
      <c r="X680" s="13"/>
      <c r="AP680" s="14"/>
      <c r="AQ680" s="14"/>
      <c r="AR680" s="14"/>
    </row>
    <row r="681" ht="15.75" customHeight="1">
      <c r="B681" s="137"/>
      <c r="P681" s="13"/>
      <c r="R681" s="13"/>
      <c r="T681" s="13"/>
      <c r="V681" s="13"/>
      <c r="X681" s="13"/>
      <c r="AP681" s="14"/>
      <c r="AQ681" s="14"/>
      <c r="AR681" s="14"/>
    </row>
    <row r="682" ht="15.75" customHeight="1">
      <c r="B682" s="137"/>
      <c r="P682" s="13"/>
      <c r="R682" s="13"/>
      <c r="T682" s="13"/>
      <c r="V682" s="13"/>
      <c r="X682" s="13"/>
      <c r="AP682" s="14"/>
      <c r="AQ682" s="14"/>
      <c r="AR682" s="14"/>
    </row>
    <row r="683" ht="15.75" customHeight="1">
      <c r="B683" s="137"/>
      <c r="P683" s="13"/>
      <c r="R683" s="13"/>
      <c r="T683" s="13"/>
      <c r="V683" s="13"/>
      <c r="X683" s="13"/>
      <c r="AP683" s="14"/>
      <c r="AQ683" s="14"/>
      <c r="AR683" s="14"/>
    </row>
    <row r="684" ht="15.75" customHeight="1">
      <c r="B684" s="137"/>
      <c r="P684" s="13"/>
      <c r="R684" s="13"/>
      <c r="T684" s="13"/>
      <c r="V684" s="13"/>
      <c r="X684" s="13"/>
      <c r="AP684" s="14"/>
      <c r="AQ684" s="14"/>
      <c r="AR684" s="14"/>
    </row>
    <row r="685" ht="15.75" customHeight="1">
      <c r="B685" s="137"/>
      <c r="P685" s="13"/>
      <c r="R685" s="13"/>
      <c r="T685" s="13"/>
      <c r="V685" s="13"/>
      <c r="X685" s="13"/>
      <c r="AP685" s="14"/>
      <c r="AQ685" s="14"/>
      <c r="AR685" s="14"/>
    </row>
    <row r="686" ht="15.75" customHeight="1">
      <c r="B686" s="137"/>
      <c r="P686" s="13"/>
      <c r="R686" s="13"/>
      <c r="T686" s="13"/>
      <c r="V686" s="13"/>
      <c r="X686" s="13"/>
      <c r="AP686" s="14"/>
      <c r="AQ686" s="14"/>
      <c r="AR686" s="14"/>
    </row>
    <row r="687" ht="15.75" customHeight="1">
      <c r="B687" s="137"/>
      <c r="P687" s="13"/>
      <c r="R687" s="13"/>
      <c r="T687" s="13"/>
      <c r="V687" s="13"/>
      <c r="X687" s="13"/>
      <c r="AP687" s="14"/>
      <c r="AQ687" s="14"/>
      <c r="AR687" s="14"/>
    </row>
    <row r="688" ht="15.75" customHeight="1">
      <c r="B688" s="137"/>
      <c r="P688" s="13"/>
      <c r="R688" s="13"/>
      <c r="T688" s="13"/>
      <c r="V688" s="13"/>
      <c r="X688" s="13"/>
      <c r="AP688" s="14"/>
      <c r="AQ688" s="14"/>
      <c r="AR688" s="14"/>
    </row>
    <row r="689" ht="15.75" customHeight="1">
      <c r="B689" s="137"/>
      <c r="P689" s="13"/>
      <c r="R689" s="13"/>
      <c r="T689" s="13"/>
      <c r="V689" s="13"/>
      <c r="X689" s="13"/>
      <c r="AP689" s="14"/>
      <c r="AQ689" s="14"/>
      <c r="AR689" s="14"/>
    </row>
    <row r="690" ht="15.75" customHeight="1">
      <c r="B690" s="137"/>
      <c r="P690" s="13"/>
      <c r="R690" s="13"/>
      <c r="T690" s="13"/>
      <c r="V690" s="13"/>
      <c r="X690" s="13"/>
      <c r="AP690" s="14"/>
      <c r="AQ690" s="14"/>
      <c r="AR690" s="14"/>
    </row>
    <row r="691" ht="15.75" customHeight="1">
      <c r="B691" s="137"/>
      <c r="P691" s="13"/>
      <c r="R691" s="13"/>
      <c r="T691" s="13"/>
      <c r="V691" s="13"/>
      <c r="X691" s="13"/>
      <c r="AP691" s="14"/>
      <c r="AQ691" s="14"/>
      <c r="AR691" s="14"/>
    </row>
    <row r="692" ht="15.75" customHeight="1">
      <c r="B692" s="137"/>
      <c r="P692" s="13"/>
      <c r="R692" s="13"/>
      <c r="T692" s="13"/>
      <c r="V692" s="13"/>
      <c r="X692" s="13"/>
      <c r="AP692" s="14"/>
      <c r="AQ692" s="14"/>
      <c r="AR692" s="14"/>
    </row>
    <row r="693" ht="15.75" customHeight="1">
      <c r="B693" s="137"/>
      <c r="P693" s="13"/>
      <c r="R693" s="13"/>
      <c r="T693" s="13"/>
      <c r="V693" s="13"/>
      <c r="X693" s="13"/>
      <c r="AP693" s="14"/>
      <c r="AQ693" s="14"/>
      <c r="AR693" s="14"/>
    </row>
    <row r="694" ht="15.75" customHeight="1">
      <c r="B694" s="137"/>
      <c r="P694" s="13"/>
      <c r="R694" s="13"/>
      <c r="T694" s="13"/>
      <c r="V694" s="13"/>
      <c r="X694" s="13"/>
      <c r="AP694" s="14"/>
      <c r="AQ694" s="14"/>
      <c r="AR694" s="14"/>
    </row>
    <row r="695" ht="15.75" customHeight="1">
      <c r="B695" s="137"/>
      <c r="P695" s="13"/>
      <c r="R695" s="13"/>
      <c r="T695" s="13"/>
      <c r="V695" s="13"/>
      <c r="X695" s="13"/>
      <c r="AP695" s="14"/>
      <c r="AQ695" s="14"/>
      <c r="AR695" s="14"/>
    </row>
    <row r="696" ht="15.75" customHeight="1">
      <c r="B696" s="137"/>
      <c r="P696" s="13"/>
      <c r="R696" s="13"/>
      <c r="T696" s="13"/>
      <c r="V696" s="13"/>
      <c r="X696" s="13"/>
      <c r="AP696" s="14"/>
      <c r="AQ696" s="14"/>
      <c r="AR696" s="14"/>
    </row>
    <row r="697" ht="15.75" customHeight="1">
      <c r="B697" s="137"/>
      <c r="P697" s="13"/>
      <c r="R697" s="13"/>
      <c r="T697" s="13"/>
      <c r="V697" s="13"/>
      <c r="X697" s="13"/>
      <c r="AP697" s="14"/>
      <c r="AQ697" s="14"/>
      <c r="AR697" s="14"/>
    </row>
    <row r="698" ht="15.75" customHeight="1">
      <c r="B698" s="137"/>
      <c r="P698" s="13"/>
      <c r="R698" s="13"/>
      <c r="T698" s="13"/>
      <c r="V698" s="13"/>
      <c r="X698" s="13"/>
      <c r="AP698" s="14"/>
      <c r="AQ698" s="14"/>
      <c r="AR698" s="14"/>
    </row>
    <row r="699" ht="15.75" customHeight="1">
      <c r="B699" s="137"/>
      <c r="P699" s="13"/>
      <c r="R699" s="13"/>
      <c r="T699" s="13"/>
      <c r="V699" s="13"/>
      <c r="X699" s="13"/>
      <c r="AP699" s="14"/>
      <c r="AQ699" s="14"/>
      <c r="AR699" s="14"/>
    </row>
    <row r="700" ht="15.75" customHeight="1">
      <c r="B700" s="137"/>
      <c r="P700" s="13"/>
      <c r="R700" s="13"/>
      <c r="T700" s="13"/>
      <c r="V700" s="13"/>
      <c r="X700" s="13"/>
      <c r="AP700" s="14"/>
      <c r="AQ700" s="14"/>
      <c r="AR700" s="14"/>
    </row>
    <row r="701" ht="15.75" customHeight="1">
      <c r="B701" s="137"/>
      <c r="P701" s="13"/>
      <c r="R701" s="13"/>
      <c r="T701" s="13"/>
      <c r="V701" s="13"/>
      <c r="X701" s="13"/>
      <c r="AP701" s="14"/>
      <c r="AQ701" s="14"/>
      <c r="AR701" s="14"/>
    </row>
    <row r="702" ht="15.75" customHeight="1">
      <c r="B702" s="137"/>
      <c r="P702" s="13"/>
      <c r="R702" s="13"/>
      <c r="T702" s="13"/>
      <c r="V702" s="13"/>
      <c r="X702" s="13"/>
      <c r="AP702" s="14"/>
      <c r="AQ702" s="14"/>
      <c r="AR702" s="14"/>
    </row>
    <row r="703" ht="15.75" customHeight="1">
      <c r="B703" s="137"/>
      <c r="P703" s="13"/>
      <c r="R703" s="13"/>
      <c r="T703" s="13"/>
      <c r="V703" s="13"/>
      <c r="X703" s="13"/>
      <c r="AP703" s="14"/>
      <c r="AQ703" s="14"/>
      <c r="AR703" s="14"/>
    </row>
    <row r="704" ht="15.75" customHeight="1">
      <c r="B704" s="137"/>
      <c r="P704" s="13"/>
      <c r="R704" s="13"/>
      <c r="T704" s="13"/>
      <c r="V704" s="13"/>
      <c r="X704" s="13"/>
      <c r="AP704" s="14"/>
      <c r="AQ704" s="14"/>
      <c r="AR704" s="14"/>
    </row>
    <row r="705" ht="15.75" customHeight="1">
      <c r="B705" s="137"/>
      <c r="P705" s="13"/>
      <c r="R705" s="13"/>
      <c r="T705" s="13"/>
      <c r="V705" s="13"/>
      <c r="X705" s="13"/>
      <c r="AP705" s="14"/>
      <c r="AQ705" s="14"/>
      <c r="AR705" s="14"/>
    </row>
    <row r="706" ht="15.75" customHeight="1">
      <c r="B706" s="137"/>
      <c r="P706" s="13"/>
      <c r="R706" s="13"/>
      <c r="T706" s="13"/>
      <c r="V706" s="13"/>
      <c r="X706" s="13"/>
      <c r="AP706" s="14"/>
      <c r="AQ706" s="14"/>
      <c r="AR706" s="14"/>
    </row>
    <row r="707" ht="15.75" customHeight="1">
      <c r="B707" s="137"/>
      <c r="P707" s="13"/>
      <c r="R707" s="13"/>
      <c r="T707" s="13"/>
      <c r="V707" s="13"/>
      <c r="X707" s="13"/>
      <c r="AP707" s="14"/>
      <c r="AQ707" s="14"/>
      <c r="AR707" s="14"/>
    </row>
    <row r="708" ht="15.75" customHeight="1">
      <c r="B708" s="137"/>
      <c r="P708" s="13"/>
      <c r="R708" s="13"/>
      <c r="T708" s="13"/>
      <c r="V708" s="13"/>
      <c r="X708" s="13"/>
      <c r="AP708" s="14"/>
      <c r="AQ708" s="14"/>
      <c r="AR708" s="14"/>
    </row>
    <row r="709" ht="15.75" customHeight="1">
      <c r="B709" s="137"/>
      <c r="P709" s="13"/>
      <c r="R709" s="13"/>
      <c r="T709" s="13"/>
      <c r="V709" s="13"/>
      <c r="X709" s="13"/>
      <c r="AP709" s="14"/>
      <c r="AQ709" s="14"/>
      <c r="AR709" s="14"/>
    </row>
    <row r="710" ht="15.75" customHeight="1">
      <c r="B710" s="137"/>
      <c r="P710" s="13"/>
      <c r="R710" s="13"/>
      <c r="T710" s="13"/>
      <c r="V710" s="13"/>
      <c r="X710" s="13"/>
      <c r="AP710" s="14"/>
      <c r="AQ710" s="14"/>
      <c r="AR710" s="14"/>
    </row>
    <row r="711" ht="15.75" customHeight="1">
      <c r="B711" s="137"/>
      <c r="P711" s="13"/>
      <c r="R711" s="13"/>
      <c r="T711" s="13"/>
      <c r="V711" s="13"/>
      <c r="X711" s="13"/>
      <c r="AP711" s="14"/>
      <c r="AQ711" s="14"/>
      <c r="AR711" s="14"/>
    </row>
    <row r="712" ht="15.75" customHeight="1">
      <c r="B712" s="137"/>
      <c r="P712" s="13"/>
      <c r="R712" s="13"/>
      <c r="T712" s="13"/>
      <c r="V712" s="13"/>
      <c r="X712" s="13"/>
      <c r="AP712" s="14"/>
      <c r="AQ712" s="14"/>
      <c r="AR712" s="14"/>
    </row>
    <row r="713" ht="15.75" customHeight="1">
      <c r="B713" s="137"/>
      <c r="P713" s="13"/>
      <c r="R713" s="13"/>
      <c r="T713" s="13"/>
      <c r="V713" s="13"/>
      <c r="X713" s="13"/>
      <c r="AP713" s="14"/>
      <c r="AQ713" s="14"/>
      <c r="AR713" s="14"/>
    </row>
    <row r="714" ht="15.75" customHeight="1">
      <c r="B714" s="137"/>
      <c r="P714" s="13"/>
      <c r="R714" s="13"/>
      <c r="T714" s="13"/>
      <c r="V714" s="13"/>
      <c r="X714" s="13"/>
      <c r="AP714" s="14"/>
      <c r="AQ714" s="14"/>
      <c r="AR714" s="14"/>
    </row>
    <row r="715" ht="15.75" customHeight="1">
      <c r="B715" s="137"/>
      <c r="P715" s="13"/>
      <c r="R715" s="13"/>
      <c r="T715" s="13"/>
      <c r="V715" s="13"/>
      <c r="X715" s="13"/>
      <c r="AP715" s="14"/>
      <c r="AQ715" s="14"/>
      <c r="AR715" s="14"/>
    </row>
    <row r="716" ht="15.75" customHeight="1">
      <c r="B716" s="137"/>
      <c r="P716" s="13"/>
      <c r="R716" s="13"/>
      <c r="T716" s="13"/>
      <c r="V716" s="13"/>
      <c r="X716" s="13"/>
      <c r="AP716" s="14"/>
      <c r="AQ716" s="14"/>
      <c r="AR716" s="14"/>
    </row>
    <row r="717" ht="15.75" customHeight="1">
      <c r="B717" s="137"/>
      <c r="P717" s="13"/>
      <c r="R717" s="13"/>
      <c r="T717" s="13"/>
      <c r="V717" s="13"/>
      <c r="X717" s="13"/>
      <c r="AP717" s="14"/>
      <c r="AQ717" s="14"/>
      <c r="AR717" s="14"/>
    </row>
    <row r="718" ht="15.75" customHeight="1">
      <c r="B718" s="137"/>
      <c r="P718" s="13"/>
      <c r="R718" s="13"/>
      <c r="T718" s="13"/>
      <c r="V718" s="13"/>
      <c r="X718" s="13"/>
      <c r="AP718" s="14"/>
      <c r="AQ718" s="14"/>
      <c r="AR718" s="14"/>
    </row>
    <row r="719" ht="15.75" customHeight="1">
      <c r="B719" s="137"/>
      <c r="P719" s="13"/>
      <c r="R719" s="13"/>
      <c r="T719" s="13"/>
      <c r="V719" s="13"/>
      <c r="X719" s="13"/>
      <c r="AP719" s="14"/>
      <c r="AQ719" s="14"/>
      <c r="AR719" s="14"/>
    </row>
    <row r="720" ht="15.75" customHeight="1">
      <c r="B720" s="137"/>
      <c r="P720" s="13"/>
      <c r="R720" s="13"/>
      <c r="T720" s="13"/>
      <c r="V720" s="13"/>
      <c r="X720" s="13"/>
      <c r="AP720" s="14"/>
      <c r="AQ720" s="14"/>
      <c r="AR720" s="14"/>
    </row>
    <row r="721" ht="15.75" customHeight="1">
      <c r="B721" s="137"/>
      <c r="P721" s="13"/>
      <c r="R721" s="13"/>
      <c r="T721" s="13"/>
      <c r="V721" s="13"/>
      <c r="X721" s="13"/>
      <c r="AP721" s="14"/>
      <c r="AQ721" s="14"/>
      <c r="AR721" s="14"/>
    </row>
    <row r="722" ht="15.75" customHeight="1">
      <c r="B722" s="137"/>
      <c r="P722" s="13"/>
      <c r="R722" s="13"/>
      <c r="T722" s="13"/>
      <c r="V722" s="13"/>
      <c r="X722" s="13"/>
      <c r="AP722" s="14"/>
      <c r="AQ722" s="14"/>
      <c r="AR722" s="14"/>
    </row>
    <row r="723" ht="15.75" customHeight="1">
      <c r="B723" s="137"/>
      <c r="P723" s="13"/>
      <c r="R723" s="13"/>
      <c r="T723" s="13"/>
      <c r="V723" s="13"/>
      <c r="X723" s="13"/>
      <c r="AP723" s="14"/>
      <c r="AQ723" s="14"/>
      <c r="AR723" s="14"/>
    </row>
    <row r="724" ht="15.75" customHeight="1">
      <c r="B724" s="137"/>
      <c r="P724" s="13"/>
      <c r="R724" s="13"/>
      <c r="T724" s="13"/>
      <c r="V724" s="13"/>
      <c r="X724" s="13"/>
      <c r="AP724" s="14"/>
      <c r="AQ724" s="14"/>
      <c r="AR724" s="14"/>
    </row>
    <row r="725" ht="15.75" customHeight="1">
      <c r="B725" s="137"/>
      <c r="P725" s="13"/>
      <c r="R725" s="13"/>
      <c r="T725" s="13"/>
      <c r="V725" s="13"/>
      <c r="X725" s="13"/>
      <c r="AP725" s="14"/>
      <c r="AQ725" s="14"/>
      <c r="AR725" s="14"/>
    </row>
    <row r="726" ht="15.75" customHeight="1">
      <c r="B726" s="137"/>
      <c r="P726" s="13"/>
      <c r="R726" s="13"/>
      <c r="T726" s="13"/>
      <c r="V726" s="13"/>
      <c r="X726" s="13"/>
      <c r="AP726" s="14"/>
      <c r="AQ726" s="14"/>
      <c r="AR726" s="14"/>
    </row>
    <row r="727" ht="15.75" customHeight="1">
      <c r="B727" s="137"/>
      <c r="P727" s="13"/>
      <c r="R727" s="13"/>
      <c r="T727" s="13"/>
      <c r="V727" s="13"/>
      <c r="X727" s="13"/>
      <c r="AP727" s="14"/>
      <c r="AQ727" s="14"/>
      <c r="AR727" s="14"/>
    </row>
    <row r="728" ht="15.75" customHeight="1">
      <c r="B728" s="137"/>
      <c r="P728" s="13"/>
      <c r="R728" s="13"/>
      <c r="T728" s="13"/>
      <c r="V728" s="13"/>
      <c r="X728" s="13"/>
      <c r="AP728" s="14"/>
      <c r="AQ728" s="14"/>
      <c r="AR728" s="14"/>
    </row>
    <row r="729" ht="15.75" customHeight="1">
      <c r="B729" s="137"/>
      <c r="P729" s="13"/>
      <c r="R729" s="13"/>
      <c r="T729" s="13"/>
      <c r="V729" s="13"/>
      <c r="X729" s="13"/>
      <c r="AP729" s="14"/>
      <c r="AQ729" s="14"/>
      <c r="AR729" s="14"/>
    </row>
    <row r="730" ht="15.75" customHeight="1">
      <c r="B730" s="137"/>
      <c r="P730" s="13"/>
      <c r="R730" s="13"/>
      <c r="T730" s="13"/>
      <c r="V730" s="13"/>
      <c r="X730" s="13"/>
      <c r="AP730" s="14"/>
      <c r="AQ730" s="14"/>
      <c r="AR730" s="14"/>
    </row>
    <row r="731" ht="15.75" customHeight="1">
      <c r="B731" s="137"/>
      <c r="P731" s="13"/>
      <c r="R731" s="13"/>
      <c r="T731" s="13"/>
      <c r="V731" s="13"/>
      <c r="X731" s="13"/>
      <c r="AP731" s="14"/>
      <c r="AQ731" s="14"/>
      <c r="AR731" s="14"/>
    </row>
    <row r="732" ht="15.75" customHeight="1">
      <c r="B732" s="137"/>
      <c r="P732" s="13"/>
      <c r="R732" s="13"/>
      <c r="T732" s="13"/>
      <c r="V732" s="13"/>
      <c r="X732" s="13"/>
      <c r="AP732" s="14"/>
      <c r="AQ732" s="14"/>
      <c r="AR732" s="14"/>
    </row>
    <row r="733" ht="15.75" customHeight="1">
      <c r="B733" s="137"/>
      <c r="P733" s="13"/>
      <c r="R733" s="13"/>
      <c r="T733" s="13"/>
      <c r="V733" s="13"/>
      <c r="X733" s="13"/>
      <c r="AP733" s="14"/>
      <c r="AQ733" s="14"/>
      <c r="AR733" s="14"/>
    </row>
    <row r="734" ht="15.75" customHeight="1">
      <c r="B734" s="137"/>
      <c r="P734" s="13"/>
      <c r="R734" s="13"/>
      <c r="T734" s="13"/>
      <c r="V734" s="13"/>
      <c r="X734" s="13"/>
      <c r="AP734" s="14"/>
      <c r="AQ734" s="14"/>
      <c r="AR734" s="14"/>
    </row>
    <row r="735" ht="15.75" customHeight="1">
      <c r="B735" s="137"/>
      <c r="P735" s="13"/>
      <c r="R735" s="13"/>
      <c r="T735" s="13"/>
      <c r="V735" s="13"/>
      <c r="X735" s="13"/>
      <c r="AP735" s="14"/>
      <c r="AQ735" s="14"/>
      <c r="AR735" s="14"/>
    </row>
    <row r="736" ht="15.75" customHeight="1">
      <c r="B736" s="137"/>
      <c r="P736" s="13"/>
      <c r="R736" s="13"/>
      <c r="T736" s="13"/>
      <c r="V736" s="13"/>
      <c r="X736" s="13"/>
      <c r="AP736" s="14"/>
      <c r="AQ736" s="14"/>
      <c r="AR736" s="14"/>
    </row>
    <row r="737" ht="15.75" customHeight="1">
      <c r="B737" s="137"/>
      <c r="P737" s="13"/>
      <c r="R737" s="13"/>
      <c r="T737" s="13"/>
      <c r="V737" s="13"/>
      <c r="X737" s="13"/>
      <c r="AP737" s="14"/>
      <c r="AQ737" s="14"/>
      <c r="AR737" s="14"/>
    </row>
    <row r="738" ht="15.75" customHeight="1">
      <c r="B738" s="137"/>
      <c r="P738" s="13"/>
      <c r="R738" s="13"/>
      <c r="T738" s="13"/>
      <c r="V738" s="13"/>
      <c r="X738" s="13"/>
      <c r="AP738" s="14"/>
      <c r="AQ738" s="14"/>
      <c r="AR738" s="14"/>
    </row>
    <row r="739" ht="15.75" customHeight="1">
      <c r="B739" s="137"/>
      <c r="P739" s="13"/>
      <c r="R739" s="13"/>
      <c r="T739" s="13"/>
      <c r="V739" s="13"/>
      <c r="X739" s="13"/>
      <c r="AP739" s="14"/>
      <c r="AQ739" s="14"/>
      <c r="AR739" s="14"/>
    </row>
    <row r="740" ht="15.75" customHeight="1">
      <c r="B740" s="137"/>
      <c r="P740" s="13"/>
      <c r="R740" s="13"/>
      <c r="T740" s="13"/>
      <c r="V740" s="13"/>
      <c r="X740" s="13"/>
      <c r="AP740" s="14"/>
      <c r="AQ740" s="14"/>
      <c r="AR740" s="14"/>
    </row>
    <row r="741" ht="15.75" customHeight="1">
      <c r="B741" s="137"/>
      <c r="P741" s="13"/>
      <c r="R741" s="13"/>
      <c r="T741" s="13"/>
      <c r="V741" s="13"/>
      <c r="X741" s="13"/>
      <c r="AP741" s="14"/>
      <c r="AQ741" s="14"/>
      <c r="AR741" s="14"/>
    </row>
    <row r="742" ht="15.75" customHeight="1">
      <c r="B742" s="137"/>
      <c r="P742" s="13"/>
      <c r="R742" s="13"/>
      <c r="T742" s="13"/>
      <c r="V742" s="13"/>
      <c r="X742" s="13"/>
      <c r="AP742" s="14"/>
      <c r="AQ742" s="14"/>
      <c r="AR742" s="14"/>
    </row>
    <row r="743" ht="15.75" customHeight="1">
      <c r="B743" s="137"/>
      <c r="P743" s="13"/>
      <c r="R743" s="13"/>
      <c r="T743" s="13"/>
      <c r="V743" s="13"/>
      <c r="X743" s="13"/>
      <c r="AP743" s="14"/>
      <c r="AQ743" s="14"/>
      <c r="AR743" s="14"/>
    </row>
    <row r="744" ht="15.75" customHeight="1">
      <c r="B744" s="137"/>
      <c r="P744" s="13"/>
      <c r="R744" s="13"/>
      <c r="T744" s="13"/>
      <c r="V744" s="13"/>
      <c r="X744" s="13"/>
      <c r="AP744" s="14"/>
      <c r="AQ744" s="14"/>
      <c r="AR744" s="14"/>
    </row>
    <row r="745" ht="15.75" customHeight="1">
      <c r="B745" s="137"/>
      <c r="P745" s="13"/>
      <c r="R745" s="13"/>
      <c r="T745" s="13"/>
      <c r="V745" s="13"/>
      <c r="X745" s="13"/>
      <c r="AP745" s="14"/>
      <c r="AQ745" s="14"/>
      <c r="AR745" s="14"/>
    </row>
    <row r="746" ht="15.75" customHeight="1">
      <c r="B746" s="137"/>
      <c r="P746" s="13"/>
      <c r="R746" s="13"/>
      <c r="T746" s="13"/>
      <c r="V746" s="13"/>
      <c r="X746" s="13"/>
      <c r="AP746" s="14"/>
      <c r="AQ746" s="14"/>
      <c r="AR746" s="14"/>
    </row>
    <row r="747" ht="15.75" customHeight="1">
      <c r="B747" s="137"/>
      <c r="P747" s="13"/>
      <c r="R747" s="13"/>
      <c r="T747" s="13"/>
      <c r="V747" s="13"/>
      <c r="X747" s="13"/>
      <c r="AP747" s="14"/>
      <c r="AQ747" s="14"/>
      <c r="AR747" s="14"/>
    </row>
    <row r="748" ht="15.75" customHeight="1">
      <c r="B748" s="137"/>
      <c r="P748" s="13"/>
      <c r="R748" s="13"/>
      <c r="T748" s="13"/>
      <c r="V748" s="13"/>
      <c r="X748" s="13"/>
      <c r="AP748" s="14"/>
      <c r="AQ748" s="14"/>
      <c r="AR748" s="14"/>
    </row>
    <row r="749" ht="15.75" customHeight="1">
      <c r="B749" s="137"/>
      <c r="P749" s="13"/>
      <c r="R749" s="13"/>
      <c r="T749" s="13"/>
      <c r="V749" s="13"/>
      <c r="X749" s="13"/>
      <c r="AP749" s="14"/>
      <c r="AQ749" s="14"/>
      <c r="AR749" s="14"/>
    </row>
    <row r="750" ht="15.75" customHeight="1">
      <c r="B750" s="137"/>
      <c r="P750" s="13"/>
      <c r="R750" s="13"/>
      <c r="T750" s="13"/>
      <c r="V750" s="13"/>
      <c r="X750" s="13"/>
      <c r="AP750" s="14"/>
      <c r="AQ750" s="14"/>
      <c r="AR750" s="14"/>
    </row>
    <row r="751" ht="15.75" customHeight="1">
      <c r="B751" s="137"/>
      <c r="P751" s="13"/>
      <c r="R751" s="13"/>
      <c r="T751" s="13"/>
      <c r="V751" s="13"/>
      <c r="X751" s="13"/>
      <c r="AP751" s="14"/>
      <c r="AQ751" s="14"/>
      <c r="AR751" s="14"/>
    </row>
    <row r="752" ht="15.75" customHeight="1">
      <c r="B752" s="137"/>
      <c r="P752" s="13"/>
      <c r="R752" s="13"/>
      <c r="T752" s="13"/>
      <c r="V752" s="13"/>
      <c r="X752" s="13"/>
      <c r="AP752" s="14"/>
      <c r="AQ752" s="14"/>
      <c r="AR752" s="14"/>
    </row>
    <row r="753" ht="15.75" customHeight="1">
      <c r="B753" s="137"/>
      <c r="P753" s="13"/>
      <c r="R753" s="13"/>
      <c r="T753" s="13"/>
      <c r="V753" s="13"/>
      <c r="X753" s="13"/>
      <c r="AP753" s="14"/>
      <c r="AQ753" s="14"/>
      <c r="AR753" s="14"/>
    </row>
    <row r="754" ht="15.75" customHeight="1">
      <c r="B754" s="137"/>
      <c r="P754" s="13"/>
      <c r="R754" s="13"/>
      <c r="T754" s="13"/>
      <c r="V754" s="13"/>
      <c r="X754" s="13"/>
      <c r="AP754" s="14"/>
      <c r="AQ754" s="14"/>
      <c r="AR754" s="14"/>
    </row>
    <row r="755" ht="15.75" customHeight="1">
      <c r="B755" s="137"/>
      <c r="P755" s="13"/>
      <c r="R755" s="13"/>
      <c r="T755" s="13"/>
      <c r="V755" s="13"/>
      <c r="X755" s="13"/>
      <c r="AP755" s="14"/>
      <c r="AQ755" s="14"/>
      <c r="AR755" s="14"/>
    </row>
    <row r="756" ht="15.75" customHeight="1">
      <c r="B756" s="137"/>
      <c r="P756" s="13"/>
      <c r="R756" s="13"/>
      <c r="T756" s="13"/>
      <c r="V756" s="13"/>
      <c r="X756" s="13"/>
      <c r="AP756" s="14"/>
      <c r="AQ756" s="14"/>
      <c r="AR756" s="14"/>
    </row>
    <row r="757" ht="15.75" customHeight="1">
      <c r="B757" s="137"/>
      <c r="P757" s="13"/>
      <c r="R757" s="13"/>
      <c r="T757" s="13"/>
      <c r="V757" s="13"/>
      <c r="X757" s="13"/>
      <c r="AP757" s="14"/>
      <c r="AQ757" s="14"/>
      <c r="AR757" s="14"/>
    </row>
    <row r="758" ht="15.75" customHeight="1">
      <c r="B758" s="137"/>
      <c r="P758" s="13"/>
      <c r="R758" s="13"/>
      <c r="T758" s="13"/>
      <c r="V758" s="13"/>
      <c r="X758" s="13"/>
      <c r="AP758" s="14"/>
      <c r="AQ758" s="14"/>
      <c r="AR758" s="14"/>
    </row>
    <row r="759" ht="15.75" customHeight="1">
      <c r="B759" s="137"/>
      <c r="P759" s="13"/>
      <c r="R759" s="13"/>
      <c r="T759" s="13"/>
      <c r="V759" s="13"/>
      <c r="X759" s="13"/>
      <c r="AP759" s="14"/>
      <c r="AQ759" s="14"/>
      <c r="AR759" s="14"/>
    </row>
    <row r="760" ht="15.75" customHeight="1">
      <c r="B760" s="137"/>
      <c r="P760" s="13"/>
      <c r="R760" s="13"/>
      <c r="T760" s="13"/>
      <c r="V760" s="13"/>
      <c r="X760" s="13"/>
      <c r="AP760" s="14"/>
      <c r="AQ760" s="14"/>
      <c r="AR760" s="14"/>
    </row>
    <row r="761" ht="15.75" customHeight="1">
      <c r="B761" s="137"/>
      <c r="P761" s="13"/>
      <c r="R761" s="13"/>
      <c r="T761" s="13"/>
      <c r="V761" s="13"/>
      <c r="X761" s="13"/>
      <c r="AP761" s="14"/>
      <c r="AQ761" s="14"/>
      <c r="AR761" s="14"/>
    </row>
    <row r="762" ht="15.75" customHeight="1">
      <c r="B762" s="137"/>
      <c r="P762" s="13"/>
      <c r="R762" s="13"/>
      <c r="T762" s="13"/>
      <c r="V762" s="13"/>
      <c r="X762" s="13"/>
      <c r="AP762" s="14"/>
      <c r="AQ762" s="14"/>
      <c r="AR762" s="14"/>
    </row>
    <row r="763" ht="15.75" customHeight="1">
      <c r="B763" s="137"/>
      <c r="P763" s="13"/>
      <c r="R763" s="13"/>
      <c r="T763" s="13"/>
      <c r="V763" s="13"/>
      <c r="X763" s="13"/>
      <c r="AP763" s="14"/>
      <c r="AQ763" s="14"/>
      <c r="AR763" s="14"/>
    </row>
    <row r="764" ht="15.75" customHeight="1">
      <c r="B764" s="137"/>
      <c r="P764" s="13"/>
      <c r="R764" s="13"/>
      <c r="T764" s="13"/>
      <c r="V764" s="13"/>
      <c r="X764" s="13"/>
      <c r="AP764" s="14"/>
      <c r="AQ764" s="14"/>
      <c r="AR764" s="14"/>
    </row>
    <row r="765" ht="15.75" customHeight="1">
      <c r="B765" s="137"/>
      <c r="P765" s="13"/>
      <c r="R765" s="13"/>
      <c r="T765" s="13"/>
      <c r="V765" s="13"/>
      <c r="X765" s="13"/>
      <c r="AP765" s="14"/>
      <c r="AQ765" s="14"/>
      <c r="AR765" s="14"/>
    </row>
    <row r="766" ht="15.75" customHeight="1">
      <c r="B766" s="137"/>
      <c r="P766" s="13"/>
      <c r="R766" s="13"/>
      <c r="T766" s="13"/>
      <c r="V766" s="13"/>
      <c r="X766" s="13"/>
      <c r="AP766" s="14"/>
      <c r="AQ766" s="14"/>
      <c r="AR766" s="14"/>
    </row>
    <row r="767" ht="15.75" customHeight="1">
      <c r="B767" s="137"/>
      <c r="P767" s="13"/>
      <c r="R767" s="13"/>
      <c r="T767" s="13"/>
      <c r="V767" s="13"/>
      <c r="X767" s="13"/>
      <c r="AP767" s="14"/>
      <c r="AQ767" s="14"/>
      <c r="AR767" s="14"/>
    </row>
    <row r="768" ht="15.75" customHeight="1">
      <c r="B768" s="137"/>
      <c r="P768" s="13"/>
      <c r="R768" s="13"/>
      <c r="T768" s="13"/>
      <c r="V768" s="13"/>
      <c r="X768" s="13"/>
      <c r="AP768" s="14"/>
      <c r="AQ768" s="14"/>
      <c r="AR768" s="14"/>
    </row>
    <row r="769" ht="15.75" customHeight="1">
      <c r="B769" s="137"/>
      <c r="P769" s="13"/>
      <c r="R769" s="13"/>
      <c r="T769" s="13"/>
      <c r="V769" s="13"/>
      <c r="X769" s="13"/>
      <c r="AP769" s="14"/>
      <c r="AQ769" s="14"/>
      <c r="AR769" s="14"/>
    </row>
    <row r="770" ht="15.75" customHeight="1">
      <c r="B770" s="137"/>
      <c r="P770" s="13"/>
      <c r="R770" s="13"/>
      <c r="T770" s="13"/>
      <c r="V770" s="13"/>
      <c r="X770" s="13"/>
      <c r="AP770" s="14"/>
      <c r="AQ770" s="14"/>
      <c r="AR770" s="14"/>
    </row>
    <row r="771" ht="15.75" customHeight="1">
      <c r="B771" s="137"/>
      <c r="P771" s="13"/>
      <c r="R771" s="13"/>
      <c r="T771" s="13"/>
      <c r="V771" s="13"/>
      <c r="X771" s="13"/>
      <c r="AP771" s="14"/>
      <c r="AQ771" s="14"/>
      <c r="AR771" s="14"/>
    </row>
    <row r="772" ht="15.75" customHeight="1">
      <c r="B772" s="137"/>
      <c r="P772" s="13"/>
      <c r="R772" s="13"/>
      <c r="T772" s="13"/>
      <c r="V772" s="13"/>
      <c r="X772" s="13"/>
      <c r="AP772" s="14"/>
      <c r="AQ772" s="14"/>
      <c r="AR772" s="14"/>
    </row>
    <row r="773" ht="15.75" customHeight="1">
      <c r="B773" s="137"/>
      <c r="P773" s="13"/>
      <c r="R773" s="13"/>
      <c r="T773" s="13"/>
      <c r="V773" s="13"/>
      <c r="X773" s="13"/>
      <c r="AP773" s="14"/>
      <c r="AQ773" s="14"/>
      <c r="AR773" s="14"/>
    </row>
    <row r="774" ht="15.75" customHeight="1">
      <c r="B774" s="137"/>
      <c r="P774" s="13"/>
      <c r="R774" s="13"/>
      <c r="T774" s="13"/>
      <c r="V774" s="13"/>
      <c r="X774" s="13"/>
      <c r="AP774" s="14"/>
      <c r="AQ774" s="14"/>
      <c r="AR774" s="14"/>
    </row>
    <row r="775" ht="15.75" customHeight="1">
      <c r="B775" s="137"/>
      <c r="P775" s="13"/>
      <c r="R775" s="13"/>
      <c r="T775" s="13"/>
      <c r="V775" s="13"/>
      <c r="X775" s="13"/>
      <c r="AP775" s="14"/>
      <c r="AQ775" s="14"/>
      <c r="AR775" s="14"/>
    </row>
    <row r="776" ht="15.75" customHeight="1">
      <c r="B776" s="137"/>
      <c r="P776" s="13"/>
      <c r="R776" s="13"/>
      <c r="T776" s="13"/>
      <c r="V776" s="13"/>
      <c r="X776" s="13"/>
      <c r="AP776" s="14"/>
      <c r="AQ776" s="14"/>
      <c r="AR776" s="14"/>
    </row>
    <row r="777" ht="15.75" customHeight="1">
      <c r="B777" s="137"/>
      <c r="P777" s="13"/>
      <c r="R777" s="13"/>
      <c r="T777" s="13"/>
      <c r="V777" s="13"/>
      <c r="X777" s="13"/>
      <c r="AP777" s="14"/>
      <c r="AQ777" s="14"/>
      <c r="AR777" s="14"/>
    </row>
    <row r="778" ht="15.75" customHeight="1">
      <c r="B778" s="137"/>
      <c r="P778" s="13"/>
      <c r="R778" s="13"/>
      <c r="T778" s="13"/>
      <c r="V778" s="13"/>
      <c r="X778" s="13"/>
      <c r="AP778" s="14"/>
      <c r="AQ778" s="14"/>
      <c r="AR778" s="14"/>
    </row>
    <row r="779" ht="15.75" customHeight="1">
      <c r="B779" s="137"/>
      <c r="P779" s="13"/>
      <c r="R779" s="13"/>
      <c r="T779" s="13"/>
      <c r="V779" s="13"/>
      <c r="X779" s="13"/>
      <c r="AP779" s="14"/>
      <c r="AQ779" s="14"/>
      <c r="AR779" s="14"/>
    </row>
    <row r="780" ht="15.75" customHeight="1">
      <c r="B780" s="137"/>
      <c r="P780" s="13"/>
      <c r="R780" s="13"/>
      <c r="T780" s="13"/>
      <c r="V780" s="13"/>
      <c r="X780" s="13"/>
      <c r="AP780" s="14"/>
      <c r="AQ780" s="14"/>
      <c r="AR780" s="14"/>
    </row>
    <row r="781" ht="15.75" customHeight="1">
      <c r="B781" s="137"/>
      <c r="P781" s="13"/>
      <c r="R781" s="13"/>
      <c r="T781" s="13"/>
      <c r="V781" s="13"/>
      <c r="X781" s="13"/>
      <c r="AP781" s="14"/>
      <c r="AQ781" s="14"/>
      <c r="AR781" s="14"/>
    </row>
    <row r="782" ht="15.75" customHeight="1">
      <c r="B782" s="137"/>
      <c r="P782" s="13"/>
      <c r="R782" s="13"/>
      <c r="T782" s="13"/>
      <c r="V782" s="13"/>
      <c r="X782" s="13"/>
      <c r="AP782" s="14"/>
      <c r="AQ782" s="14"/>
      <c r="AR782" s="14"/>
    </row>
    <row r="783" ht="15.75" customHeight="1">
      <c r="B783" s="137"/>
      <c r="P783" s="13"/>
      <c r="R783" s="13"/>
      <c r="T783" s="13"/>
      <c r="V783" s="13"/>
      <c r="X783" s="13"/>
      <c r="AP783" s="14"/>
      <c r="AQ783" s="14"/>
      <c r="AR783" s="14"/>
    </row>
    <row r="784" ht="15.75" customHeight="1">
      <c r="B784" s="137"/>
      <c r="P784" s="13"/>
      <c r="R784" s="13"/>
      <c r="T784" s="13"/>
      <c r="V784" s="13"/>
      <c r="X784" s="13"/>
      <c r="AP784" s="14"/>
      <c r="AQ784" s="14"/>
      <c r="AR784" s="14"/>
    </row>
    <row r="785" ht="15.75" customHeight="1">
      <c r="B785" s="137"/>
      <c r="P785" s="13"/>
      <c r="R785" s="13"/>
      <c r="T785" s="13"/>
      <c r="V785" s="13"/>
      <c r="X785" s="13"/>
      <c r="AP785" s="14"/>
      <c r="AQ785" s="14"/>
      <c r="AR785" s="14"/>
    </row>
    <row r="786" ht="15.75" customHeight="1">
      <c r="B786" s="137"/>
      <c r="P786" s="13"/>
      <c r="R786" s="13"/>
      <c r="T786" s="13"/>
      <c r="V786" s="13"/>
      <c r="X786" s="13"/>
      <c r="AP786" s="14"/>
      <c r="AQ786" s="14"/>
      <c r="AR786" s="14"/>
    </row>
    <row r="787" ht="15.75" customHeight="1">
      <c r="B787" s="137"/>
      <c r="P787" s="13"/>
      <c r="R787" s="13"/>
      <c r="T787" s="13"/>
      <c r="V787" s="13"/>
      <c r="X787" s="13"/>
      <c r="AP787" s="14"/>
      <c r="AQ787" s="14"/>
      <c r="AR787" s="14"/>
    </row>
    <row r="788" ht="15.75" customHeight="1">
      <c r="B788" s="137"/>
      <c r="P788" s="13"/>
      <c r="R788" s="13"/>
      <c r="T788" s="13"/>
      <c r="V788" s="13"/>
      <c r="X788" s="13"/>
      <c r="AP788" s="14"/>
      <c r="AQ788" s="14"/>
      <c r="AR788" s="14"/>
    </row>
    <row r="789" ht="15.75" customHeight="1">
      <c r="B789" s="137"/>
      <c r="P789" s="13"/>
      <c r="R789" s="13"/>
      <c r="T789" s="13"/>
      <c r="V789" s="13"/>
      <c r="X789" s="13"/>
      <c r="AP789" s="14"/>
      <c r="AQ789" s="14"/>
      <c r="AR789" s="14"/>
    </row>
    <row r="790" ht="15.75" customHeight="1">
      <c r="B790" s="137"/>
      <c r="P790" s="13"/>
      <c r="R790" s="13"/>
      <c r="T790" s="13"/>
      <c r="V790" s="13"/>
      <c r="X790" s="13"/>
      <c r="AP790" s="14"/>
      <c r="AQ790" s="14"/>
      <c r="AR790" s="14"/>
    </row>
    <row r="791" ht="15.75" customHeight="1">
      <c r="B791" s="137"/>
      <c r="P791" s="13"/>
      <c r="R791" s="13"/>
      <c r="T791" s="13"/>
      <c r="V791" s="13"/>
      <c r="X791" s="13"/>
      <c r="AP791" s="14"/>
      <c r="AQ791" s="14"/>
      <c r="AR791" s="14"/>
    </row>
    <row r="792" ht="15.75" customHeight="1">
      <c r="B792" s="137"/>
      <c r="P792" s="13"/>
      <c r="R792" s="13"/>
      <c r="T792" s="13"/>
      <c r="V792" s="13"/>
      <c r="X792" s="13"/>
      <c r="AP792" s="14"/>
      <c r="AQ792" s="14"/>
      <c r="AR792" s="14"/>
    </row>
    <row r="793" ht="15.75" customHeight="1">
      <c r="B793" s="137"/>
      <c r="P793" s="13"/>
      <c r="R793" s="13"/>
      <c r="T793" s="13"/>
      <c r="V793" s="13"/>
      <c r="X793" s="13"/>
      <c r="AP793" s="14"/>
      <c r="AQ793" s="14"/>
      <c r="AR793" s="14"/>
    </row>
    <row r="794" ht="15.75" customHeight="1">
      <c r="B794" s="137"/>
      <c r="P794" s="13"/>
      <c r="R794" s="13"/>
      <c r="T794" s="13"/>
      <c r="V794" s="13"/>
      <c r="X794" s="13"/>
      <c r="AP794" s="14"/>
      <c r="AQ794" s="14"/>
      <c r="AR794" s="14"/>
    </row>
    <row r="795" ht="15.75" customHeight="1">
      <c r="B795" s="137"/>
      <c r="P795" s="13"/>
      <c r="R795" s="13"/>
      <c r="T795" s="13"/>
      <c r="V795" s="13"/>
      <c r="X795" s="13"/>
      <c r="AP795" s="14"/>
      <c r="AQ795" s="14"/>
      <c r="AR795" s="14"/>
    </row>
    <row r="796" ht="15.75" customHeight="1">
      <c r="B796" s="137"/>
      <c r="P796" s="13"/>
      <c r="R796" s="13"/>
      <c r="T796" s="13"/>
      <c r="V796" s="13"/>
      <c r="X796" s="13"/>
      <c r="AP796" s="14"/>
      <c r="AQ796" s="14"/>
      <c r="AR796" s="14"/>
    </row>
    <row r="797" ht="15.75" customHeight="1">
      <c r="B797" s="137"/>
      <c r="P797" s="13"/>
      <c r="R797" s="13"/>
      <c r="T797" s="13"/>
      <c r="V797" s="13"/>
      <c r="X797" s="13"/>
      <c r="AP797" s="14"/>
      <c r="AQ797" s="14"/>
      <c r="AR797" s="14"/>
    </row>
    <row r="798" ht="15.75" customHeight="1">
      <c r="B798" s="137"/>
      <c r="P798" s="13"/>
      <c r="R798" s="13"/>
      <c r="T798" s="13"/>
      <c r="V798" s="13"/>
      <c r="X798" s="13"/>
      <c r="AP798" s="14"/>
      <c r="AQ798" s="14"/>
      <c r="AR798" s="14"/>
    </row>
    <row r="799" ht="15.75" customHeight="1">
      <c r="B799" s="137"/>
      <c r="P799" s="13"/>
      <c r="R799" s="13"/>
      <c r="T799" s="13"/>
      <c r="V799" s="13"/>
      <c r="X799" s="13"/>
      <c r="AP799" s="14"/>
      <c r="AQ799" s="14"/>
      <c r="AR799" s="14"/>
    </row>
    <row r="800" ht="15.75" customHeight="1">
      <c r="B800" s="137"/>
      <c r="P800" s="13"/>
      <c r="R800" s="13"/>
      <c r="T800" s="13"/>
      <c r="V800" s="13"/>
      <c r="X800" s="13"/>
      <c r="AP800" s="14"/>
      <c r="AQ800" s="14"/>
      <c r="AR800" s="14"/>
    </row>
    <row r="801" ht="15.75" customHeight="1">
      <c r="B801" s="137"/>
      <c r="P801" s="13"/>
      <c r="R801" s="13"/>
      <c r="T801" s="13"/>
      <c r="V801" s="13"/>
      <c r="X801" s="13"/>
      <c r="AP801" s="14"/>
      <c r="AQ801" s="14"/>
      <c r="AR801" s="14"/>
    </row>
    <row r="802" ht="15.75" customHeight="1">
      <c r="B802" s="137"/>
      <c r="P802" s="13"/>
      <c r="R802" s="13"/>
      <c r="T802" s="13"/>
      <c r="V802" s="13"/>
      <c r="X802" s="13"/>
      <c r="AP802" s="14"/>
      <c r="AQ802" s="14"/>
      <c r="AR802" s="14"/>
    </row>
    <row r="803" ht="15.75" customHeight="1">
      <c r="B803" s="137"/>
      <c r="P803" s="13"/>
      <c r="R803" s="13"/>
      <c r="T803" s="13"/>
      <c r="V803" s="13"/>
      <c r="X803" s="13"/>
      <c r="AP803" s="14"/>
      <c r="AQ803" s="14"/>
      <c r="AR803" s="14"/>
    </row>
    <row r="804" ht="15.75" customHeight="1">
      <c r="B804" s="137"/>
      <c r="P804" s="13"/>
      <c r="R804" s="13"/>
      <c r="T804" s="13"/>
      <c r="V804" s="13"/>
      <c r="X804" s="13"/>
      <c r="AP804" s="14"/>
      <c r="AQ804" s="14"/>
      <c r="AR804" s="14"/>
    </row>
    <row r="805" ht="15.75" customHeight="1">
      <c r="B805" s="137"/>
      <c r="P805" s="13"/>
      <c r="R805" s="13"/>
      <c r="T805" s="13"/>
      <c r="V805" s="13"/>
      <c r="X805" s="13"/>
      <c r="AP805" s="14"/>
      <c r="AQ805" s="14"/>
      <c r="AR805" s="14"/>
    </row>
    <row r="806" ht="15.75" customHeight="1">
      <c r="B806" s="137"/>
      <c r="P806" s="13"/>
      <c r="R806" s="13"/>
      <c r="T806" s="13"/>
      <c r="V806" s="13"/>
      <c r="X806" s="13"/>
      <c r="AP806" s="14"/>
      <c r="AQ806" s="14"/>
      <c r="AR806" s="14"/>
    </row>
    <row r="807" ht="15.75" customHeight="1">
      <c r="B807" s="137"/>
      <c r="P807" s="13"/>
      <c r="R807" s="13"/>
      <c r="T807" s="13"/>
      <c r="V807" s="13"/>
      <c r="X807" s="13"/>
      <c r="AP807" s="14"/>
      <c r="AQ807" s="14"/>
      <c r="AR807" s="14"/>
    </row>
    <row r="808" ht="15.75" customHeight="1">
      <c r="B808" s="137"/>
      <c r="P808" s="13"/>
      <c r="R808" s="13"/>
      <c r="T808" s="13"/>
      <c r="V808" s="13"/>
      <c r="X808" s="13"/>
      <c r="AP808" s="14"/>
      <c r="AQ808" s="14"/>
      <c r="AR808" s="14"/>
    </row>
    <row r="809" ht="15.75" customHeight="1">
      <c r="B809" s="137"/>
      <c r="P809" s="13"/>
      <c r="R809" s="13"/>
      <c r="T809" s="13"/>
      <c r="V809" s="13"/>
      <c r="X809" s="13"/>
      <c r="AP809" s="14"/>
      <c r="AQ809" s="14"/>
      <c r="AR809" s="14"/>
    </row>
    <row r="810" ht="15.75" customHeight="1">
      <c r="B810" s="137"/>
      <c r="P810" s="13"/>
      <c r="R810" s="13"/>
      <c r="T810" s="13"/>
      <c r="V810" s="13"/>
      <c r="X810" s="13"/>
      <c r="AP810" s="14"/>
      <c r="AQ810" s="14"/>
      <c r="AR810" s="14"/>
    </row>
    <row r="811" ht="15.75" customHeight="1">
      <c r="B811" s="137"/>
      <c r="P811" s="13"/>
      <c r="R811" s="13"/>
      <c r="T811" s="13"/>
      <c r="V811" s="13"/>
      <c r="X811" s="13"/>
      <c r="AP811" s="14"/>
      <c r="AQ811" s="14"/>
      <c r="AR811" s="14"/>
    </row>
    <row r="812" ht="15.75" customHeight="1">
      <c r="B812" s="137"/>
      <c r="P812" s="13"/>
      <c r="R812" s="13"/>
      <c r="T812" s="13"/>
      <c r="V812" s="13"/>
      <c r="X812" s="13"/>
      <c r="AP812" s="14"/>
      <c r="AQ812" s="14"/>
      <c r="AR812" s="14"/>
    </row>
    <row r="813" ht="15.75" customHeight="1">
      <c r="B813" s="137"/>
      <c r="P813" s="13"/>
      <c r="R813" s="13"/>
      <c r="T813" s="13"/>
      <c r="V813" s="13"/>
      <c r="X813" s="13"/>
      <c r="AP813" s="14"/>
      <c r="AQ813" s="14"/>
      <c r="AR813" s="14"/>
    </row>
    <row r="814" ht="15.75" customHeight="1">
      <c r="B814" s="137"/>
      <c r="P814" s="13"/>
      <c r="R814" s="13"/>
      <c r="T814" s="13"/>
      <c r="V814" s="13"/>
      <c r="X814" s="13"/>
      <c r="AP814" s="14"/>
      <c r="AQ814" s="14"/>
      <c r="AR814" s="14"/>
    </row>
    <row r="815" ht="15.75" customHeight="1">
      <c r="B815" s="137"/>
      <c r="P815" s="13"/>
      <c r="R815" s="13"/>
      <c r="T815" s="13"/>
      <c r="V815" s="13"/>
      <c r="X815" s="13"/>
      <c r="AP815" s="14"/>
      <c r="AQ815" s="14"/>
      <c r="AR815" s="14"/>
    </row>
    <row r="816" ht="15.75" customHeight="1">
      <c r="B816" s="137"/>
      <c r="P816" s="13"/>
      <c r="R816" s="13"/>
      <c r="T816" s="13"/>
      <c r="V816" s="13"/>
      <c r="X816" s="13"/>
      <c r="AP816" s="14"/>
      <c r="AQ816" s="14"/>
      <c r="AR816" s="14"/>
    </row>
    <row r="817" ht="15.75" customHeight="1">
      <c r="B817" s="137"/>
      <c r="P817" s="13"/>
      <c r="R817" s="13"/>
      <c r="T817" s="13"/>
      <c r="V817" s="13"/>
      <c r="X817" s="13"/>
      <c r="AP817" s="14"/>
      <c r="AQ817" s="14"/>
      <c r="AR817" s="14"/>
    </row>
    <row r="818" ht="15.75" customHeight="1">
      <c r="B818" s="137"/>
      <c r="P818" s="13"/>
      <c r="R818" s="13"/>
      <c r="T818" s="13"/>
      <c r="V818" s="13"/>
      <c r="X818" s="13"/>
      <c r="AP818" s="14"/>
      <c r="AQ818" s="14"/>
      <c r="AR818" s="14"/>
    </row>
    <row r="819" ht="15.75" customHeight="1">
      <c r="B819" s="137"/>
      <c r="P819" s="13"/>
      <c r="R819" s="13"/>
      <c r="T819" s="13"/>
      <c r="V819" s="13"/>
      <c r="X819" s="13"/>
      <c r="AP819" s="14"/>
      <c r="AQ819" s="14"/>
      <c r="AR819" s="14"/>
    </row>
    <row r="820" ht="15.75" customHeight="1">
      <c r="B820" s="137"/>
      <c r="P820" s="13"/>
      <c r="R820" s="13"/>
      <c r="T820" s="13"/>
      <c r="V820" s="13"/>
      <c r="X820" s="13"/>
      <c r="AP820" s="14"/>
      <c r="AQ820" s="14"/>
      <c r="AR820" s="14"/>
    </row>
    <row r="821" ht="15.75" customHeight="1">
      <c r="B821" s="137"/>
      <c r="P821" s="13"/>
      <c r="R821" s="13"/>
      <c r="T821" s="13"/>
      <c r="V821" s="13"/>
      <c r="X821" s="13"/>
      <c r="AP821" s="14"/>
      <c r="AQ821" s="14"/>
      <c r="AR821" s="14"/>
    </row>
    <row r="822" ht="15.75" customHeight="1">
      <c r="B822" s="137"/>
      <c r="P822" s="13"/>
      <c r="R822" s="13"/>
      <c r="T822" s="13"/>
      <c r="V822" s="13"/>
      <c r="X822" s="13"/>
      <c r="AP822" s="14"/>
      <c r="AQ822" s="14"/>
      <c r="AR822" s="14"/>
    </row>
    <row r="823" ht="15.75" customHeight="1">
      <c r="B823" s="137"/>
      <c r="P823" s="13"/>
      <c r="R823" s="13"/>
      <c r="T823" s="13"/>
      <c r="V823" s="13"/>
      <c r="X823" s="13"/>
      <c r="AP823" s="14"/>
      <c r="AQ823" s="14"/>
      <c r="AR823" s="14"/>
    </row>
    <row r="824" ht="15.75" customHeight="1">
      <c r="B824" s="137"/>
      <c r="P824" s="13"/>
      <c r="R824" s="13"/>
      <c r="T824" s="13"/>
      <c r="V824" s="13"/>
      <c r="X824" s="13"/>
      <c r="AP824" s="14"/>
      <c r="AQ824" s="14"/>
      <c r="AR824" s="14"/>
    </row>
    <row r="825" ht="15.75" customHeight="1">
      <c r="B825" s="137"/>
      <c r="P825" s="13"/>
      <c r="R825" s="13"/>
      <c r="T825" s="13"/>
      <c r="V825" s="13"/>
      <c r="X825" s="13"/>
      <c r="AP825" s="14"/>
      <c r="AQ825" s="14"/>
      <c r="AR825" s="14"/>
    </row>
    <row r="826" ht="15.75" customHeight="1">
      <c r="B826" s="137"/>
      <c r="P826" s="13"/>
      <c r="R826" s="13"/>
      <c r="T826" s="13"/>
      <c r="V826" s="13"/>
      <c r="X826" s="13"/>
      <c r="AP826" s="14"/>
      <c r="AQ826" s="14"/>
      <c r="AR826" s="14"/>
    </row>
    <row r="827" ht="15.75" customHeight="1">
      <c r="B827" s="137"/>
      <c r="P827" s="13"/>
      <c r="R827" s="13"/>
      <c r="T827" s="13"/>
      <c r="V827" s="13"/>
      <c r="X827" s="13"/>
      <c r="AP827" s="14"/>
      <c r="AQ827" s="14"/>
      <c r="AR827" s="14"/>
    </row>
    <row r="828" ht="15.75" customHeight="1">
      <c r="B828" s="137"/>
      <c r="P828" s="13"/>
      <c r="R828" s="13"/>
      <c r="T828" s="13"/>
      <c r="V828" s="13"/>
      <c r="X828" s="13"/>
      <c r="AP828" s="14"/>
      <c r="AQ828" s="14"/>
      <c r="AR828" s="14"/>
    </row>
    <row r="829" ht="15.75" customHeight="1">
      <c r="B829" s="137"/>
      <c r="P829" s="13"/>
      <c r="R829" s="13"/>
      <c r="T829" s="13"/>
      <c r="V829" s="13"/>
      <c r="X829" s="13"/>
      <c r="AP829" s="14"/>
      <c r="AQ829" s="14"/>
      <c r="AR829" s="14"/>
    </row>
    <row r="830" ht="15.75" customHeight="1">
      <c r="B830" s="137"/>
      <c r="P830" s="13"/>
      <c r="R830" s="13"/>
      <c r="T830" s="13"/>
      <c r="V830" s="13"/>
      <c r="X830" s="13"/>
      <c r="AP830" s="14"/>
      <c r="AQ830" s="14"/>
      <c r="AR830" s="14"/>
    </row>
    <row r="831" ht="15.75" customHeight="1">
      <c r="B831" s="137"/>
      <c r="P831" s="13"/>
      <c r="R831" s="13"/>
      <c r="T831" s="13"/>
      <c r="V831" s="13"/>
      <c r="X831" s="13"/>
      <c r="AP831" s="14"/>
      <c r="AQ831" s="14"/>
      <c r="AR831" s="14"/>
    </row>
    <row r="832" ht="15.75" customHeight="1">
      <c r="B832" s="137"/>
      <c r="P832" s="13"/>
      <c r="R832" s="13"/>
      <c r="T832" s="13"/>
      <c r="V832" s="13"/>
      <c r="X832" s="13"/>
      <c r="AP832" s="14"/>
      <c r="AQ832" s="14"/>
      <c r="AR832" s="14"/>
    </row>
    <row r="833" ht="15.75" customHeight="1">
      <c r="B833" s="137"/>
      <c r="P833" s="13"/>
      <c r="R833" s="13"/>
      <c r="T833" s="13"/>
      <c r="V833" s="13"/>
      <c r="X833" s="13"/>
      <c r="AP833" s="14"/>
      <c r="AQ833" s="14"/>
      <c r="AR833" s="14"/>
    </row>
    <row r="834" ht="15.75" customHeight="1">
      <c r="B834" s="137"/>
      <c r="P834" s="13"/>
      <c r="R834" s="13"/>
      <c r="T834" s="13"/>
      <c r="V834" s="13"/>
      <c r="X834" s="13"/>
      <c r="AP834" s="14"/>
      <c r="AQ834" s="14"/>
      <c r="AR834" s="14"/>
    </row>
    <row r="835" ht="15.75" customHeight="1">
      <c r="B835" s="137"/>
      <c r="P835" s="13"/>
      <c r="R835" s="13"/>
      <c r="T835" s="13"/>
      <c r="V835" s="13"/>
      <c r="X835" s="13"/>
      <c r="AP835" s="14"/>
      <c r="AQ835" s="14"/>
      <c r="AR835" s="14"/>
    </row>
    <row r="836" ht="15.75" customHeight="1">
      <c r="B836" s="137"/>
      <c r="P836" s="13"/>
      <c r="R836" s="13"/>
      <c r="T836" s="13"/>
      <c r="V836" s="13"/>
      <c r="X836" s="13"/>
      <c r="AP836" s="14"/>
      <c r="AQ836" s="14"/>
      <c r="AR836" s="14"/>
    </row>
    <row r="837" ht="15.75" customHeight="1">
      <c r="B837" s="137"/>
      <c r="P837" s="13"/>
      <c r="R837" s="13"/>
      <c r="T837" s="13"/>
      <c r="V837" s="13"/>
      <c r="X837" s="13"/>
      <c r="AP837" s="14"/>
      <c r="AQ837" s="14"/>
      <c r="AR837" s="14"/>
    </row>
    <row r="838" ht="15.75" customHeight="1">
      <c r="B838" s="137"/>
      <c r="P838" s="13"/>
      <c r="R838" s="13"/>
      <c r="T838" s="13"/>
      <c r="V838" s="13"/>
      <c r="X838" s="13"/>
      <c r="AP838" s="14"/>
      <c r="AQ838" s="14"/>
      <c r="AR838" s="14"/>
    </row>
    <row r="839" ht="15.75" customHeight="1">
      <c r="B839" s="137"/>
      <c r="P839" s="13"/>
      <c r="R839" s="13"/>
      <c r="T839" s="13"/>
      <c r="V839" s="13"/>
      <c r="X839" s="13"/>
      <c r="AP839" s="14"/>
      <c r="AQ839" s="14"/>
      <c r="AR839" s="14"/>
    </row>
    <row r="840" ht="15.75" customHeight="1">
      <c r="B840" s="137"/>
      <c r="P840" s="13"/>
      <c r="R840" s="13"/>
      <c r="T840" s="13"/>
      <c r="V840" s="13"/>
      <c r="X840" s="13"/>
      <c r="AP840" s="14"/>
      <c r="AQ840" s="14"/>
      <c r="AR840" s="14"/>
    </row>
    <row r="841" ht="15.75" customHeight="1">
      <c r="B841" s="137"/>
      <c r="P841" s="13"/>
      <c r="R841" s="13"/>
      <c r="T841" s="13"/>
      <c r="V841" s="13"/>
      <c r="X841" s="13"/>
      <c r="AP841" s="14"/>
      <c r="AQ841" s="14"/>
      <c r="AR841" s="14"/>
    </row>
    <row r="842" ht="15.75" customHeight="1">
      <c r="B842" s="137"/>
      <c r="P842" s="13"/>
      <c r="R842" s="13"/>
      <c r="T842" s="13"/>
      <c r="V842" s="13"/>
      <c r="X842" s="13"/>
      <c r="AP842" s="14"/>
      <c r="AQ842" s="14"/>
      <c r="AR842" s="14"/>
    </row>
    <row r="843" ht="15.75" customHeight="1">
      <c r="B843" s="137"/>
      <c r="P843" s="13"/>
      <c r="R843" s="13"/>
      <c r="T843" s="13"/>
      <c r="V843" s="13"/>
      <c r="X843" s="13"/>
      <c r="AP843" s="14"/>
      <c r="AQ843" s="14"/>
      <c r="AR843" s="14"/>
    </row>
    <row r="844" ht="15.75" customHeight="1">
      <c r="B844" s="137"/>
      <c r="P844" s="13"/>
      <c r="R844" s="13"/>
      <c r="T844" s="13"/>
      <c r="V844" s="13"/>
      <c r="X844" s="13"/>
      <c r="AP844" s="14"/>
      <c r="AQ844" s="14"/>
      <c r="AR844" s="14"/>
    </row>
    <row r="845" ht="15.75" customHeight="1">
      <c r="B845" s="137"/>
      <c r="P845" s="13"/>
      <c r="R845" s="13"/>
      <c r="T845" s="13"/>
      <c r="V845" s="13"/>
      <c r="X845" s="13"/>
      <c r="AP845" s="14"/>
      <c r="AQ845" s="14"/>
      <c r="AR845" s="14"/>
    </row>
    <row r="846" ht="15.75" customHeight="1">
      <c r="B846" s="137"/>
      <c r="P846" s="13"/>
      <c r="R846" s="13"/>
      <c r="T846" s="13"/>
      <c r="V846" s="13"/>
      <c r="X846" s="13"/>
      <c r="AP846" s="14"/>
      <c r="AQ846" s="14"/>
      <c r="AR846" s="14"/>
    </row>
    <row r="847" ht="15.75" customHeight="1">
      <c r="B847" s="137"/>
      <c r="P847" s="13"/>
      <c r="R847" s="13"/>
      <c r="T847" s="13"/>
      <c r="V847" s="13"/>
      <c r="X847" s="13"/>
      <c r="AP847" s="14"/>
      <c r="AQ847" s="14"/>
      <c r="AR847" s="14"/>
    </row>
    <row r="848" ht="15.75" customHeight="1">
      <c r="B848" s="137"/>
      <c r="P848" s="13"/>
      <c r="R848" s="13"/>
      <c r="T848" s="13"/>
      <c r="V848" s="13"/>
      <c r="X848" s="13"/>
      <c r="AP848" s="14"/>
      <c r="AQ848" s="14"/>
      <c r="AR848" s="14"/>
    </row>
    <row r="849" ht="15.75" customHeight="1">
      <c r="B849" s="137"/>
      <c r="P849" s="13"/>
      <c r="R849" s="13"/>
      <c r="T849" s="13"/>
      <c r="V849" s="13"/>
      <c r="X849" s="13"/>
      <c r="AP849" s="14"/>
      <c r="AQ849" s="14"/>
      <c r="AR849" s="14"/>
    </row>
    <row r="850" ht="15.75" customHeight="1">
      <c r="B850" s="137"/>
      <c r="P850" s="13"/>
      <c r="R850" s="13"/>
      <c r="T850" s="13"/>
      <c r="V850" s="13"/>
      <c r="X850" s="13"/>
      <c r="AP850" s="14"/>
      <c r="AQ850" s="14"/>
      <c r="AR850" s="14"/>
    </row>
    <row r="851" ht="15.75" customHeight="1">
      <c r="B851" s="137"/>
      <c r="P851" s="13"/>
      <c r="R851" s="13"/>
      <c r="T851" s="13"/>
      <c r="V851" s="13"/>
      <c r="X851" s="13"/>
      <c r="AP851" s="14"/>
      <c r="AQ851" s="14"/>
      <c r="AR851" s="14"/>
    </row>
    <row r="852" ht="15.75" customHeight="1">
      <c r="B852" s="137"/>
      <c r="P852" s="13"/>
      <c r="R852" s="13"/>
      <c r="T852" s="13"/>
      <c r="V852" s="13"/>
      <c r="X852" s="13"/>
      <c r="AP852" s="14"/>
      <c r="AQ852" s="14"/>
      <c r="AR852" s="14"/>
    </row>
    <row r="853" ht="15.75" customHeight="1">
      <c r="B853" s="137"/>
      <c r="P853" s="13"/>
      <c r="R853" s="13"/>
      <c r="T853" s="13"/>
      <c r="V853" s="13"/>
      <c r="X853" s="13"/>
      <c r="AP853" s="14"/>
      <c r="AQ853" s="14"/>
      <c r="AR853" s="14"/>
    </row>
    <row r="854" ht="15.75" customHeight="1">
      <c r="B854" s="137"/>
      <c r="P854" s="13"/>
      <c r="R854" s="13"/>
      <c r="T854" s="13"/>
      <c r="V854" s="13"/>
      <c r="X854" s="13"/>
      <c r="AP854" s="14"/>
      <c r="AQ854" s="14"/>
      <c r="AR854" s="14"/>
    </row>
    <row r="855" ht="15.75" customHeight="1">
      <c r="B855" s="137"/>
      <c r="P855" s="13"/>
      <c r="R855" s="13"/>
      <c r="T855" s="13"/>
      <c r="V855" s="13"/>
      <c r="X855" s="13"/>
      <c r="AP855" s="14"/>
      <c r="AQ855" s="14"/>
      <c r="AR855" s="14"/>
    </row>
    <row r="856" ht="15.75" customHeight="1">
      <c r="B856" s="137"/>
      <c r="P856" s="13"/>
      <c r="R856" s="13"/>
      <c r="T856" s="13"/>
      <c r="V856" s="13"/>
      <c r="X856" s="13"/>
      <c r="AP856" s="14"/>
      <c r="AQ856" s="14"/>
      <c r="AR856" s="14"/>
    </row>
    <row r="857" ht="15.75" customHeight="1">
      <c r="B857" s="137"/>
      <c r="P857" s="13"/>
      <c r="R857" s="13"/>
      <c r="T857" s="13"/>
      <c r="V857" s="13"/>
      <c r="X857" s="13"/>
      <c r="AP857" s="14"/>
      <c r="AQ857" s="14"/>
      <c r="AR857" s="14"/>
    </row>
    <row r="858" ht="15.75" customHeight="1">
      <c r="B858" s="137"/>
      <c r="P858" s="13"/>
      <c r="R858" s="13"/>
      <c r="T858" s="13"/>
      <c r="V858" s="13"/>
      <c r="X858" s="13"/>
      <c r="AP858" s="14"/>
      <c r="AQ858" s="14"/>
      <c r="AR858" s="14"/>
    </row>
    <row r="859" ht="15.75" customHeight="1">
      <c r="B859" s="137"/>
      <c r="P859" s="13"/>
      <c r="R859" s="13"/>
      <c r="T859" s="13"/>
      <c r="V859" s="13"/>
      <c r="X859" s="13"/>
      <c r="AP859" s="14"/>
      <c r="AQ859" s="14"/>
      <c r="AR859" s="14"/>
    </row>
    <row r="860" ht="15.75" customHeight="1">
      <c r="B860" s="137"/>
      <c r="P860" s="13"/>
      <c r="R860" s="13"/>
      <c r="T860" s="13"/>
      <c r="V860" s="13"/>
      <c r="X860" s="13"/>
      <c r="AP860" s="14"/>
      <c r="AQ860" s="14"/>
      <c r="AR860" s="14"/>
    </row>
    <row r="861" ht="15.75" customHeight="1">
      <c r="B861" s="137"/>
      <c r="P861" s="13"/>
      <c r="R861" s="13"/>
      <c r="T861" s="13"/>
      <c r="V861" s="13"/>
      <c r="X861" s="13"/>
      <c r="AP861" s="14"/>
      <c r="AQ861" s="14"/>
      <c r="AR861" s="14"/>
    </row>
    <row r="862" ht="15.75" customHeight="1">
      <c r="B862" s="137"/>
      <c r="P862" s="13"/>
      <c r="R862" s="13"/>
      <c r="T862" s="13"/>
      <c r="V862" s="13"/>
      <c r="X862" s="13"/>
      <c r="AP862" s="14"/>
      <c r="AQ862" s="14"/>
      <c r="AR862" s="14"/>
    </row>
    <row r="863" ht="15.75" customHeight="1">
      <c r="B863" s="137"/>
      <c r="P863" s="13"/>
      <c r="R863" s="13"/>
      <c r="T863" s="13"/>
      <c r="V863" s="13"/>
      <c r="X863" s="13"/>
      <c r="AP863" s="14"/>
      <c r="AQ863" s="14"/>
      <c r="AR863" s="14"/>
    </row>
    <row r="864" ht="15.75" customHeight="1">
      <c r="B864" s="137"/>
      <c r="P864" s="13"/>
      <c r="R864" s="13"/>
      <c r="T864" s="13"/>
      <c r="V864" s="13"/>
      <c r="X864" s="13"/>
      <c r="AP864" s="14"/>
      <c r="AQ864" s="14"/>
      <c r="AR864" s="14"/>
    </row>
    <row r="865" ht="15.75" customHeight="1">
      <c r="B865" s="137"/>
      <c r="P865" s="13"/>
      <c r="R865" s="13"/>
      <c r="T865" s="13"/>
      <c r="V865" s="13"/>
      <c r="X865" s="13"/>
      <c r="AP865" s="14"/>
      <c r="AQ865" s="14"/>
      <c r="AR865" s="14"/>
    </row>
    <row r="866" ht="15.75" customHeight="1">
      <c r="B866" s="137"/>
      <c r="P866" s="13"/>
      <c r="R866" s="13"/>
      <c r="T866" s="13"/>
      <c r="V866" s="13"/>
      <c r="X866" s="13"/>
      <c r="AP866" s="14"/>
      <c r="AQ866" s="14"/>
      <c r="AR866" s="14"/>
    </row>
    <row r="867" ht="15.75" customHeight="1">
      <c r="B867" s="137"/>
      <c r="P867" s="13"/>
      <c r="R867" s="13"/>
      <c r="T867" s="13"/>
      <c r="V867" s="13"/>
      <c r="X867" s="13"/>
      <c r="AP867" s="14"/>
      <c r="AQ867" s="14"/>
      <c r="AR867" s="14"/>
    </row>
    <row r="868" ht="15.75" customHeight="1">
      <c r="B868" s="137"/>
      <c r="P868" s="13"/>
      <c r="R868" s="13"/>
      <c r="T868" s="13"/>
      <c r="V868" s="13"/>
      <c r="X868" s="13"/>
      <c r="AP868" s="14"/>
      <c r="AQ868" s="14"/>
      <c r="AR868" s="14"/>
    </row>
    <row r="869" ht="15.75" customHeight="1">
      <c r="B869" s="137"/>
      <c r="P869" s="13"/>
      <c r="R869" s="13"/>
      <c r="T869" s="13"/>
      <c r="V869" s="13"/>
      <c r="X869" s="13"/>
      <c r="AP869" s="14"/>
      <c r="AQ869" s="14"/>
      <c r="AR869" s="14"/>
    </row>
    <row r="870" ht="15.75" customHeight="1">
      <c r="B870" s="137"/>
      <c r="P870" s="13"/>
      <c r="R870" s="13"/>
      <c r="T870" s="13"/>
      <c r="V870" s="13"/>
      <c r="X870" s="13"/>
      <c r="AP870" s="14"/>
      <c r="AQ870" s="14"/>
      <c r="AR870" s="14"/>
    </row>
    <row r="871" ht="15.75" customHeight="1">
      <c r="B871" s="137"/>
      <c r="P871" s="13"/>
      <c r="R871" s="13"/>
      <c r="T871" s="13"/>
      <c r="V871" s="13"/>
      <c r="X871" s="13"/>
      <c r="AP871" s="14"/>
      <c r="AQ871" s="14"/>
      <c r="AR871" s="14"/>
    </row>
    <row r="872" ht="15.75" customHeight="1">
      <c r="B872" s="137"/>
      <c r="P872" s="13"/>
      <c r="R872" s="13"/>
      <c r="T872" s="13"/>
      <c r="V872" s="13"/>
      <c r="X872" s="13"/>
      <c r="AP872" s="14"/>
      <c r="AQ872" s="14"/>
      <c r="AR872" s="14"/>
    </row>
    <row r="873" ht="15.75" customHeight="1">
      <c r="B873" s="137"/>
      <c r="P873" s="13"/>
      <c r="R873" s="13"/>
      <c r="T873" s="13"/>
      <c r="V873" s="13"/>
      <c r="X873" s="13"/>
      <c r="AP873" s="14"/>
      <c r="AQ873" s="14"/>
      <c r="AR873" s="14"/>
    </row>
    <row r="874" ht="15.75" customHeight="1">
      <c r="B874" s="137"/>
      <c r="P874" s="13"/>
      <c r="R874" s="13"/>
      <c r="T874" s="13"/>
      <c r="V874" s="13"/>
      <c r="X874" s="13"/>
      <c r="AP874" s="14"/>
      <c r="AQ874" s="14"/>
      <c r="AR874" s="14"/>
    </row>
    <row r="875" ht="15.75" customHeight="1">
      <c r="B875" s="137"/>
      <c r="P875" s="13"/>
      <c r="R875" s="13"/>
      <c r="T875" s="13"/>
      <c r="V875" s="13"/>
      <c r="X875" s="13"/>
      <c r="AP875" s="14"/>
      <c r="AQ875" s="14"/>
      <c r="AR875" s="14"/>
    </row>
    <row r="876" ht="15.75" customHeight="1">
      <c r="B876" s="137"/>
      <c r="P876" s="13"/>
      <c r="R876" s="13"/>
      <c r="T876" s="13"/>
      <c r="V876" s="13"/>
      <c r="X876" s="13"/>
      <c r="AP876" s="14"/>
      <c r="AQ876" s="14"/>
      <c r="AR876" s="14"/>
    </row>
    <row r="877" ht="15.75" customHeight="1">
      <c r="B877" s="137"/>
      <c r="P877" s="13"/>
      <c r="R877" s="13"/>
      <c r="T877" s="13"/>
      <c r="V877" s="13"/>
      <c r="X877" s="13"/>
      <c r="AP877" s="14"/>
      <c r="AQ877" s="14"/>
      <c r="AR877" s="14"/>
    </row>
    <row r="878" ht="15.75" customHeight="1">
      <c r="B878" s="137"/>
      <c r="P878" s="13"/>
      <c r="R878" s="13"/>
      <c r="T878" s="13"/>
      <c r="V878" s="13"/>
      <c r="X878" s="13"/>
      <c r="AP878" s="14"/>
      <c r="AQ878" s="14"/>
      <c r="AR878" s="14"/>
    </row>
    <row r="879" ht="15.75" customHeight="1">
      <c r="B879" s="137"/>
      <c r="P879" s="13"/>
      <c r="R879" s="13"/>
      <c r="T879" s="13"/>
      <c r="V879" s="13"/>
      <c r="X879" s="13"/>
      <c r="AP879" s="14"/>
      <c r="AQ879" s="14"/>
      <c r="AR879" s="14"/>
    </row>
    <row r="880" ht="15.75" customHeight="1">
      <c r="B880" s="137"/>
      <c r="P880" s="13"/>
      <c r="R880" s="13"/>
      <c r="T880" s="13"/>
      <c r="V880" s="13"/>
      <c r="X880" s="13"/>
      <c r="AP880" s="14"/>
      <c r="AQ880" s="14"/>
      <c r="AR880" s="14"/>
    </row>
    <row r="881" ht="15.75" customHeight="1">
      <c r="B881" s="137"/>
      <c r="P881" s="13"/>
      <c r="R881" s="13"/>
      <c r="T881" s="13"/>
      <c r="V881" s="13"/>
      <c r="X881" s="13"/>
      <c r="AP881" s="14"/>
      <c r="AQ881" s="14"/>
      <c r="AR881" s="14"/>
    </row>
    <row r="882" ht="15.75" customHeight="1">
      <c r="B882" s="137"/>
      <c r="P882" s="13"/>
      <c r="R882" s="13"/>
      <c r="T882" s="13"/>
      <c r="V882" s="13"/>
      <c r="X882" s="13"/>
      <c r="AP882" s="14"/>
      <c r="AQ882" s="14"/>
      <c r="AR882" s="14"/>
    </row>
    <row r="883" ht="15.75" customHeight="1">
      <c r="B883" s="137"/>
      <c r="P883" s="13"/>
      <c r="R883" s="13"/>
      <c r="T883" s="13"/>
      <c r="V883" s="13"/>
      <c r="X883" s="13"/>
      <c r="AP883" s="14"/>
      <c r="AQ883" s="14"/>
      <c r="AR883" s="14"/>
    </row>
    <row r="884" ht="15.75" customHeight="1">
      <c r="B884" s="137"/>
      <c r="P884" s="13"/>
      <c r="R884" s="13"/>
      <c r="T884" s="13"/>
      <c r="V884" s="13"/>
      <c r="X884" s="13"/>
      <c r="AP884" s="14"/>
      <c r="AQ884" s="14"/>
      <c r="AR884" s="14"/>
    </row>
    <row r="885" ht="15.75" customHeight="1">
      <c r="B885" s="137"/>
      <c r="P885" s="13"/>
      <c r="R885" s="13"/>
      <c r="T885" s="13"/>
      <c r="V885" s="13"/>
      <c r="X885" s="13"/>
      <c r="AP885" s="14"/>
      <c r="AQ885" s="14"/>
      <c r="AR885" s="14"/>
    </row>
    <row r="886" ht="15.75" customHeight="1">
      <c r="B886" s="137"/>
      <c r="P886" s="13"/>
      <c r="R886" s="13"/>
      <c r="T886" s="13"/>
      <c r="V886" s="13"/>
      <c r="X886" s="13"/>
      <c r="AP886" s="14"/>
      <c r="AQ886" s="14"/>
      <c r="AR886" s="14"/>
    </row>
    <row r="887" ht="15.75" customHeight="1">
      <c r="B887" s="137"/>
      <c r="P887" s="13"/>
      <c r="R887" s="13"/>
      <c r="T887" s="13"/>
      <c r="V887" s="13"/>
      <c r="X887" s="13"/>
      <c r="AP887" s="14"/>
      <c r="AQ887" s="14"/>
      <c r="AR887" s="14"/>
    </row>
    <row r="888" ht="15.75" customHeight="1">
      <c r="B888" s="137"/>
      <c r="P888" s="13"/>
      <c r="R888" s="13"/>
      <c r="T888" s="13"/>
      <c r="V888" s="13"/>
      <c r="X888" s="13"/>
      <c r="AP888" s="14"/>
      <c r="AQ888" s="14"/>
      <c r="AR888" s="14"/>
    </row>
    <row r="889" ht="15.75" customHeight="1">
      <c r="B889" s="137"/>
      <c r="P889" s="13"/>
      <c r="R889" s="13"/>
      <c r="T889" s="13"/>
      <c r="V889" s="13"/>
      <c r="X889" s="13"/>
      <c r="AP889" s="14"/>
      <c r="AQ889" s="14"/>
      <c r="AR889" s="14"/>
    </row>
    <row r="890" ht="15.75" customHeight="1">
      <c r="B890" s="137"/>
      <c r="P890" s="13"/>
      <c r="R890" s="13"/>
      <c r="T890" s="13"/>
      <c r="V890" s="13"/>
      <c r="X890" s="13"/>
      <c r="AP890" s="14"/>
      <c r="AQ890" s="14"/>
      <c r="AR890" s="14"/>
    </row>
    <row r="891" ht="15.75" customHeight="1">
      <c r="B891" s="137"/>
      <c r="P891" s="13"/>
      <c r="R891" s="13"/>
      <c r="T891" s="13"/>
      <c r="V891" s="13"/>
      <c r="X891" s="13"/>
      <c r="AP891" s="14"/>
      <c r="AQ891" s="14"/>
      <c r="AR891" s="14"/>
    </row>
    <row r="892" ht="15.75" customHeight="1">
      <c r="B892" s="137"/>
      <c r="P892" s="13"/>
      <c r="R892" s="13"/>
      <c r="T892" s="13"/>
      <c r="V892" s="13"/>
      <c r="X892" s="13"/>
      <c r="AP892" s="14"/>
      <c r="AQ892" s="14"/>
      <c r="AR892" s="14"/>
    </row>
    <row r="893" ht="15.75" customHeight="1">
      <c r="B893" s="137"/>
      <c r="P893" s="13"/>
      <c r="R893" s="13"/>
      <c r="T893" s="13"/>
      <c r="V893" s="13"/>
      <c r="X893" s="13"/>
      <c r="AP893" s="14"/>
      <c r="AQ893" s="14"/>
      <c r="AR893" s="14"/>
    </row>
    <row r="894" ht="15.75" customHeight="1">
      <c r="B894" s="137"/>
      <c r="P894" s="13"/>
      <c r="R894" s="13"/>
      <c r="T894" s="13"/>
      <c r="V894" s="13"/>
      <c r="X894" s="13"/>
      <c r="AP894" s="14"/>
      <c r="AQ894" s="14"/>
      <c r="AR894" s="14"/>
    </row>
    <row r="895" ht="15.75" customHeight="1">
      <c r="B895" s="137"/>
      <c r="P895" s="13"/>
      <c r="R895" s="13"/>
      <c r="T895" s="13"/>
      <c r="V895" s="13"/>
      <c r="X895" s="13"/>
      <c r="AP895" s="14"/>
      <c r="AQ895" s="14"/>
      <c r="AR895" s="14"/>
    </row>
    <row r="896" ht="15.75" customHeight="1">
      <c r="B896" s="137"/>
      <c r="P896" s="13"/>
      <c r="R896" s="13"/>
      <c r="T896" s="13"/>
      <c r="V896" s="13"/>
      <c r="X896" s="13"/>
      <c r="AP896" s="14"/>
      <c r="AQ896" s="14"/>
      <c r="AR896" s="14"/>
    </row>
    <row r="897" ht="15.75" customHeight="1">
      <c r="B897" s="137"/>
      <c r="P897" s="13"/>
      <c r="R897" s="13"/>
      <c r="T897" s="13"/>
      <c r="V897" s="13"/>
      <c r="X897" s="13"/>
      <c r="AP897" s="14"/>
      <c r="AQ897" s="14"/>
      <c r="AR897" s="14"/>
    </row>
    <row r="898" ht="15.75" customHeight="1">
      <c r="B898" s="137"/>
      <c r="P898" s="13"/>
      <c r="R898" s="13"/>
      <c r="T898" s="13"/>
      <c r="V898" s="13"/>
      <c r="X898" s="13"/>
      <c r="AP898" s="14"/>
      <c r="AQ898" s="14"/>
      <c r="AR898" s="14"/>
    </row>
    <row r="899" ht="15.75" customHeight="1">
      <c r="B899" s="137"/>
      <c r="P899" s="13"/>
      <c r="R899" s="13"/>
      <c r="T899" s="13"/>
      <c r="V899" s="13"/>
      <c r="X899" s="13"/>
      <c r="AP899" s="14"/>
      <c r="AQ899" s="14"/>
      <c r="AR899" s="14"/>
    </row>
    <row r="900" ht="15.75" customHeight="1">
      <c r="B900" s="137"/>
      <c r="P900" s="13"/>
      <c r="R900" s="13"/>
      <c r="T900" s="13"/>
      <c r="V900" s="13"/>
      <c r="X900" s="13"/>
      <c r="AP900" s="14"/>
      <c r="AQ900" s="14"/>
      <c r="AR900" s="14"/>
    </row>
    <row r="901" ht="15.75" customHeight="1">
      <c r="B901" s="137"/>
      <c r="P901" s="13"/>
      <c r="R901" s="13"/>
      <c r="T901" s="13"/>
      <c r="V901" s="13"/>
      <c r="X901" s="13"/>
      <c r="AP901" s="14"/>
      <c r="AQ901" s="14"/>
      <c r="AR901" s="14"/>
    </row>
    <row r="902" ht="15.75" customHeight="1">
      <c r="B902" s="137"/>
      <c r="P902" s="13"/>
      <c r="R902" s="13"/>
      <c r="T902" s="13"/>
      <c r="V902" s="13"/>
      <c r="X902" s="13"/>
      <c r="AP902" s="14"/>
      <c r="AQ902" s="14"/>
      <c r="AR902" s="14"/>
    </row>
    <row r="903" ht="15.75" customHeight="1">
      <c r="B903" s="137"/>
      <c r="P903" s="13"/>
      <c r="R903" s="13"/>
      <c r="T903" s="13"/>
      <c r="V903" s="13"/>
      <c r="X903" s="13"/>
      <c r="AP903" s="14"/>
      <c r="AQ903" s="14"/>
      <c r="AR903" s="14"/>
    </row>
    <row r="904" ht="15.75" customHeight="1">
      <c r="B904" s="137"/>
      <c r="P904" s="13"/>
      <c r="R904" s="13"/>
      <c r="T904" s="13"/>
      <c r="V904" s="13"/>
      <c r="X904" s="13"/>
      <c r="AP904" s="14"/>
      <c r="AQ904" s="14"/>
      <c r="AR904" s="14"/>
    </row>
    <row r="905" ht="15.75" customHeight="1">
      <c r="B905" s="137"/>
      <c r="P905" s="13"/>
      <c r="R905" s="13"/>
      <c r="T905" s="13"/>
      <c r="V905" s="13"/>
      <c r="X905" s="13"/>
      <c r="AP905" s="14"/>
      <c r="AQ905" s="14"/>
      <c r="AR905" s="14"/>
    </row>
    <row r="906" ht="15.75" customHeight="1">
      <c r="B906" s="137"/>
      <c r="P906" s="13"/>
      <c r="R906" s="13"/>
      <c r="T906" s="13"/>
      <c r="V906" s="13"/>
      <c r="X906" s="13"/>
      <c r="AP906" s="14"/>
      <c r="AQ906" s="14"/>
      <c r="AR906" s="14"/>
    </row>
    <row r="907" ht="15.75" customHeight="1">
      <c r="B907" s="137"/>
      <c r="P907" s="13"/>
      <c r="R907" s="13"/>
      <c r="T907" s="13"/>
      <c r="V907" s="13"/>
      <c r="X907" s="13"/>
      <c r="AP907" s="14"/>
      <c r="AQ907" s="14"/>
      <c r="AR907" s="14"/>
    </row>
    <row r="908" ht="15.75" customHeight="1">
      <c r="B908" s="137"/>
      <c r="P908" s="13"/>
      <c r="R908" s="13"/>
      <c r="T908" s="13"/>
      <c r="V908" s="13"/>
      <c r="X908" s="13"/>
      <c r="AP908" s="14"/>
      <c r="AQ908" s="14"/>
      <c r="AR908" s="14"/>
    </row>
    <row r="909" ht="15.75" customHeight="1">
      <c r="B909" s="137"/>
      <c r="P909" s="13"/>
      <c r="R909" s="13"/>
      <c r="T909" s="13"/>
      <c r="V909" s="13"/>
      <c r="X909" s="13"/>
      <c r="AP909" s="14"/>
      <c r="AQ909" s="14"/>
      <c r="AR909" s="14"/>
    </row>
    <row r="910" ht="15.75" customHeight="1">
      <c r="B910" s="137"/>
      <c r="P910" s="13"/>
      <c r="R910" s="13"/>
      <c r="T910" s="13"/>
      <c r="V910" s="13"/>
      <c r="X910" s="13"/>
      <c r="AP910" s="14"/>
      <c r="AQ910" s="14"/>
      <c r="AR910" s="14"/>
    </row>
    <row r="911" ht="15.75" customHeight="1">
      <c r="B911" s="137"/>
      <c r="P911" s="13"/>
      <c r="R911" s="13"/>
      <c r="T911" s="13"/>
      <c r="V911" s="13"/>
      <c r="X911" s="13"/>
      <c r="AP911" s="14"/>
      <c r="AQ911" s="14"/>
      <c r="AR911" s="14"/>
    </row>
    <row r="912" ht="15.75" customHeight="1">
      <c r="B912" s="137"/>
      <c r="P912" s="13"/>
      <c r="R912" s="13"/>
      <c r="T912" s="13"/>
      <c r="V912" s="13"/>
      <c r="X912" s="13"/>
      <c r="AP912" s="14"/>
      <c r="AQ912" s="14"/>
      <c r="AR912" s="14"/>
    </row>
    <row r="913" ht="15.75" customHeight="1">
      <c r="B913" s="137"/>
      <c r="P913" s="13"/>
      <c r="R913" s="13"/>
      <c r="T913" s="13"/>
      <c r="V913" s="13"/>
      <c r="X913" s="13"/>
      <c r="AP913" s="14"/>
      <c r="AQ913" s="14"/>
      <c r="AR913" s="14"/>
    </row>
    <row r="914" ht="15.75" customHeight="1">
      <c r="B914" s="137"/>
      <c r="P914" s="13"/>
      <c r="R914" s="13"/>
      <c r="T914" s="13"/>
      <c r="V914" s="13"/>
      <c r="X914" s="13"/>
      <c r="AP914" s="14"/>
      <c r="AQ914" s="14"/>
      <c r="AR914" s="14"/>
    </row>
    <row r="915" ht="15.75" customHeight="1">
      <c r="B915" s="137"/>
      <c r="P915" s="13"/>
      <c r="R915" s="13"/>
      <c r="T915" s="13"/>
      <c r="V915" s="13"/>
      <c r="X915" s="13"/>
      <c r="AP915" s="14"/>
      <c r="AQ915" s="14"/>
      <c r="AR915" s="14"/>
    </row>
    <row r="916" ht="15.75" customHeight="1">
      <c r="B916" s="137"/>
      <c r="P916" s="13"/>
      <c r="R916" s="13"/>
      <c r="T916" s="13"/>
      <c r="V916" s="13"/>
      <c r="X916" s="13"/>
      <c r="AP916" s="14"/>
      <c r="AQ916" s="14"/>
      <c r="AR916" s="14"/>
    </row>
    <row r="917" ht="15.75" customHeight="1">
      <c r="B917" s="137"/>
      <c r="P917" s="13"/>
      <c r="R917" s="13"/>
      <c r="T917" s="13"/>
      <c r="V917" s="13"/>
      <c r="X917" s="13"/>
      <c r="AP917" s="14"/>
      <c r="AQ917" s="14"/>
      <c r="AR917" s="14"/>
    </row>
    <row r="918" ht="15.75" customHeight="1">
      <c r="B918" s="137"/>
      <c r="P918" s="13"/>
      <c r="R918" s="13"/>
      <c r="T918" s="13"/>
      <c r="V918" s="13"/>
      <c r="X918" s="13"/>
      <c r="AP918" s="14"/>
      <c r="AQ918" s="14"/>
      <c r="AR918" s="14"/>
    </row>
    <row r="919" ht="15.75" customHeight="1">
      <c r="B919" s="137"/>
      <c r="P919" s="13"/>
      <c r="R919" s="13"/>
      <c r="T919" s="13"/>
      <c r="V919" s="13"/>
      <c r="X919" s="13"/>
      <c r="AP919" s="14"/>
      <c r="AQ919" s="14"/>
      <c r="AR919" s="14"/>
    </row>
    <row r="920" ht="15.75" customHeight="1">
      <c r="B920" s="137"/>
      <c r="P920" s="13"/>
      <c r="R920" s="13"/>
      <c r="T920" s="13"/>
      <c r="V920" s="13"/>
      <c r="X920" s="13"/>
      <c r="AP920" s="14"/>
      <c r="AQ920" s="14"/>
      <c r="AR920" s="14"/>
    </row>
    <row r="921" ht="15.75" customHeight="1">
      <c r="B921" s="137"/>
      <c r="P921" s="13"/>
      <c r="R921" s="13"/>
      <c r="T921" s="13"/>
      <c r="V921" s="13"/>
      <c r="X921" s="13"/>
      <c r="AP921" s="14"/>
      <c r="AQ921" s="14"/>
      <c r="AR921" s="14"/>
    </row>
    <row r="922" ht="15.75" customHeight="1">
      <c r="B922" s="137"/>
      <c r="P922" s="13"/>
      <c r="R922" s="13"/>
      <c r="T922" s="13"/>
      <c r="V922" s="13"/>
      <c r="X922" s="13"/>
      <c r="AP922" s="14"/>
      <c r="AQ922" s="14"/>
      <c r="AR922" s="14"/>
    </row>
    <row r="923" ht="15.75" customHeight="1">
      <c r="B923" s="137"/>
      <c r="P923" s="13"/>
      <c r="R923" s="13"/>
      <c r="T923" s="13"/>
      <c r="V923" s="13"/>
      <c r="X923" s="13"/>
      <c r="AP923" s="14"/>
      <c r="AQ923" s="14"/>
      <c r="AR923" s="14"/>
    </row>
    <row r="924" ht="15.75" customHeight="1">
      <c r="B924" s="137"/>
      <c r="P924" s="13"/>
      <c r="R924" s="13"/>
      <c r="T924" s="13"/>
      <c r="V924" s="13"/>
      <c r="X924" s="13"/>
      <c r="AP924" s="14"/>
      <c r="AQ924" s="14"/>
      <c r="AR924" s="14"/>
    </row>
    <row r="925" ht="15.75" customHeight="1">
      <c r="B925" s="137"/>
      <c r="P925" s="13"/>
      <c r="R925" s="13"/>
      <c r="T925" s="13"/>
      <c r="V925" s="13"/>
      <c r="X925" s="13"/>
      <c r="AP925" s="14"/>
      <c r="AQ925" s="14"/>
      <c r="AR925" s="14"/>
    </row>
    <row r="926" ht="15.75" customHeight="1">
      <c r="B926" s="137"/>
      <c r="P926" s="13"/>
      <c r="R926" s="13"/>
      <c r="T926" s="13"/>
      <c r="V926" s="13"/>
      <c r="X926" s="13"/>
      <c r="AP926" s="14"/>
      <c r="AQ926" s="14"/>
      <c r="AR926" s="14"/>
    </row>
    <row r="927" ht="15.75" customHeight="1">
      <c r="B927" s="137"/>
      <c r="P927" s="13"/>
      <c r="R927" s="13"/>
      <c r="T927" s="13"/>
      <c r="V927" s="13"/>
      <c r="X927" s="13"/>
      <c r="AP927" s="14"/>
      <c r="AQ927" s="14"/>
      <c r="AR927" s="14"/>
    </row>
    <row r="928" ht="15.75" customHeight="1">
      <c r="B928" s="137"/>
      <c r="P928" s="13"/>
      <c r="R928" s="13"/>
      <c r="T928" s="13"/>
      <c r="V928" s="13"/>
      <c r="X928" s="13"/>
      <c r="AP928" s="14"/>
      <c r="AQ928" s="14"/>
      <c r="AR928" s="14"/>
    </row>
    <row r="929" ht="15.75" customHeight="1">
      <c r="B929" s="137"/>
      <c r="P929" s="13"/>
      <c r="R929" s="13"/>
      <c r="T929" s="13"/>
      <c r="V929" s="13"/>
      <c r="X929" s="13"/>
      <c r="AP929" s="14"/>
      <c r="AQ929" s="14"/>
      <c r="AR929" s="14"/>
    </row>
    <row r="930" ht="15.75" customHeight="1">
      <c r="B930" s="137"/>
      <c r="P930" s="13"/>
      <c r="R930" s="13"/>
      <c r="T930" s="13"/>
      <c r="V930" s="13"/>
      <c r="X930" s="13"/>
      <c r="AP930" s="14"/>
      <c r="AQ930" s="14"/>
      <c r="AR930" s="14"/>
    </row>
    <row r="931" ht="15.75" customHeight="1">
      <c r="B931" s="137"/>
      <c r="P931" s="13"/>
      <c r="R931" s="13"/>
      <c r="T931" s="13"/>
      <c r="V931" s="13"/>
      <c r="X931" s="13"/>
      <c r="AP931" s="14"/>
      <c r="AQ931" s="14"/>
      <c r="AR931" s="14"/>
    </row>
    <row r="932" ht="15.75" customHeight="1">
      <c r="B932" s="137"/>
      <c r="P932" s="13"/>
      <c r="R932" s="13"/>
      <c r="T932" s="13"/>
      <c r="V932" s="13"/>
      <c r="X932" s="13"/>
      <c r="AP932" s="14"/>
      <c r="AQ932" s="14"/>
      <c r="AR932" s="14"/>
    </row>
    <row r="933" ht="15.75" customHeight="1">
      <c r="B933" s="137"/>
      <c r="P933" s="13"/>
      <c r="R933" s="13"/>
      <c r="T933" s="13"/>
      <c r="V933" s="13"/>
      <c r="X933" s="13"/>
      <c r="AP933" s="14"/>
      <c r="AQ933" s="14"/>
      <c r="AR933" s="14"/>
    </row>
    <row r="934" ht="15.75" customHeight="1">
      <c r="B934" s="137"/>
      <c r="P934" s="13"/>
      <c r="R934" s="13"/>
      <c r="T934" s="13"/>
      <c r="V934" s="13"/>
      <c r="X934" s="13"/>
      <c r="AP934" s="14"/>
      <c r="AQ934" s="14"/>
      <c r="AR934" s="14"/>
    </row>
    <row r="935" ht="15.75" customHeight="1">
      <c r="B935" s="137"/>
      <c r="P935" s="13"/>
      <c r="R935" s="13"/>
      <c r="T935" s="13"/>
      <c r="V935" s="13"/>
      <c r="X935" s="13"/>
      <c r="AP935" s="14"/>
      <c r="AQ935" s="14"/>
      <c r="AR935" s="14"/>
    </row>
    <row r="936" ht="15.75" customHeight="1">
      <c r="B936" s="137"/>
      <c r="P936" s="13"/>
      <c r="R936" s="13"/>
      <c r="T936" s="13"/>
      <c r="V936" s="13"/>
      <c r="X936" s="13"/>
      <c r="AP936" s="14"/>
      <c r="AQ936" s="14"/>
      <c r="AR936" s="14"/>
    </row>
    <row r="937" ht="15.75" customHeight="1">
      <c r="B937" s="137"/>
      <c r="P937" s="13"/>
      <c r="R937" s="13"/>
      <c r="T937" s="13"/>
      <c r="V937" s="13"/>
      <c r="X937" s="13"/>
      <c r="AP937" s="14"/>
      <c r="AQ937" s="14"/>
      <c r="AR937" s="14"/>
    </row>
    <row r="938" ht="15.75" customHeight="1">
      <c r="B938" s="137"/>
      <c r="P938" s="13"/>
      <c r="R938" s="13"/>
      <c r="T938" s="13"/>
      <c r="V938" s="13"/>
      <c r="X938" s="13"/>
      <c r="AP938" s="14"/>
      <c r="AQ938" s="14"/>
      <c r="AR938" s="14"/>
    </row>
    <row r="939" ht="15.75" customHeight="1">
      <c r="B939" s="137"/>
      <c r="P939" s="13"/>
      <c r="R939" s="13"/>
      <c r="T939" s="13"/>
      <c r="V939" s="13"/>
      <c r="X939" s="13"/>
      <c r="AP939" s="14"/>
      <c r="AQ939" s="14"/>
      <c r="AR939" s="14"/>
    </row>
    <row r="940" ht="15.75" customHeight="1">
      <c r="B940" s="137"/>
      <c r="P940" s="13"/>
      <c r="R940" s="13"/>
      <c r="T940" s="13"/>
      <c r="V940" s="13"/>
      <c r="X940" s="13"/>
      <c r="AP940" s="14"/>
      <c r="AQ940" s="14"/>
      <c r="AR940" s="14"/>
    </row>
    <row r="941" ht="15.75" customHeight="1">
      <c r="B941" s="137"/>
      <c r="P941" s="13"/>
      <c r="R941" s="13"/>
      <c r="T941" s="13"/>
      <c r="V941" s="13"/>
      <c r="X941" s="13"/>
      <c r="AP941" s="14"/>
      <c r="AQ941" s="14"/>
      <c r="AR941" s="14"/>
    </row>
    <row r="942" ht="15.75" customHeight="1">
      <c r="B942" s="137"/>
      <c r="P942" s="13"/>
      <c r="R942" s="13"/>
      <c r="T942" s="13"/>
      <c r="V942" s="13"/>
      <c r="X942" s="13"/>
      <c r="AP942" s="14"/>
      <c r="AQ942" s="14"/>
      <c r="AR942" s="14"/>
    </row>
    <row r="943" ht="15.75" customHeight="1">
      <c r="B943" s="137"/>
      <c r="P943" s="13"/>
      <c r="R943" s="13"/>
      <c r="T943" s="13"/>
      <c r="V943" s="13"/>
      <c r="X943" s="13"/>
      <c r="AP943" s="14"/>
      <c r="AQ943" s="14"/>
      <c r="AR943" s="14"/>
    </row>
    <row r="944" ht="15.75" customHeight="1">
      <c r="B944" s="137"/>
      <c r="P944" s="13"/>
      <c r="R944" s="13"/>
      <c r="T944" s="13"/>
      <c r="V944" s="13"/>
      <c r="X944" s="13"/>
      <c r="AP944" s="14"/>
      <c r="AQ944" s="14"/>
      <c r="AR944" s="14"/>
    </row>
    <row r="945" ht="15.75" customHeight="1">
      <c r="B945" s="137"/>
      <c r="P945" s="13"/>
      <c r="R945" s="13"/>
      <c r="T945" s="13"/>
      <c r="V945" s="13"/>
      <c r="X945" s="13"/>
      <c r="AP945" s="14"/>
      <c r="AQ945" s="14"/>
      <c r="AR945" s="14"/>
    </row>
    <row r="946" ht="15.75" customHeight="1">
      <c r="B946" s="137"/>
      <c r="P946" s="13"/>
      <c r="R946" s="13"/>
      <c r="T946" s="13"/>
      <c r="V946" s="13"/>
      <c r="X946" s="13"/>
      <c r="AP946" s="14"/>
      <c r="AQ946" s="14"/>
      <c r="AR946" s="14"/>
    </row>
    <row r="947" ht="15.75" customHeight="1">
      <c r="B947" s="137"/>
      <c r="P947" s="13"/>
      <c r="R947" s="13"/>
      <c r="T947" s="13"/>
      <c r="V947" s="13"/>
      <c r="X947" s="13"/>
      <c r="AP947" s="14"/>
      <c r="AQ947" s="14"/>
      <c r="AR947" s="14"/>
    </row>
    <row r="948" ht="15.75" customHeight="1">
      <c r="B948" s="137"/>
      <c r="P948" s="13"/>
      <c r="R948" s="13"/>
      <c r="T948" s="13"/>
      <c r="V948" s="13"/>
      <c r="X948" s="13"/>
      <c r="AP948" s="14"/>
      <c r="AQ948" s="14"/>
      <c r="AR948" s="14"/>
    </row>
    <row r="949" ht="15.75" customHeight="1">
      <c r="B949" s="137"/>
      <c r="P949" s="13"/>
      <c r="R949" s="13"/>
      <c r="T949" s="13"/>
      <c r="V949" s="13"/>
      <c r="X949" s="13"/>
      <c r="AP949" s="14"/>
      <c r="AQ949" s="14"/>
      <c r="AR949" s="14"/>
    </row>
    <row r="950" ht="15.75" customHeight="1">
      <c r="B950" s="137"/>
      <c r="P950" s="13"/>
      <c r="R950" s="13"/>
      <c r="T950" s="13"/>
      <c r="V950" s="13"/>
      <c r="X950" s="13"/>
      <c r="AP950" s="14"/>
      <c r="AQ950" s="14"/>
      <c r="AR950" s="14"/>
    </row>
    <row r="951" ht="15.75" customHeight="1">
      <c r="B951" s="137"/>
      <c r="P951" s="13"/>
      <c r="R951" s="13"/>
      <c r="T951" s="13"/>
      <c r="V951" s="13"/>
      <c r="X951" s="13"/>
      <c r="AP951" s="14"/>
      <c r="AQ951" s="14"/>
      <c r="AR951" s="14"/>
    </row>
    <row r="952" ht="15.75" customHeight="1">
      <c r="B952" s="137"/>
      <c r="P952" s="13"/>
      <c r="R952" s="13"/>
      <c r="T952" s="13"/>
      <c r="V952" s="13"/>
      <c r="X952" s="13"/>
      <c r="AP952" s="14"/>
      <c r="AQ952" s="14"/>
      <c r="AR952" s="14"/>
    </row>
    <row r="953" ht="15.75" customHeight="1">
      <c r="B953" s="137"/>
      <c r="P953" s="13"/>
      <c r="R953" s="13"/>
      <c r="T953" s="13"/>
      <c r="V953" s="13"/>
      <c r="X953" s="13"/>
      <c r="AP953" s="14"/>
      <c r="AQ953" s="14"/>
      <c r="AR953" s="14"/>
    </row>
    <row r="954" ht="15.75" customHeight="1">
      <c r="B954" s="137"/>
      <c r="P954" s="13"/>
      <c r="R954" s="13"/>
      <c r="T954" s="13"/>
      <c r="V954" s="13"/>
      <c r="X954" s="13"/>
      <c r="AP954" s="14"/>
      <c r="AQ954" s="14"/>
      <c r="AR954" s="14"/>
    </row>
    <row r="955" ht="15.75" customHeight="1">
      <c r="B955" s="137"/>
      <c r="P955" s="13"/>
      <c r="R955" s="13"/>
      <c r="T955" s="13"/>
      <c r="V955" s="13"/>
      <c r="X955" s="13"/>
      <c r="AP955" s="14"/>
      <c r="AQ955" s="14"/>
      <c r="AR955" s="14"/>
    </row>
    <row r="956" ht="15.75" customHeight="1">
      <c r="B956" s="137"/>
      <c r="P956" s="13"/>
      <c r="R956" s="13"/>
      <c r="T956" s="13"/>
      <c r="V956" s="13"/>
      <c r="X956" s="13"/>
      <c r="AP956" s="14"/>
      <c r="AQ956" s="14"/>
      <c r="AR956" s="14"/>
    </row>
    <row r="957" ht="15.75" customHeight="1">
      <c r="B957" s="137"/>
      <c r="P957" s="13"/>
      <c r="R957" s="13"/>
      <c r="T957" s="13"/>
      <c r="V957" s="13"/>
      <c r="X957" s="13"/>
      <c r="AP957" s="14"/>
      <c r="AQ957" s="14"/>
      <c r="AR957" s="14"/>
    </row>
    <row r="958" ht="15.75" customHeight="1">
      <c r="B958" s="137"/>
      <c r="P958" s="13"/>
      <c r="R958" s="13"/>
      <c r="T958" s="13"/>
      <c r="V958" s="13"/>
      <c r="X958" s="13"/>
      <c r="AP958" s="14"/>
      <c r="AQ958" s="14"/>
      <c r="AR958" s="14"/>
    </row>
    <row r="959" ht="15.75" customHeight="1">
      <c r="B959" s="137"/>
      <c r="P959" s="13"/>
      <c r="R959" s="13"/>
      <c r="T959" s="13"/>
      <c r="V959" s="13"/>
      <c r="X959" s="13"/>
      <c r="AP959" s="14"/>
      <c r="AQ959" s="14"/>
      <c r="AR959" s="14"/>
    </row>
    <row r="960" ht="15.75" customHeight="1">
      <c r="B960" s="137"/>
      <c r="P960" s="13"/>
      <c r="R960" s="13"/>
      <c r="T960" s="13"/>
      <c r="V960" s="13"/>
      <c r="X960" s="13"/>
      <c r="AP960" s="14"/>
      <c r="AQ960" s="14"/>
      <c r="AR960" s="14"/>
    </row>
    <row r="961" ht="15.75" customHeight="1">
      <c r="B961" s="137"/>
      <c r="P961" s="13"/>
      <c r="R961" s="13"/>
      <c r="T961" s="13"/>
      <c r="V961" s="13"/>
      <c r="X961" s="13"/>
      <c r="AP961" s="14"/>
      <c r="AQ961" s="14"/>
      <c r="AR961" s="14"/>
    </row>
    <row r="962" ht="15.75" customHeight="1">
      <c r="B962" s="137"/>
      <c r="P962" s="13"/>
      <c r="R962" s="13"/>
      <c r="T962" s="13"/>
      <c r="V962" s="13"/>
      <c r="X962" s="13"/>
      <c r="AP962" s="14"/>
      <c r="AQ962" s="14"/>
      <c r="AR962" s="14"/>
    </row>
    <row r="963" ht="15.75" customHeight="1">
      <c r="B963" s="137"/>
      <c r="P963" s="13"/>
      <c r="R963" s="13"/>
      <c r="T963" s="13"/>
      <c r="V963" s="13"/>
      <c r="X963" s="13"/>
      <c r="AP963" s="14"/>
      <c r="AQ963" s="14"/>
      <c r="AR963" s="14"/>
    </row>
    <row r="964" ht="15.75" customHeight="1">
      <c r="B964" s="137"/>
      <c r="P964" s="13"/>
      <c r="R964" s="13"/>
      <c r="T964" s="13"/>
      <c r="V964" s="13"/>
      <c r="X964" s="13"/>
      <c r="AP964" s="14"/>
      <c r="AQ964" s="14"/>
      <c r="AR964" s="14"/>
    </row>
    <row r="965" ht="15.75" customHeight="1">
      <c r="B965" s="137"/>
      <c r="P965" s="13"/>
      <c r="R965" s="13"/>
      <c r="T965" s="13"/>
      <c r="V965" s="13"/>
      <c r="X965" s="13"/>
      <c r="AP965" s="14"/>
      <c r="AQ965" s="14"/>
      <c r="AR965" s="14"/>
    </row>
    <row r="966" ht="15.75" customHeight="1">
      <c r="B966" s="137"/>
      <c r="P966" s="13"/>
      <c r="R966" s="13"/>
      <c r="T966" s="13"/>
      <c r="V966" s="13"/>
      <c r="X966" s="13"/>
      <c r="AP966" s="14"/>
      <c r="AQ966" s="14"/>
      <c r="AR966" s="14"/>
    </row>
    <row r="967" ht="15.75" customHeight="1">
      <c r="B967" s="137"/>
      <c r="P967" s="13"/>
      <c r="R967" s="13"/>
      <c r="T967" s="13"/>
      <c r="V967" s="13"/>
      <c r="X967" s="13"/>
      <c r="AP967" s="14"/>
      <c r="AQ967" s="14"/>
      <c r="AR967" s="14"/>
    </row>
    <row r="968" ht="15.75" customHeight="1">
      <c r="B968" s="137"/>
      <c r="P968" s="13"/>
      <c r="R968" s="13"/>
      <c r="T968" s="13"/>
      <c r="V968" s="13"/>
      <c r="X968" s="13"/>
      <c r="AP968" s="14"/>
      <c r="AQ968" s="14"/>
      <c r="AR968" s="14"/>
    </row>
    <row r="969" ht="15.75" customHeight="1">
      <c r="B969" s="137"/>
      <c r="P969" s="13"/>
      <c r="R969" s="13"/>
      <c r="T969" s="13"/>
      <c r="V969" s="13"/>
      <c r="X969" s="13"/>
      <c r="AP969" s="14"/>
      <c r="AQ969" s="14"/>
      <c r="AR969" s="14"/>
    </row>
    <row r="970" ht="15.75" customHeight="1">
      <c r="B970" s="137"/>
      <c r="P970" s="13"/>
      <c r="R970" s="13"/>
      <c r="T970" s="13"/>
      <c r="V970" s="13"/>
      <c r="X970" s="13"/>
      <c r="AP970" s="14"/>
      <c r="AQ970" s="14"/>
      <c r="AR970" s="14"/>
    </row>
    <row r="971" ht="15.75" customHeight="1">
      <c r="B971" s="137"/>
      <c r="P971" s="13"/>
      <c r="R971" s="13"/>
      <c r="T971" s="13"/>
      <c r="V971" s="13"/>
      <c r="X971" s="13"/>
      <c r="AP971" s="14"/>
      <c r="AQ971" s="14"/>
      <c r="AR971" s="14"/>
    </row>
    <row r="972" ht="15.75" customHeight="1">
      <c r="B972" s="137"/>
      <c r="P972" s="13"/>
      <c r="R972" s="13"/>
      <c r="T972" s="13"/>
      <c r="V972" s="13"/>
      <c r="X972" s="13"/>
      <c r="AP972" s="14"/>
      <c r="AQ972" s="14"/>
      <c r="AR972" s="14"/>
    </row>
    <row r="973" ht="15.75" customHeight="1">
      <c r="B973" s="137"/>
      <c r="P973" s="13"/>
      <c r="R973" s="13"/>
      <c r="T973" s="13"/>
      <c r="V973" s="13"/>
      <c r="X973" s="13"/>
      <c r="AP973" s="14"/>
      <c r="AQ973" s="14"/>
      <c r="AR973" s="14"/>
    </row>
    <row r="974" ht="15.75" customHeight="1">
      <c r="B974" s="137"/>
      <c r="P974" s="13"/>
      <c r="R974" s="13"/>
      <c r="T974" s="13"/>
      <c r="V974" s="13"/>
      <c r="X974" s="13"/>
      <c r="AP974" s="14"/>
      <c r="AQ974" s="14"/>
      <c r="AR974" s="14"/>
    </row>
    <row r="975" ht="15.75" customHeight="1">
      <c r="B975" s="137"/>
      <c r="P975" s="13"/>
      <c r="R975" s="13"/>
      <c r="T975" s="13"/>
      <c r="V975" s="13"/>
      <c r="X975" s="13"/>
      <c r="AP975" s="14"/>
      <c r="AQ975" s="14"/>
      <c r="AR975" s="14"/>
    </row>
    <row r="976" ht="15.75" customHeight="1">
      <c r="B976" s="137"/>
      <c r="P976" s="13"/>
      <c r="R976" s="13"/>
      <c r="T976" s="13"/>
      <c r="V976" s="13"/>
      <c r="X976" s="13"/>
      <c r="AP976" s="14"/>
      <c r="AQ976" s="14"/>
      <c r="AR976" s="14"/>
    </row>
    <row r="977" ht="15.75" customHeight="1">
      <c r="B977" s="137"/>
      <c r="P977" s="13"/>
      <c r="R977" s="13"/>
      <c r="T977" s="13"/>
      <c r="V977" s="13"/>
      <c r="X977" s="13"/>
      <c r="AP977" s="14"/>
      <c r="AQ977" s="14"/>
      <c r="AR977" s="14"/>
    </row>
    <row r="978" ht="15.75" customHeight="1">
      <c r="B978" s="137"/>
      <c r="P978" s="13"/>
      <c r="R978" s="13"/>
      <c r="T978" s="13"/>
      <c r="V978" s="13"/>
      <c r="X978" s="13"/>
      <c r="AP978" s="14"/>
      <c r="AQ978" s="14"/>
      <c r="AR978" s="14"/>
    </row>
    <row r="979" ht="15.75" customHeight="1">
      <c r="B979" s="137"/>
      <c r="P979" s="13"/>
      <c r="R979" s="13"/>
      <c r="T979" s="13"/>
      <c r="V979" s="13"/>
      <c r="X979" s="13"/>
      <c r="AP979" s="14"/>
      <c r="AQ979" s="14"/>
      <c r="AR979" s="14"/>
    </row>
    <row r="980" ht="15.75" customHeight="1">
      <c r="B980" s="137"/>
      <c r="P980" s="13"/>
      <c r="R980" s="13"/>
      <c r="T980" s="13"/>
      <c r="V980" s="13"/>
      <c r="X980" s="13"/>
      <c r="AP980" s="14"/>
      <c r="AQ980" s="14"/>
      <c r="AR980" s="14"/>
    </row>
    <row r="981" ht="15.75" customHeight="1">
      <c r="B981" s="137"/>
      <c r="P981" s="13"/>
      <c r="R981" s="13"/>
      <c r="T981" s="13"/>
      <c r="V981" s="13"/>
      <c r="X981" s="13"/>
      <c r="AP981" s="14"/>
      <c r="AQ981" s="14"/>
      <c r="AR981" s="14"/>
    </row>
    <row r="982" ht="15.75" customHeight="1">
      <c r="B982" s="137"/>
      <c r="P982" s="13"/>
      <c r="R982" s="13"/>
      <c r="T982" s="13"/>
      <c r="V982" s="13"/>
      <c r="X982" s="13"/>
      <c r="AP982" s="14"/>
      <c r="AQ982" s="14"/>
      <c r="AR982" s="14"/>
    </row>
    <row r="983" ht="15.75" customHeight="1">
      <c r="B983" s="137"/>
      <c r="P983" s="13"/>
      <c r="R983" s="13"/>
      <c r="T983" s="13"/>
      <c r="V983" s="13"/>
      <c r="X983" s="13"/>
      <c r="AP983" s="14"/>
      <c r="AQ983" s="14"/>
      <c r="AR983" s="14"/>
    </row>
    <row r="984" ht="15.75" customHeight="1">
      <c r="B984" s="137"/>
      <c r="P984" s="13"/>
      <c r="R984" s="13"/>
      <c r="T984" s="13"/>
      <c r="V984" s="13"/>
      <c r="X984" s="13"/>
      <c r="AP984" s="14"/>
      <c r="AQ984" s="14"/>
      <c r="AR984" s="14"/>
    </row>
    <row r="985" ht="15.75" customHeight="1">
      <c r="B985" s="137"/>
      <c r="P985" s="13"/>
      <c r="R985" s="13"/>
      <c r="T985" s="13"/>
      <c r="V985" s="13"/>
      <c r="X985" s="13"/>
      <c r="AP985" s="14"/>
      <c r="AQ985" s="14"/>
      <c r="AR985" s="14"/>
    </row>
    <row r="986" ht="15.75" customHeight="1">
      <c r="B986" s="137"/>
      <c r="P986" s="13"/>
      <c r="R986" s="13"/>
      <c r="T986" s="13"/>
      <c r="V986" s="13"/>
      <c r="X986" s="13"/>
      <c r="AP986" s="14"/>
      <c r="AQ986" s="14"/>
      <c r="AR986" s="14"/>
    </row>
    <row r="987" ht="15.75" customHeight="1">
      <c r="B987" s="137"/>
      <c r="P987" s="13"/>
      <c r="R987" s="13"/>
      <c r="T987" s="13"/>
      <c r="V987" s="13"/>
      <c r="X987" s="13"/>
      <c r="AP987" s="14"/>
      <c r="AQ987" s="14"/>
      <c r="AR987" s="14"/>
    </row>
    <row r="988" ht="15.75" customHeight="1">
      <c r="B988" s="137"/>
      <c r="P988" s="13"/>
      <c r="R988" s="13"/>
      <c r="T988" s="13"/>
      <c r="V988" s="13"/>
      <c r="X988" s="13"/>
      <c r="AP988" s="14"/>
      <c r="AQ988" s="14"/>
      <c r="AR988" s="14"/>
    </row>
    <row r="989" ht="15.75" customHeight="1">
      <c r="B989" s="137"/>
      <c r="P989" s="13"/>
      <c r="R989" s="13"/>
      <c r="T989" s="13"/>
      <c r="V989" s="13"/>
      <c r="X989" s="13"/>
      <c r="AP989" s="14"/>
      <c r="AQ989" s="14"/>
      <c r="AR989" s="14"/>
    </row>
    <row r="990" ht="15.75" customHeight="1">
      <c r="B990" s="137"/>
      <c r="P990" s="13"/>
      <c r="R990" s="13"/>
      <c r="T990" s="13"/>
      <c r="V990" s="13"/>
      <c r="X990" s="13"/>
      <c r="AP990" s="14"/>
      <c r="AQ990" s="14"/>
      <c r="AR990" s="14"/>
    </row>
    <row r="991" ht="15.75" customHeight="1">
      <c r="B991" s="137"/>
      <c r="P991" s="13"/>
      <c r="R991" s="13"/>
      <c r="T991" s="13"/>
      <c r="V991" s="13"/>
      <c r="X991" s="13"/>
      <c r="AP991" s="14"/>
      <c r="AQ991" s="14"/>
      <c r="AR991" s="14"/>
    </row>
    <row r="992" ht="15.75" customHeight="1">
      <c r="B992" s="137"/>
      <c r="P992" s="13"/>
      <c r="R992" s="13"/>
      <c r="T992" s="13"/>
      <c r="V992" s="13"/>
      <c r="X992" s="13"/>
      <c r="AP992" s="14"/>
      <c r="AQ992" s="14"/>
      <c r="AR992" s="14"/>
    </row>
    <row r="993" ht="15.75" customHeight="1">
      <c r="B993" s="137"/>
      <c r="P993" s="13"/>
      <c r="R993" s="13"/>
      <c r="T993" s="13"/>
      <c r="V993" s="13"/>
      <c r="X993" s="13"/>
      <c r="AP993" s="14"/>
      <c r="AQ993" s="14"/>
      <c r="AR993" s="14"/>
    </row>
    <row r="994" ht="15.75" customHeight="1">
      <c r="B994" s="137"/>
      <c r="P994" s="13"/>
      <c r="R994" s="13"/>
      <c r="T994" s="13"/>
      <c r="V994" s="13"/>
      <c r="X994" s="13"/>
      <c r="AP994" s="14"/>
      <c r="AQ994" s="14"/>
      <c r="AR994" s="14"/>
    </row>
    <row r="995" ht="15.75" customHeight="1">
      <c r="B995" s="137"/>
      <c r="P995" s="13"/>
      <c r="R995" s="13"/>
      <c r="T995" s="13"/>
      <c r="V995" s="13"/>
      <c r="X995" s="13"/>
      <c r="AP995" s="14"/>
      <c r="AQ995" s="14"/>
      <c r="AR995" s="14"/>
    </row>
    <row r="996" ht="15.75" customHeight="1">
      <c r="B996" s="137"/>
      <c r="P996" s="13"/>
      <c r="R996" s="13"/>
      <c r="T996" s="13"/>
      <c r="V996" s="13"/>
      <c r="X996" s="13"/>
      <c r="AP996" s="14"/>
      <c r="AQ996" s="14"/>
      <c r="AR996" s="14"/>
    </row>
    <row r="997" ht="15.75" customHeight="1">
      <c r="B997" s="137"/>
      <c r="P997" s="13"/>
      <c r="R997" s="13"/>
      <c r="T997" s="13"/>
      <c r="V997" s="13"/>
      <c r="X997" s="13"/>
      <c r="AP997" s="14"/>
      <c r="AQ997" s="14"/>
      <c r="AR997" s="14"/>
    </row>
    <row r="998" ht="15.75" customHeight="1">
      <c r="B998" s="137"/>
      <c r="P998" s="13"/>
      <c r="R998" s="13"/>
      <c r="T998" s="13"/>
      <c r="V998" s="13"/>
      <c r="X998" s="13"/>
      <c r="AP998" s="14"/>
      <c r="AQ998" s="14"/>
      <c r="AR998" s="14"/>
    </row>
    <row r="999" ht="15.75" customHeight="1">
      <c r="B999" s="137"/>
      <c r="P999" s="13"/>
      <c r="R999" s="13"/>
      <c r="T999" s="13"/>
      <c r="V999" s="13"/>
      <c r="X999" s="13"/>
      <c r="AP999" s="14"/>
      <c r="AQ999" s="14"/>
      <c r="AR999" s="14"/>
    </row>
    <row r="1000" ht="15.75" customHeight="1">
      <c r="B1000" s="137"/>
      <c r="P1000" s="13"/>
      <c r="R1000" s="13"/>
      <c r="T1000" s="13"/>
      <c r="V1000" s="13"/>
      <c r="X1000" s="13"/>
      <c r="AP1000" s="14"/>
      <c r="AQ1000" s="14"/>
      <c r="AR1000" s="14"/>
    </row>
    <row r="1001" ht="15.75" customHeight="1">
      <c r="B1001" s="137"/>
      <c r="P1001" s="13"/>
      <c r="R1001" s="13"/>
      <c r="T1001" s="13"/>
      <c r="V1001" s="13"/>
      <c r="X1001" s="13"/>
      <c r="AP1001" s="14"/>
      <c r="AQ1001" s="14"/>
      <c r="AR1001" s="14"/>
    </row>
    <row r="1002" ht="15.75" customHeight="1">
      <c r="B1002" s="137"/>
      <c r="P1002" s="13"/>
      <c r="R1002" s="13"/>
      <c r="T1002" s="13"/>
      <c r="V1002" s="13"/>
      <c r="X1002" s="13"/>
      <c r="AP1002" s="14"/>
      <c r="AQ1002" s="14"/>
      <c r="AR1002" s="14"/>
    </row>
    <row r="1003" ht="15.75" customHeight="1">
      <c r="B1003" s="137"/>
      <c r="P1003" s="13"/>
      <c r="R1003" s="13"/>
      <c r="T1003" s="13"/>
      <c r="V1003" s="13"/>
      <c r="X1003" s="13"/>
      <c r="AP1003" s="14"/>
      <c r="AQ1003" s="14"/>
      <c r="AR1003" s="14"/>
    </row>
    <row r="1004" ht="15.75" customHeight="1">
      <c r="B1004" s="137"/>
      <c r="P1004" s="13"/>
      <c r="R1004" s="13"/>
      <c r="T1004" s="13"/>
      <c r="V1004" s="13"/>
      <c r="X1004" s="13"/>
      <c r="AP1004" s="14"/>
      <c r="AQ1004" s="14"/>
      <c r="AR1004" s="14"/>
    </row>
    <row r="1005" ht="15.75" customHeight="1">
      <c r="B1005" s="137"/>
      <c r="P1005" s="13"/>
      <c r="R1005" s="13"/>
      <c r="T1005" s="13"/>
      <c r="V1005" s="13"/>
      <c r="X1005" s="13"/>
      <c r="AP1005" s="14"/>
      <c r="AQ1005" s="14"/>
      <c r="AR1005" s="14"/>
    </row>
    <row r="1006" ht="15.75" customHeight="1">
      <c r="B1006" s="137"/>
      <c r="P1006" s="13"/>
      <c r="R1006" s="13"/>
      <c r="T1006" s="13"/>
      <c r="V1006" s="13"/>
      <c r="X1006" s="13"/>
      <c r="AP1006" s="14"/>
      <c r="AQ1006" s="14"/>
      <c r="AR1006" s="14"/>
    </row>
    <row r="1007" ht="15.75" customHeight="1">
      <c r="B1007" s="137"/>
      <c r="P1007" s="13"/>
      <c r="R1007" s="13"/>
      <c r="T1007" s="13"/>
      <c r="V1007" s="13"/>
      <c r="X1007" s="13"/>
      <c r="AP1007" s="14"/>
      <c r="AQ1007" s="14"/>
      <c r="AR1007" s="14"/>
    </row>
    <row r="1008" ht="15.75" customHeight="1">
      <c r="B1008" s="137"/>
      <c r="P1008" s="13"/>
      <c r="R1008" s="13"/>
      <c r="T1008" s="13"/>
      <c r="V1008" s="13"/>
      <c r="X1008" s="13"/>
      <c r="AP1008" s="14"/>
      <c r="AQ1008" s="14"/>
      <c r="AR1008" s="14"/>
    </row>
    <row r="1009" ht="15.75" customHeight="1">
      <c r="B1009" s="137"/>
      <c r="P1009" s="13"/>
      <c r="R1009" s="13"/>
      <c r="T1009" s="13"/>
      <c r="V1009" s="13"/>
      <c r="X1009" s="13"/>
      <c r="AP1009" s="14"/>
      <c r="AQ1009" s="14"/>
      <c r="AR1009" s="14"/>
    </row>
    <row r="1010" ht="15.75" customHeight="1">
      <c r="B1010" s="137"/>
      <c r="P1010" s="13"/>
      <c r="R1010" s="13"/>
      <c r="T1010" s="13"/>
      <c r="V1010" s="13"/>
      <c r="X1010" s="13"/>
      <c r="AP1010" s="14"/>
      <c r="AQ1010" s="14"/>
      <c r="AR1010" s="14"/>
    </row>
    <row r="1011" ht="15.75" customHeight="1">
      <c r="B1011" s="137"/>
      <c r="P1011" s="13"/>
      <c r="R1011" s="13"/>
      <c r="T1011" s="13"/>
      <c r="V1011" s="13"/>
      <c r="X1011" s="13"/>
      <c r="AP1011" s="14"/>
      <c r="AQ1011" s="14"/>
      <c r="AR1011" s="14"/>
    </row>
    <row r="1012" ht="15.75" customHeight="1">
      <c r="B1012" s="137"/>
      <c r="P1012" s="13"/>
      <c r="R1012" s="13"/>
      <c r="T1012" s="13"/>
      <c r="V1012" s="13"/>
      <c r="X1012" s="13"/>
      <c r="AP1012" s="14"/>
      <c r="AQ1012" s="14"/>
      <c r="AR1012" s="14"/>
    </row>
    <row r="1013" ht="15.75" customHeight="1">
      <c r="B1013" s="137"/>
      <c r="P1013" s="13"/>
      <c r="R1013" s="13"/>
      <c r="T1013" s="13"/>
      <c r="V1013" s="13"/>
      <c r="X1013" s="13"/>
      <c r="AP1013" s="14"/>
      <c r="AQ1013" s="14"/>
      <c r="AR1013" s="14"/>
    </row>
    <row r="1014" ht="15.75" customHeight="1">
      <c r="B1014" s="137"/>
      <c r="P1014" s="13"/>
      <c r="R1014" s="13"/>
      <c r="T1014" s="13"/>
      <c r="V1014" s="13"/>
      <c r="X1014" s="13"/>
      <c r="AP1014" s="14"/>
      <c r="AQ1014" s="14"/>
      <c r="AR1014" s="14"/>
    </row>
    <row r="1015" ht="15.75" customHeight="1">
      <c r="B1015" s="137"/>
      <c r="P1015" s="13"/>
      <c r="R1015" s="13"/>
      <c r="T1015" s="13"/>
      <c r="V1015" s="13"/>
      <c r="X1015" s="13"/>
      <c r="AP1015" s="14"/>
      <c r="AQ1015" s="14"/>
      <c r="AR1015" s="14"/>
    </row>
    <row r="1016" ht="15.75" customHeight="1">
      <c r="B1016" s="137"/>
      <c r="P1016" s="13"/>
      <c r="R1016" s="13"/>
      <c r="T1016" s="13"/>
      <c r="V1016" s="13"/>
      <c r="X1016" s="13"/>
      <c r="AP1016" s="14"/>
      <c r="AQ1016" s="14"/>
      <c r="AR1016" s="14"/>
    </row>
    <row r="1017" ht="15.75" customHeight="1">
      <c r="B1017" s="137"/>
      <c r="P1017" s="13"/>
      <c r="R1017" s="13"/>
      <c r="T1017" s="13"/>
      <c r="V1017" s="13"/>
      <c r="X1017" s="13"/>
      <c r="AP1017" s="14"/>
      <c r="AQ1017" s="14"/>
      <c r="AR1017" s="14"/>
    </row>
    <row r="1018" ht="15.75" customHeight="1">
      <c r="B1018" s="137"/>
      <c r="P1018" s="13"/>
      <c r="R1018" s="13"/>
      <c r="T1018" s="13"/>
      <c r="V1018" s="13"/>
      <c r="X1018" s="13"/>
      <c r="AP1018" s="14"/>
      <c r="AQ1018" s="14"/>
      <c r="AR1018" s="14"/>
    </row>
    <row r="1019" ht="15.75" customHeight="1">
      <c r="B1019" s="137"/>
      <c r="P1019" s="13"/>
      <c r="R1019" s="13"/>
      <c r="T1019" s="13"/>
      <c r="V1019" s="13"/>
      <c r="X1019" s="13"/>
      <c r="AP1019" s="14"/>
      <c r="AQ1019" s="14"/>
      <c r="AR1019" s="14"/>
    </row>
    <row r="1020" ht="15.75" customHeight="1">
      <c r="B1020" s="137"/>
      <c r="P1020" s="13"/>
      <c r="R1020" s="13"/>
      <c r="T1020" s="13"/>
      <c r="V1020" s="13"/>
      <c r="X1020" s="13"/>
      <c r="AP1020" s="14"/>
      <c r="AQ1020" s="14"/>
      <c r="AR1020" s="14"/>
    </row>
    <row r="1021" ht="15.75" customHeight="1">
      <c r="B1021" s="137"/>
      <c r="P1021" s="13"/>
      <c r="R1021" s="13"/>
      <c r="T1021" s="13"/>
      <c r="V1021" s="13"/>
      <c r="X1021" s="13"/>
      <c r="AP1021" s="14"/>
      <c r="AQ1021" s="14"/>
      <c r="AR1021" s="14"/>
    </row>
    <row r="1022" ht="15.75" customHeight="1">
      <c r="B1022" s="137"/>
      <c r="P1022" s="13"/>
      <c r="R1022" s="13"/>
      <c r="T1022" s="13"/>
      <c r="V1022" s="13"/>
      <c r="X1022" s="13"/>
      <c r="AP1022" s="14"/>
      <c r="AQ1022" s="14"/>
      <c r="AR1022" s="14"/>
    </row>
    <row r="1023" ht="15.75" customHeight="1">
      <c r="B1023" s="137"/>
      <c r="P1023" s="13"/>
      <c r="R1023" s="13"/>
      <c r="T1023" s="13"/>
      <c r="V1023" s="13"/>
      <c r="X1023" s="13"/>
      <c r="AP1023" s="14"/>
      <c r="AQ1023" s="14"/>
      <c r="AR1023" s="14"/>
    </row>
    <row r="1024" ht="15.75" customHeight="1">
      <c r="B1024" s="137"/>
      <c r="P1024" s="13"/>
      <c r="R1024" s="13"/>
      <c r="T1024" s="13"/>
      <c r="V1024" s="13"/>
      <c r="X1024" s="13"/>
      <c r="AP1024" s="14"/>
      <c r="AQ1024" s="14"/>
      <c r="AR1024" s="14"/>
    </row>
    <row r="1025" ht="15.75" customHeight="1">
      <c r="B1025" s="137"/>
      <c r="P1025" s="13"/>
      <c r="R1025" s="13"/>
      <c r="T1025" s="13"/>
      <c r="V1025" s="13"/>
      <c r="X1025" s="13"/>
      <c r="AP1025" s="14"/>
      <c r="AQ1025" s="14"/>
      <c r="AR1025" s="14"/>
    </row>
    <row r="1026" ht="15.75" customHeight="1">
      <c r="B1026" s="137"/>
      <c r="P1026" s="13"/>
      <c r="R1026" s="13"/>
      <c r="T1026" s="13"/>
      <c r="V1026" s="13"/>
      <c r="X1026" s="13"/>
      <c r="AP1026" s="14"/>
      <c r="AQ1026" s="14"/>
      <c r="AR1026" s="14"/>
    </row>
    <row r="1027" ht="15.75" customHeight="1">
      <c r="B1027" s="137"/>
      <c r="P1027" s="13"/>
      <c r="R1027" s="13"/>
      <c r="T1027" s="13"/>
      <c r="V1027" s="13"/>
      <c r="X1027" s="13"/>
      <c r="AP1027" s="14"/>
      <c r="AQ1027" s="14"/>
      <c r="AR1027" s="14"/>
    </row>
    <row r="1028" ht="15.75" customHeight="1">
      <c r="B1028" s="137"/>
      <c r="P1028" s="13"/>
      <c r="R1028" s="13"/>
      <c r="T1028" s="13"/>
      <c r="V1028" s="13"/>
      <c r="X1028" s="13"/>
      <c r="AP1028" s="14"/>
      <c r="AQ1028" s="14"/>
      <c r="AR1028" s="14"/>
    </row>
    <row r="1029" ht="15.75" customHeight="1">
      <c r="B1029" s="137"/>
      <c r="P1029" s="13"/>
      <c r="R1029" s="13"/>
      <c r="T1029" s="13"/>
      <c r="V1029" s="13"/>
      <c r="X1029" s="13"/>
      <c r="AP1029" s="14"/>
      <c r="AQ1029" s="14"/>
      <c r="AR1029" s="14"/>
    </row>
    <row r="1030" ht="15.75" customHeight="1">
      <c r="B1030" s="137"/>
      <c r="P1030" s="13"/>
      <c r="R1030" s="13"/>
      <c r="T1030" s="13"/>
      <c r="V1030" s="13"/>
      <c r="X1030" s="13"/>
      <c r="AP1030" s="14"/>
      <c r="AQ1030" s="14"/>
      <c r="AR1030" s="14"/>
    </row>
    <row r="1031" ht="15.75" customHeight="1">
      <c r="B1031" s="137"/>
      <c r="P1031" s="13"/>
      <c r="R1031" s="13"/>
      <c r="T1031" s="13"/>
      <c r="V1031" s="13"/>
      <c r="X1031" s="13"/>
      <c r="AP1031" s="14"/>
      <c r="AQ1031" s="14"/>
      <c r="AR1031" s="14"/>
    </row>
    <row r="1032" ht="15.75" customHeight="1">
      <c r="B1032" s="137"/>
      <c r="P1032" s="13"/>
      <c r="R1032" s="13"/>
      <c r="T1032" s="13"/>
      <c r="V1032" s="13"/>
      <c r="X1032" s="13"/>
      <c r="AP1032" s="14"/>
      <c r="AQ1032" s="14"/>
      <c r="AR1032" s="14"/>
    </row>
    <row r="1033" ht="15.75" customHeight="1">
      <c r="B1033" s="137"/>
      <c r="P1033" s="13"/>
      <c r="R1033" s="13"/>
      <c r="T1033" s="13"/>
      <c r="V1033" s="13"/>
      <c r="X1033" s="13"/>
      <c r="AP1033" s="14"/>
      <c r="AQ1033" s="14"/>
      <c r="AR1033" s="14"/>
    </row>
    <row r="1034" ht="15.75" customHeight="1">
      <c r="B1034" s="137"/>
      <c r="P1034" s="13"/>
      <c r="R1034" s="13"/>
      <c r="T1034" s="13"/>
      <c r="V1034" s="13"/>
      <c r="X1034" s="13"/>
      <c r="AP1034" s="14"/>
      <c r="AQ1034" s="14"/>
      <c r="AR1034" s="14"/>
    </row>
    <row r="1035" ht="15.75" customHeight="1">
      <c r="B1035" s="137"/>
      <c r="P1035" s="13"/>
      <c r="R1035" s="13"/>
      <c r="T1035" s="13"/>
      <c r="V1035" s="13"/>
      <c r="X1035" s="13"/>
      <c r="AP1035" s="14"/>
      <c r="AQ1035" s="14"/>
      <c r="AR1035" s="14"/>
    </row>
    <row r="1036" ht="15.75" customHeight="1">
      <c r="B1036" s="137"/>
      <c r="P1036" s="13"/>
      <c r="R1036" s="13"/>
      <c r="T1036" s="13"/>
      <c r="V1036" s="13"/>
      <c r="X1036" s="13"/>
      <c r="AP1036" s="14"/>
      <c r="AQ1036" s="14"/>
      <c r="AR1036" s="14"/>
    </row>
    <row r="1037" ht="15.75" customHeight="1">
      <c r="B1037" s="137"/>
      <c r="P1037" s="13"/>
      <c r="R1037" s="13"/>
      <c r="T1037" s="13"/>
      <c r="V1037" s="13"/>
      <c r="X1037" s="13"/>
      <c r="AP1037" s="14"/>
      <c r="AQ1037" s="14"/>
      <c r="AR1037" s="14"/>
    </row>
    <row r="1038" ht="15.75" customHeight="1">
      <c r="B1038" s="137"/>
      <c r="P1038" s="13"/>
      <c r="R1038" s="13"/>
      <c r="T1038" s="13"/>
      <c r="V1038" s="13"/>
      <c r="X1038" s="13"/>
      <c r="AP1038" s="14"/>
      <c r="AQ1038" s="14"/>
      <c r="AR1038" s="14"/>
    </row>
    <row r="1039" ht="15.75" customHeight="1">
      <c r="B1039" s="137"/>
      <c r="P1039" s="13"/>
      <c r="R1039" s="13"/>
      <c r="T1039" s="13"/>
      <c r="V1039" s="13"/>
      <c r="X1039" s="13"/>
      <c r="AP1039" s="14"/>
      <c r="AQ1039" s="14"/>
      <c r="AR1039" s="14"/>
    </row>
    <row r="1040" ht="15.75" customHeight="1">
      <c r="B1040" s="137"/>
      <c r="P1040" s="13"/>
      <c r="R1040" s="13"/>
      <c r="T1040" s="13"/>
      <c r="V1040" s="13"/>
      <c r="X1040" s="13"/>
      <c r="AP1040" s="14"/>
      <c r="AQ1040" s="14"/>
      <c r="AR1040" s="14"/>
    </row>
    <row r="1041" ht="15.75" customHeight="1">
      <c r="B1041" s="137"/>
      <c r="P1041" s="13"/>
      <c r="R1041" s="13"/>
      <c r="T1041" s="13"/>
      <c r="V1041" s="13"/>
      <c r="X1041" s="13"/>
      <c r="AP1041" s="14"/>
      <c r="AQ1041" s="14"/>
      <c r="AR1041" s="14"/>
    </row>
    <row r="1042" ht="15.75" customHeight="1">
      <c r="B1042" s="137"/>
      <c r="P1042" s="13"/>
      <c r="R1042" s="13"/>
      <c r="T1042" s="13"/>
      <c r="V1042" s="13"/>
      <c r="X1042" s="13"/>
      <c r="AP1042" s="14"/>
      <c r="AQ1042" s="14"/>
      <c r="AR1042" s="14"/>
    </row>
    <row r="1043" ht="15.75" customHeight="1">
      <c r="B1043" s="137"/>
      <c r="P1043" s="13"/>
      <c r="R1043" s="13"/>
      <c r="T1043" s="13"/>
      <c r="V1043" s="13"/>
      <c r="X1043" s="13"/>
      <c r="AP1043" s="14"/>
      <c r="AQ1043" s="14"/>
      <c r="AR1043" s="14"/>
    </row>
    <row r="1044" ht="15.75" customHeight="1">
      <c r="B1044" s="137"/>
      <c r="P1044" s="13"/>
      <c r="R1044" s="13"/>
      <c r="T1044" s="13"/>
      <c r="V1044" s="13"/>
      <c r="X1044" s="13"/>
      <c r="AP1044" s="14"/>
      <c r="AQ1044" s="14"/>
      <c r="AR1044" s="14"/>
    </row>
    <row r="1045" ht="15.75" customHeight="1">
      <c r="B1045" s="137"/>
      <c r="P1045" s="13"/>
      <c r="R1045" s="13"/>
      <c r="T1045" s="13"/>
      <c r="V1045" s="13"/>
      <c r="X1045" s="13"/>
      <c r="AP1045" s="14"/>
      <c r="AQ1045" s="14"/>
      <c r="AR1045" s="14"/>
    </row>
    <row r="1046" ht="15.75" customHeight="1">
      <c r="B1046" s="137"/>
      <c r="P1046" s="13"/>
      <c r="R1046" s="13"/>
      <c r="T1046" s="13"/>
      <c r="V1046" s="13"/>
      <c r="X1046" s="13"/>
      <c r="AP1046" s="14"/>
      <c r="AQ1046" s="14"/>
      <c r="AR1046" s="14"/>
    </row>
    <row r="1047" ht="15.75" customHeight="1">
      <c r="B1047" s="137"/>
      <c r="P1047" s="13"/>
      <c r="R1047" s="13"/>
      <c r="T1047" s="13"/>
      <c r="V1047" s="13"/>
      <c r="X1047" s="13"/>
      <c r="AP1047" s="14"/>
      <c r="AQ1047" s="14"/>
      <c r="AR1047" s="14"/>
    </row>
    <row r="1048" ht="15.75" customHeight="1">
      <c r="B1048" s="137"/>
      <c r="P1048" s="13"/>
      <c r="R1048" s="13"/>
      <c r="T1048" s="13"/>
      <c r="V1048" s="13"/>
      <c r="X1048" s="13"/>
      <c r="AP1048" s="14"/>
      <c r="AQ1048" s="14"/>
      <c r="AR1048" s="14"/>
    </row>
    <row r="1049" ht="15.75" customHeight="1">
      <c r="B1049" s="137"/>
      <c r="P1049" s="13"/>
      <c r="R1049" s="13"/>
      <c r="T1049" s="13"/>
      <c r="V1049" s="13"/>
      <c r="X1049" s="13"/>
      <c r="AP1049" s="14"/>
      <c r="AQ1049" s="14"/>
      <c r="AR1049" s="14"/>
    </row>
    <row r="1050" ht="15.75" customHeight="1">
      <c r="B1050" s="137"/>
      <c r="P1050" s="13"/>
      <c r="R1050" s="13"/>
      <c r="T1050" s="13"/>
      <c r="V1050" s="13"/>
      <c r="X1050" s="13"/>
      <c r="AP1050" s="14"/>
      <c r="AQ1050" s="14"/>
      <c r="AR1050" s="14"/>
    </row>
    <row r="1051" ht="15.75" customHeight="1">
      <c r="B1051" s="137"/>
      <c r="P1051" s="13"/>
      <c r="R1051" s="13"/>
      <c r="T1051" s="13"/>
      <c r="V1051" s="13"/>
      <c r="X1051" s="13"/>
      <c r="AP1051" s="14"/>
      <c r="AQ1051" s="14"/>
      <c r="AR1051" s="14"/>
    </row>
    <row r="1052" ht="15.75" customHeight="1">
      <c r="B1052" s="137"/>
      <c r="P1052" s="13"/>
      <c r="R1052" s="13"/>
      <c r="T1052" s="13"/>
      <c r="V1052" s="13"/>
      <c r="X1052" s="13"/>
      <c r="AP1052" s="14"/>
      <c r="AQ1052" s="14"/>
      <c r="AR1052" s="14"/>
    </row>
    <row r="1053" ht="15.75" customHeight="1">
      <c r="B1053" s="137"/>
      <c r="P1053" s="13"/>
      <c r="R1053" s="13"/>
      <c r="T1053" s="13"/>
      <c r="V1053" s="13"/>
      <c r="X1053" s="13"/>
      <c r="AP1053" s="14"/>
      <c r="AQ1053" s="14"/>
      <c r="AR1053" s="14"/>
    </row>
    <row r="1054" ht="15.75" customHeight="1">
      <c r="B1054" s="137"/>
      <c r="P1054" s="13"/>
      <c r="R1054" s="13"/>
      <c r="T1054" s="13"/>
      <c r="V1054" s="13"/>
      <c r="X1054" s="13"/>
      <c r="AP1054" s="14"/>
      <c r="AQ1054" s="14"/>
      <c r="AR1054" s="14"/>
    </row>
    <row r="1055" ht="15.75" customHeight="1">
      <c r="B1055" s="137"/>
      <c r="P1055" s="13"/>
      <c r="R1055" s="13"/>
      <c r="T1055" s="13"/>
      <c r="V1055" s="13"/>
      <c r="X1055" s="13"/>
      <c r="AP1055" s="14"/>
      <c r="AQ1055" s="14"/>
      <c r="AR1055" s="14"/>
    </row>
    <row r="1056" ht="15.75" customHeight="1">
      <c r="B1056" s="137"/>
      <c r="P1056" s="13"/>
      <c r="R1056" s="13"/>
      <c r="T1056" s="13"/>
      <c r="V1056" s="13"/>
      <c r="X1056" s="13"/>
      <c r="AP1056" s="14"/>
      <c r="AQ1056" s="14"/>
      <c r="AR1056" s="14"/>
    </row>
    <row r="1057" ht="15.75" customHeight="1">
      <c r="B1057" s="137"/>
      <c r="P1057" s="13"/>
      <c r="R1057" s="13"/>
      <c r="T1057" s="13"/>
      <c r="V1057" s="13"/>
      <c r="X1057" s="13"/>
      <c r="AP1057" s="14"/>
      <c r="AQ1057" s="14"/>
      <c r="AR1057" s="14"/>
    </row>
    <row r="1058" ht="15.75" customHeight="1">
      <c r="B1058" s="137"/>
      <c r="P1058" s="13"/>
      <c r="R1058" s="13"/>
      <c r="T1058" s="13"/>
      <c r="V1058" s="13"/>
      <c r="X1058" s="13"/>
      <c r="AP1058" s="14"/>
      <c r="AQ1058" s="14"/>
      <c r="AR1058" s="14"/>
    </row>
    <row r="1059" ht="15.75" customHeight="1">
      <c r="B1059" s="137"/>
      <c r="P1059" s="13"/>
      <c r="R1059" s="13"/>
      <c r="T1059" s="13"/>
      <c r="V1059" s="13"/>
      <c r="X1059" s="13"/>
      <c r="AP1059" s="14"/>
      <c r="AQ1059" s="14"/>
      <c r="AR1059" s="14"/>
    </row>
    <row r="1060" ht="15.75" customHeight="1">
      <c r="B1060" s="137"/>
      <c r="P1060" s="13"/>
      <c r="R1060" s="13"/>
      <c r="T1060" s="13"/>
      <c r="V1060" s="13"/>
      <c r="X1060" s="13"/>
      <c r="AP1060" s="14"/>
      <c r="AQ1060" s="14"/>
      <c r="AR1060" s="14"/>
    </row>
    <row r="1061" ht="15.75" customHeight="1">
      <c r="B1061" s="137"/>
      <c r="P1061" s="13"/>
      <c r="R1061" s="13"/>
      <c r="T1061" s="13"/>
      <c r="V1061" s="13"/>
      <c r="X1061" s="13"/>
      <c r="AP1061" s="14"/>
      <c r="AQ1061" s="14"/>
      <c r="AR1061" s="14"/>
    </row>
    <row r="1062" ht="15.75" customHeight="1">
      <c r="B1062" s="137"/>
      <c r="P1062" s="13"/>
      <c r="R1062" s="13"/>
      <c r="T1062" s="13"/>
      <c r="V1062" s="13"/>
      <c r="X1062" s="13"/>
      <c r="AP1062" s="14"/>
      <c r="AQ1062" s="14"/>
      <c r="AR1062" s="14"/>
    </row>
    <row r="1063" ht="15.75" customHeight="1">
      <c r="B1063" s="137"/>
      <c r="P1063" s="13"/>
      <c r="R1063" s="13"/>
      <c r="T1063" s="13"/>
      <c r="V1063" s="13"/>
      <c r="X1063" s="13"/>
      <c r="AP1063" s="14"/>
      <c r="AQ1063" s="14"/>
      <c r="AR1063" s="14"/>
    </row>
    <row r="1064" ht="15.75" customHeight="1">
      <c r="B1064" s="137"/>
      <c r="P1064" s="13"/>
      <c r="R1064" s="13"/>
      <c r="T1064" s="13"/>
      <c r="V1064" s="13"/>
      <c r="X1064" s="13"/>
      <c r="AP1064" s="14"/>
      <c r="AQ1064" s="14"/>
      <c r="AR1064" s="14"/>
    </row>
    <row r="1065" ht="15.75" customHeight="1">
      <c r="B1065" s="137"/>
      <c r="P1065" s="13"/>
      <c r="R1065" s="13"/>
      <c r="T1065" s="13"/>
      <c r="V1065" s="13"/>
      <c r="X1065" s="13"/>
      <c r="AP1065" s="14"/>
      <c r="AQ1065" s="14"/>
      <c r="AR1065" s="14"/>
    </row>
    <row r="1066" ht="15.75" customHeight="1">
      <c r="B1066" s="137"/>
      <c r="P1066" s="13"/>
      <c r="R1066" s="13"/>
      <c r="T1066" s="13"/>
      <c r="V1066" s="13"/>
      <c r="X1066" s="13"/>
      <c r="AP1066" s="14"/>
      <c r="AQ1066" s="14"/>
      <c r="AR1066" s="14"/>
    </row>
    <row r="1067" ht="15.75" customHeight="1">
      <c r="B1067" s="137"/>
      <c r="P1067" s="13"/>
      <c r="R1067" s="13"/>
      <c r="T1067" s="13"/>
      <c r="V1067" s="13"/>
      <c r="X1067" s="13"/>
      <c r="AP1067" s="14"/>
      <c r="AQ1067" s="14"/>
      <c r="AR1067" s="14"/>
    </row>
    <row r="1068" ht="15.75" customHeight="1">
      <c r="B1068" s="137"/>
      <c r="P1068" s="13"/>
      <c r="R1068" s="13"/>
      <c r="T1068" s="13"/>
      <c r="V1068" s="13"/>
      <c r="X1068" s="13"/>
      <c r="AP1068" s="14"/>
      <c r="AQ1068" s="14"/>
      <c r="AR1068" s="14"/>
    </row>
    <row r="1069" ht="15.75" customHeight="1">
      <c r="B1069" s="137"/>
      <c r="P1069" s="13"/>
      <c r="R1069" s="13"/>
      <c r="T1069" s="13"/>
      <c r="V1069" s="13"/>
      <c r="X1069" s="13"/>
      <c r="AP1069" s="14"/>
      <c r="AQ1069" s="14"/>
      <c r="AR1069" s="14"/>
    </row>
    <row r="1070" ht="15.75" customHeight="1">
      <c r="B1070" s="137"/>
      <c r="P1070" s="13"/>
      <c r="R1070" s="13"/>
      <c r="T1070" s="13"/>
      <c r="V1070" s="13"/>
      <c r="X1070" s="13"/>
      <c r="AP1070" s="14"/>
      <c r="AQ1070" s="14"/>
      <c r="AR1070" s="14"/>
    </row>
    <row r="1071" ht="15.75" customHeight="1">
      <c r="B1071" s="137"/>
      <c r="P1071" s="13"/>
      <c r="R1071" s="13"/>
      <c r="T1071" s="13"/>
      <c r="V1071" s="13"/>
      <c r="X1071" s="13"/>
      <c r="AP1071" s="14"/>
      <c r="AQ1071" s="14"/>
      <c r="AR1071" s="14"/>
    </row>
    <row r="1072" ht="15.75" customHeight="1">
      <c r="B1072" s="137"/>
      <c r="P1072" s="13"/>
      <c r="R1072" s="13"/>
      <c r="T1072" s="13"/>
      <c r="V1072" s="13"/>
      <c r="X1072" s="13"/>
      <c r="AP1072" s="14"/>
      <c r="AQ1072" s="14"/>
      <c r="AR1072" s="14"/>
    </row>
    <row r="1073" ht="15.75" customHeight="1">
      <c r="B1073" s="137"/>
      <c r="P1073" s="13"/>
      <c r="R1073" s="13"/>
      <c r="T1073" s="13"/>
      <c r="V1073" s="13"/>
      <c r="X1073" s="13"/>
      <c r="AP1073" s="14"/>
      <c r="AQ1073" s="14"/>
      <c r="AR1073" s="14"/>
    </row>
    <row r="1074" ht="15.75" customHeight="1">
      <c r="B1074" s="137"/>
      <c r="P1074" s="13"/>
      <c r="R1074" s="13"/>
      <c r="T1074" s="13"/>
      <c r="V1074" s="13"/>
      <c r="X1074" s="13"/>
      <c r="AP1074" s="14"/>
      <c r="AQ1074" s="14"/>
      <c r="AR1074" s="14"/>
    </row>
    <row r="1075" ht="15.75" customHeight="1">
      <c r="B1075" s="137"/>
      <c r="P1075" s="13"/>
      <c r="R1075" s="13"/>
      <c r="T1075" s="13"/>
      <c r="V1075" s="13"/>
      <c r="X1075" s="13"/>
      <c r="AP1075" s="14"/>
      <c r="AQ1075" s="14"/>
      <c r="AR1075" s="14"/>
    </row>
    <row r="1076" ht="15.75" customHeight="1">
      <c r="B1076" s="137"/>
      <c r="P1076" s="13"/>
      <c r="R1076" s="13"/>
      <c r="T1076" s="13"/>
      <c r="V1076" s="13"/>
      <c r="X1076" s="13"/>
      <c r="AP1076" s="14"/>
      <c r="AQ1076" s="14"/>
      <c r="AR1076" s="14"/>
    </row>
    <row r="1077" ht="15.75" customHeight="1">
      <c r="B1077" s="137"/>
      <c r="P1077" s="13"/>
      <c r="R1077" s="13"/>
      <c r="T1077" s="13"/>
      <c r="V1077" s="13"/>
      <c r="X1077" s="13"/>
      <c r="AP1077" s="14"/>
      <c r="AQ1077" s="14"/>
      <c r="AR1077" s="14"/>
    </row>
    <row r="1078" ht="15.75" customHeight="1">
      <c r="B1078" s="137"/>
      <c r="P1078" s="13"/>
      <c r="R1078" s="13"/>
      <c r="T1078" s="13"/>
      <c r="V1078" s="13"/>
      <c r="X1078" s="13"/>
      <c r="AP1078" s="14"/>
      <c r="AQ1078" s="14"/>
      <c r="AR1078" s="14"/>
    </row>
    <row r="1079" ht="15.75" customHeight="1">
      <c r="B1079" s="137"/>
      <c r="P1079" s="13"/>
      <c r="R1079" s="13"/>
      <c r="T1079" s="13"/>
      <c r="V1079" s="13"/>
      <c r="X1079" s="13"/>
      <c r="AP1079" s="14"/>
      <c r="AQ1079" s="14"/>
      <c r="AR1079" s="14"/>
    </row>
    <row r="1080" ht="15.75" customHeight="1">
      <c r="B1080" s="137"/>
      <c r="P1080" s="13"/>
      <c r="R1080" s="13"/>
      <c r="T1080" s="13"/>
      <c r="V1080" s="13"/>
      <c r="X1080" s="13"/>
      <c r="AP1080" s="14"/>
      <c r="AQ1080" s="14"/>
      <c r="AR1080" s="14"/>
    </row>
    <row r="1081" ht="15.75" customHeight="1">
      <c r="B1081" s="137"/>
      <c r="P1081" s="13"/>
      <c r="R1081" s="13"/>
      <c r="T1081" s="13"/>
      <c r="V1081" s="13"/>
      <c r="X1081" s="13"/>
      <c r="AP1081" s="14"/>
      <c r="AQ1081" s="14"/>
      <c r="AR1081" s="14"/>
    </row>
    <row r="1082" ht="15.75" customHeight="1">
      <c r="B1082" s="137"/>
      <c r="P1082" s="13"/>
      <c r="R1082" s="13"/>
      <c r="T1082" s="13"/>
      <c r="V1082" s="13"/>
      <c r="X1082" s="13"/>
      <c r="AP1082" s="14"/>
      <c r="AQ1082" s="14"/>
      <c r="AR1082" s="14"/>
    </row>
    <row r="1083" ht="15.75" customHeight="1">
      <c r="B1083" s="137"/>
      <c r="P1083" s="13"/>
      <c r="R1083" s="13"/>
      <c r="T1083" s="13"/>
      <c r="V1083" s="13"/>
      <c r="X1083" s="13"/>
      <c r="AP1083" s="14"/>
      <c r="AQ1083" s="14"/>
      <c r="AR1083" s="14"/>
    </row>
  </sheetData>
  <mergeCells count="47">
    <mergeCell ref="A5:C5"/>
    <mergeCell ref="B142:C142"/>
    <mergeCell ref="L142:N145"/>
    <mergeCell ref="P142:R145"/>
    <mergeCell ref="B164:G164"/>
    <mergeCell ref="T142:V145"/>
    <mergeCell ref="B143:C143"/>
    <mergeCell ref="B144:C144"/>
    <mergeCell ref="B145:C145"/>
    <mergeCell ref="A2:C3"/>
    <mergeCell ref="D2:Y2"/>
    <mergeCell ref="Z2:Z145"/>
    <mergeCell ref="D3:W3"/>
    <mergeCell ref="X3:X145"/>
    <mergeCell ref="A4:C4"/>
    <mergeCell ref="T4:W4"/>
    <mergeCell ref="D4:G4"/>
    <mergeCell ref="H4:K4"/>
    <mergeCell ref="L4:O4"/>
    <mergeCell ref="P4:S4"/>
    <mergeCell ref="AB3:AQ3"/>
    <mergeCell ref="AB4:AN4"/>
    <mergeCell ref="AB6:AQ6"/>
    <mergeCell ref="AB15:AC17"/>
    <mergeCell ref="AF15:AO15"/>
    <mergeCell ref="AF16:AO16"/>
    <mergeCell ref="AF17:AO17"/>
    <mergeCell ref="AB18:AI18"/>
    <mergeCell ref="AJ18:AO18"/>
    <mergeCell ref="AB19:AH19"/>
    <mergeCell ref="AJ19:AO20"/>
    <mergeCell ref="AB20:AH20"/>
    <mergeCell ref="AB21:AI21"/>
    <mergeCell ref="AJ21:AO21"/>
    <mergeCell ref="AC40:AG40"/>
    <mergeCell ref="AC41:AG41"/>
    <mergeCell ref="AC42:AG42"/>
    <mergeCell ref="AC43:AL48"/>
    <mergeCell ref="AB23:AB24"/>
    <mergeCell ref="AC23:AC24"/>
    <mergeCell ref="AC36:AL36"/>
    <mergeCell ref="AC37:AG37"/>
    <mergeCell ref="AH37:AL37"/>
    <mergeCell ref="AC38:AG38"/>
    <mergeCell ref="AC39:AG39"/>
    <mergeCell ref="D142:F145"/>
    <mergeCell ref="H142:J145"/>
  </mergeCells>
  <printOptions/>
  <pageMargins bottom="0.75" footer="0.0" header="0.0" left="0.7" right="0.7" top="0.75"/>
  <pageSetup paperSize="8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2015-09-02T15:06:25Z</dcterms:created>
  <dc:creator>User</dc:creator>
</cp:coreProperties>
</file>