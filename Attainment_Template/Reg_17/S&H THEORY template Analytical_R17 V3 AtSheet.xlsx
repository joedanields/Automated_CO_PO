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<sst xmlns="http://schemas.openxmlformats.org/spreadsheetml/2006/main" count="82" uniqueCount="56">
  <si>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</si>
  <si>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</si>
  <si>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</si>
  <si>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</si>
  <si>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</si>
  <si>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</si>
  <si>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</si>
  <si>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</si>
  <si>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</si>
  <si>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</si>
  <si>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</si>
  <si>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</si>
  <si>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</si>
  <si>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</si>
  <si>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</si>
  <si>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</si>
  <si>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</si>
  <si>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</si>
  <si>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</si>
  <si>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</si>
  <si>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</si>
  <si>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</si>
  <si>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</si>
  <si>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</si>
  <si>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</si>
  <si>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</si>
  <si>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</si>
  <si>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</si>
  <si>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</si>
  <si>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</si>
  <si>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</si>
  <si>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</si>
  <si>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</si>
  <si>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</si>
  <si>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</si>
  <si>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</si>
  <si>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</si>
  <si>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</si>
  <si>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</si>
  <si>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</si>
  <si>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</si>
  <si>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</si>
  <si>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</si>
  <si>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</si>
  <si>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</si>
  <si>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</si>
  <si>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</si>
  <si>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</si>
  <si>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</si>
  <si>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</si>
  <si>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Expected proficiency / marks in %</t>
  </si>
  <si>
    <t>B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</si>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</sst>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0" fillId="0" fontId="6" numFmtId="0" xfId="0" applyAlignment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vertical="center"/>
    </xf>
    <xf borderId="19" fillId="8" fontId="4" numFmtId="0" xfId="0" applyAlignment="1" applyBorder="1" applyFill="1" applyFont="1">
      <alignment horizontal="center" vertical="center"/>
    </xf>
    <xf borderId="19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19" fillId="0" fontId="1" numFmtId="0" xfId="0" applyAlignment="1" applyBorder="1" applyFont="1">
      <alignment horizontal="center" vertical="center"/>
    </xf>
    <xf borderId="19" fillId="10" fontId="1" numFmtId="0" xfId="0" applyAlignment="1" applyBorder="1" applyFill="1" applyFont="1">
      <alignment horizontal="center" shrinkToFit="0" textRotation="90" vertical="center" wrapText="1"/>
    </xf>
    <xf borderId="19" fillId="7" fontId="9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19" fillId="0" fontId="11" numFmtId="1" xfId="0" applyAlignment="1" applyBorder="1" applyFont="1" applyNumberFormat="1">
      <alignment horizontal="left" shrinkToFit="0" wrapText="1"/>
    </xf>
    <xf borderId="19" fillId="0" fontId="11" numFmtId="0" xfId="0" applyAlignment="1" applyBorder="1" applyFont="1">
      <alignment horizontal="left" shrinkToFit="0" wrapText="1"/>
    </xf>
    <xf borderId="19" fillId="8" fontId="12" numFmtId="0" xfId="0" applyAlignment="1" applyBorder="1" applyFont="1">
      <alignment horizontal="right"/>
    </xf>
    <xf borderId="19" fillId="8" fontId="13" numFmtId="0" xfId="0" applyAlignment="1" applyBorder="1" applyFont="1">
      <alignment horizontal="center" vertical="center"/>
    </xf>
    <xf borderId="19" fillId="0" fontId="4" numFmtId="1" xfId="0" applyAlignment="1" applyBorder="1" applyFont="1" applyNumberFormat="1">
      <alignment horizontal="center" vertical="center"/>
    </xf>
    <xf borderId="19" fillId="8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0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9" fillId="8" fontId="12" numFmtId="0" xfId="0" applyAlignment="1" applyBorder="1" applyFont="1">
      <alignment horizontal="right" readingOrder="0"/>
    </xf>
    <xf borderId="21" fillId="8" fontId="16" numFmtId="0" xfId="0" applyAlignment="1" applyBorder="1" applyFont="1">
      <alignment horizontal="center"/>
    </xf>
    <xf borderId="20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2" fillId="12" fontId="21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3" fillId="12" fontId="21" numFmtId="1" xfId="0" applyAlignment="1" applyBorder="1" applyFont="1" applyNumberFormat="1">
      <alignment readingOrder="0"/>
    </xf>
    <xf borderId="22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7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8" fillId="0" fontId="3" numFmtId="0" xfId="0" applyBorder="1" applyFont="1"/>
    <xf borderId="28" fillId="0" fontId="8" numFmtId="0" xfId="0" applyAlignment="1" applyBorder="1" applyFont="1">
      <alignment horizontal="center" vertical="center"/>
    </xf>
    <xf borderId="21" fillId="14" fontId="2" numFmtId="2" xfId="0" applyAlignment="1" applyBorder="1" applyFill="1" applyFont="1" applyNumberFormat="1">
      <alignment horizontal="center" vertical="center"/>
    </xf>
    <xf borderId="19" fillId="14" fontId="2" numFmtId="2" xfId="0" applyAlignment="1" applyBorder="1" applyFont="1" applyNumberFormat="1">
      <alignment horizontal="center" vertical="center"/>
    </xf>
    <xf borderId="19" fillId="14" fontId="5" numFmtId="2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19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19" fillId="0" fontId="5" numFmtId="1" xfId="0" applyAlignment="1" applyBorder="1" applyFont="1" applyNumberFormat="1">
      <alignment horizontal="center"/>
    </xf>
    <xf borderId="29" fillId="1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14" fontId="8" numFmtId="1" xfId="0" applyAlignment="1" applyBorder="1" applyFont="1" applyNumberFormat="1">
      <alignment horizontal="center" vertical="center"/>
    </xf>
    <xf borderId="33" fillId="14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15" fontId="7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5" fontId="8" numFmtId="1" xfId="0" applyAlignment="1" applyBorder="1" applyFont="1" applyNumberFormat="1">
      <alignment horizontal="center" vertical="center"/>
    </xf>
    <xf borderId="13" fillId="5" fontId="8" numFmtId="1" xfId="0" applyAlignment="1" applyBorder="1" applyFont="1" applyNumberFormat="1">
      <alignment horizontal="center" vertical="center"/>
    </xf>
    <xf borderId="20" fillId="11" fontId="29" numFmtId="0" xfId="0" applyAlignment="1" applyBorder="1" applyFont="1">
      <alignment horizontal="center" vertical="center"/>
    </xf>
    <xf borderId="39" fillId="16" fontId="8" numFmtId="1" xfId="0" applyAlignment="1" applyBorder="1" applyFill="1" applyFont="1" applyNumberFormat="1">
      <alignment horizontal="center" vertical="center"/>
    </xf>
    <xf borderId="13" fillId="16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4" fontId="8" numFmtId="1" xfId="0" applyAlignment="1" applyBorder="1" applyFont="1" applyNumberFormat="1">
      <alignment horizontal="center" vertical="center"/>
    </xf>
    <xf borderId="44" fillId="0" fontId="3" numFmtId="0" xfId="0" applyBorder="1" applyFont="1"/>
    <xf borderId="19" fillId="14" fontId="8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1331621340"/>
        <c:axId val="1143764067"/>
      </c:barChart>
      <c:catAx>
        <c:axId val="1331621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3764067"/>
      </c:catAx>
      <c:valAx>
        <c:axId val="114376406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162134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23"/>
      <c r="AR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5" t="s">
        <v>6</v>
      </c>
      <c r="I4" s="26"/>
      <c r="J4" s="26"/>
      <c r="K4" s="27"/>
      <c r="L4" s="25" t="s">
        <v>7</v>
      </c>
      <c r="M4" s="26"/>
      <c r="N4" s="26"/>
      <c r="O4" s="27"/>
      <c r="P4" s="25" t="s">
        <v>8</v>
      </c>
      <c r="Q4" s="26"/>
      <c r="R4" s="26"/>
      <c r="S4" s="27"/>
      <c r="T4" s="25" t="s">
        <v>9</v>
      </c>
      <c r="U4" s="26"/>
      <c r="V4" s="26"/>
      <c r="W4" s="27"/>
      <c r="X4" s="28"/>
      <c r="Y4" s="29" t="s">
        <v>10</v>
      </c>
      <c r="Z4" s="22"/>
      <c r="AA4" s="12"/>
      <c r="AB4" s="30"/>
    </row>
    <row r="5" ht="17.25" customHeight="1">
      <c r="A5" s="31" t="s">
        <v>11</v>
      </c>
      <c r="B5" s="9"/>
      <c r="C5" s="19"/>
      <c r="D5" s="32">
        <v>30.0</v>
      </c>
      <c r="E5" s="32">
        <v>20.0</v>
      </c>
      <c r="F5" s="32"/>
      <c r="G5" s="33">
        <v>20.0</v>
      </c>
      <c r="H5" s="32">
        <v>20.0</v>
      </c>
      <c r="I5" s="32">
        <v>20.0</v>
      </c>
      <c r="J5" s="32"/>
      <c r="K5" s="33">
        <v>20.0</v>
      </c>
      <c r="L5" s="32">
        <v>30.0</v>
      </c>
      <c r="M5" s="32">
        <v>20.0</v>
      </c>
      <c r="N5" s="32"/>
      <c r="O5" s="33">
        <v>20.0</v>
      </c>
      <c r="P5" s="32">
        <v>20.0</v>
      </c>
      <c r="Q5" s="32">
        <v>20.0</v>
      </c>
      <c r="R5" s="32"/>
      <c r="S5" s="33">
        <v>20.0</v>
      </c>
      <c r="T5" s="32">
        <v>20.0</v>
      </c>
      <c r="U5" s="32"/>
      <c r="V5" s="32"/>
      <c r="W5" s="33">
        <v>20.0</v>
      </c>
      <c r="X5" s="28"/>
      <c r="Y5" s="34">
        <v>100.0</v>
      </c>
      <c r="Z5" s="22"/>
      <c r="AA5" s="12"/>
      <c r="AG5" s="35"/>
      <c r="AH5" s="35"/>
      <c r="AI5" s="35"/>
      <c r="AJ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18</v>
      </c>
      <c r="M6" s="38" t="s">
        <v>16</v>
      </c>
      <c r="N6" s="38"/>
      <c r="O6" s="39" t="s">
        <v>17</v>
      </c>
      <c r="P6" s="38" t="s">
        <v>18</v>
      </c>
      <c r="Q6" s="38" t="s">
        <v>16</v>
      </c>
      <c r="R6" s="38"/>
      <c r="S6" s="39" t="s">
        <v>17</v>
      </c>
      <c r="T6" s="38" t="s">
        <v>16</v>
      </c>
      <c r="U6" s="38"/>
      <c r="V6" s="38"/>
      <c r="W6" s="39" t="s">
        <v>17</v>
      </c>
      <c r="X6" s="28"/>
      <c r="Y6" s="40" t="s">
        <v>19</v>
      </c>
      <c r="Z6" s="22"/>
      <c r="AA6" s="35"/>
      <c r="AB6" s="23" t="s">
        <v>20</v>
      </c>
    </row>
    <row r="7" ht="16.5" customHeight="1">
      <c r="A7" s="41">
        <v>1.0</v>
      </c>
      <c r="B7" s="42"/>
      <c r="C7" s="43"/>
      <c r="D7" s="44">
        <v>25.0</v>
      </c>
      <c r="E7" s="44">
        <v>7.0</v>
      </c>
      <c r="F7" s="45"/>
      <c r="G7" s="46">
        <f t="shared" ref="G7:G141" si="1">IFERROR(ROUND((SUM(D7:F7)/SUM(D$5:F$5))*G$5,0),0)</f>
        <v>13</v>
      </c>
      <c r="H7" s="44">
        <v>10.0</v>
      </c>
      <c r="I7" s="44">
        <v>15.0</v>
      </c>
      <c r="J7" s="45"/>
      <c r="K7" s="46">
        <f t="shared" ref="K7:K141" si="2">IFERROR(ROUND((SUM(H7:J7)/SUM(H$5:J$5))*K$5,0),0)</f>
        <v>13</v>
      </c>
      <c r="L7" s="44">
        <v>16.0</v>
      </c>
      <c r="M7" s="44">
        <v>10.0</v>
      </c>
      <c r="N7" s="44"/>
      <c r="O7" s="46">
        <f t="shared" ref="O7:O141" si="3">IFERROR(ROUND((SUM(L7:N7)/SUM(L$5:N$5))*O$5,0),0)</f>
        <v>10</v>
      </c>
      <c r="P7" s="32">
        <v>10.0</v>
      </c>
      <c r="Q7" s="32">
        <v>15.0</v>
      </c>
      <c r="R7" s="44"/>
      <c r="S7" s="46">
        <f t="shared" ref="S7:S141" si="4">IFERROR(ROUND((SUM(P7:R7)/SUM(P$5:R$5))*S$5,0),0)</f>
        <v>13</v>
      </c>
      <c r="T7" s="32">
        <v>20.0</v>
      </c>
      <c r="U7" s="32"/>
      <c r="V7" s="44"/>
      <c r="W7" s="46">
        <f t="shared" ref="W7:W141" si="5">IFERROR(ROUND((SUM(T7:V7)/SUM(T$5:V$5))*W$5,0),0)</f>
        <v>20</v>
      </c>
      <c r="X7" s="28"/>
      <c r="Y7" s="47"/>
      <c r="Z7" s="22"/>
      <c r="AA7" s="48"/>
      <c r="AB7" s="13"/>
      <c r="AC7" s="49" t="s">
        <v>21</v>
      </c>
      <c r="AD7" s="13"/>
      <c r="AE7" s="50"/>
      <c r="AF7" s="35"/>
      <c r="AG7" s="13"/>
      <c r="AH7" s="13"/>
      <c r="AI7" s="13"/>
      <c r="AJ7" s="13"/>
      <c r="AK7" s="13"/>
      <c r="AL7" s="13"/>
      <c r="AM7" s="13"/>
      <c r="AN7" s="13"/>
      <c r="AO7" s="51"/>
      <c r="AP7" s="52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6.5" customHeight="1">
      <c r="A8" s="41">
        <v>2.0</v>
      </c>
      <c r="B8" s="42"/>
      <c r="C8" s="43"/>
      <c r="D8" s="53">
        <v>25.0</v>
      </c>
      <c r="E8" s="53">
        <v>18.0</v>
      </c>
      <c r="F8" s="45"/>
      <c r="G8" s="46">
        <f t="shared" si="1"/>
        <v>17</v>
      </c>
      <c r="H8" s="44"/>
      <c r="I8" s="44"/>
      <c r="J8" s="45"/>
      <c r="K8" s="46">
        <f t="shared" si="2"/>
        <v>0</v>
      </c>
      <c r="L8" s="44"/>
      <c r="M8" s="44"/>
      <c r="N8" s="44"/>
      <c r="O8" s="46">
        <f t="shared" si="3"/>
        <v>0</v>
      </c>
      <c r="P8" s="32"/>
      <c r="Q8" s="32"/>
      <c r="R8" s="44"/>
      <c r="S8" s="46">
        <f t="shared" si="4"/>
        <v>0</v>
      </c>
      <c r="T8" s="32"/>
      <c r="U8" s="32"/>
      <c r="V8" s="44"/>
      <c r="W8" s="46">
        <f t="shared" si="5"/>
        <v>0</v>
      </c>
      <c r="X8" s="28"/>
      <c r="Y8" s="54"/>
      <c r="Z8" s="22"/>
      <c r="AA8" s="48"/>
      <c r="AB8" s="13"/>
      <c r="AC8" s="49" t="s">
        <v>22</v>
      </c>
      <c r="AD8" s="13"/>
      <c r="AE8" s="50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6.5" customHeight="1">
      <c r="A9" s="41">
        <v>3.0</v>
      </c>
      <c r="B9" s="42"/>
      <c r="C9" s="43"/>
      <c r="D9" s="53">
        <v>25.0</v>
      </c>
      <c r="E9" s="53">
        <v>18.0</v>
      </c>
      <c r="F9" s="45"/>
      <c r="G9" s="46">
        <f t="shared" si="1"/>
        <v>17</v>
      </c>
      <c r="H9" s="44"/>
      <c r="I9" s="44"/>
      <c r="J9" s="45"/>
      <c r="K9" s="46">
        <f t="shared" si="2"/>
        <v>0</v>
      </c>
      <c r="L9" s="44"/>
      <c r="M9" s="44"/>
      <c r="N9" s="44"/>
      <c r="O9" s="46">
        <f t="shared" si="3"/>
        <v>0</v>
      </c>
      <c r="P9" s="32"/>
      <c r="Q9" s="32"/>
      <c r="R9" s="44"/>
      <c r="S9" s="46">
        <f t="shared" si="4"/>
        <v>0</v>
      </c>
      <c r="T9" s="32"/>
      <c r="U9" s="32"/>
      <c r="V9" s="44"/>
      <c r="W9" s="46">
        <f t="shared" si="5"/>
        <v>0</v>
      </c>
      <c r="X9" s="28"/>
      <c r="Y9" s="54"/>
      <c r="Z9" s="22"/>
      <c r="AA9" s="48"/>
      <c r="AB9" s="13"/>
      <c r="AC9" s="49" t="s">
        <v>23</v>
      </c>
      <c r="AD9" s="13"/>
      <c r="AE9" s="50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ht="16.5" customHeight="1">
      <c r="A10" s="41">
        <v>4.0</v>
      </c>
      <c r="B10" s="42"/>
      <c r="C10" s="43"/>
      <c r="D10" s="53">
        <v>25.0</v>
      </c>
      <c r="E10" s="53">
        <v>18.0</v>
      </c>
      <c r="F10" s="45"/>
      <c r="G10" s="46">
        <f t="shared" si="1"/>
        <v>17</v>
      </c>
      <c r="H10" s="44"/>
      <c r="I10" s="44"/>
      <c r="J10" s="45"/>
      <c r="K10" s="46">
        <f t="shared" si="2"/>
        <v>0</v>
      </c>
      <c r="L10" s="44"/>
      <c r="M10" s="44"/>
      <c r="N10" s="44"/>
      <c r="O10" s="46">
        <f t="shared" si="3"/>
        <v>0</v>
      </c>
      <c r="P10" s="32"/>
      <c r="Q10" s="32"/>
      <c r="R10" s="44"/>
      <c r="S10" s="46">
        <f t="shared" si="4"/>
        <v>0</v>
      </c>
      <c r="T10" s="32"/>
      <c r="U10" s="32"/>
      <c r="V10" s="44"/>
      <c r="W10" s="46">
        <f t="shared" si="5"/>
        <v>0</v>
      </c>
      <c r="X10" s="28"/>
      <c r="Y10" s="54"/>
      <c r="Z10" s="22"/>
      <c r="AA10" s="48"/>
      <c r="AB10" s="13"/>
      <c r="AC10" s="49" t="s">
        <v>24</v>
      </c>
      <c r="AD10" s="13"/>
      <c r="AE10" s="50" t="s">
        <v>25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ht="16.5" customHeight="1">
      <c r="A11" s="41">
        <v>5.0</v>
      </c>
      <c r="B11" s="42"/>
      <c r="C11" s="43"/>
      <c r="D11" s="53">
        <v>25.0</v>
      </c>
      <c r="E11" s="53">
        <v>18.0</v>
      </c>
      <c r="F11" s="45"/>
      <c r="G11" s="46">
        <f t="shared" si="1"/>
        <v>17</v>
      </c>
      <c r="H11" s="44"/>
      <c r="I11" s="44"/>
      <c r="J11" s="45"/>
      <c r="K11" s="46">
        <f t="shared" si="2"/>
        <v>0</v>
      </c>
      <c r="L11" s="44"/>
      <c r="M11" s="44"/>
      <c r="N11" s="44"/>
      <c r="O11" s="46">
        <f t="shared" si="3"/>
        <v>0</v>
      </c>
      <c r="P11" s="32"/>
      <c r="Q11" s="32"/>
      <c r="R11" s="44"/>
      <c r="S11" s="46">
        <f t="shared" si="4"/>
        <v>0</v>
      </c>
      <c r="T11" s="32"/>
      <c r="U11" s="32"/>
      <c r="V11" s="44"/>
      <c r="W11" s="46">
        <f t="shared" si="5"/>
        <v>0</v>
      </c>
      <c r="X11" s="28"/>
      <c r="Y11" s="54"/>
      <c r="Z11" s="22"/>
      <c r="AA11" s="48"/>
      <c r="AB11" s="13"/>
      <c r="AC11" s="49" t="s">
        <v>26</v>
      </c>
      <c r="AD11" s="13"/>
      <c r="AE11" s="50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6.5" customHeight="1">
      <c r="A12" s="41">
        <v>6.0</v>
      </c>
      <c r="B12" s="42"/>
      <c r="C12" s="43"/>
      <c r="D12" s="53">
        <v>25.0</v>
      </c>
      <c r="E12" s="53">
        <v>18.0</v>
      </c>
      <c r="F12" s="45"/>
      <c r="G12" s="46">
        <f t="shared" si="1"/>
        <v>17</v>
      </c>
      <c r="H12" s="44"/>
      <c r="I12" s="44"/>
      <c r="J12" s="45"/>
      <c r="K12" s="46">
        <f t="shared" si="2"/>
        <v>0</v>
      </c>
      <c r="L12" s="44"/>
      <c r="M12" s="44"/>
      <c r="N12" s="44"/>
      <c r="O12" s="46">
        <f t="shared" si="3"/>
        <v>0</v>
      </c>
      <c r="P12" s="32"/>
      <c r="Q12" s="32"/>
      <c r="R12" s="44"/>
      <c r="S12" s="46">
        <f t="shared" si="4"/>
        <v>0</v>
      </c>
      <c r="T12" s="32"/>
      <c r="U12" s="32"/>
      <c r="V12" s="44"/>
      <c r="W12" s="46">
        <f t="shared" si="5"/>
        <v>0</v>
      </c>
      <c r="X12" s="28"/>
      <c r="Y12" s="54"/>
      <c r="Z12" s="22"/>
      <c r="AA12" s="48"/>
      <c r="AB12" s="13"/>
      <c r="AC12" s="49" t="s">
        <v>27</v>
      </c>
      <c r="AD12" s="13"/>
      <c r="AE12" s="50" t="s">
        <v>28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55"/>
      <c r="AP12" s="3"/>
      <c r="AQ12" s="3"/>
      <c r="AR12" s="14"/>
    </row>
    <row r="13" ht="16.5" customHeight="1">
      <c r="A13" s="41">
        <v>7.0</v>
      </c>
      <c r="B13" s="42"/>
      <c r="C13" s="43"/>
      <c r="D13" s="53">
        <v>25.0</v>
      </c>
      <c r="E13" s="53">
        <v>18.0</v>
      </c>
      <c r="F13" s="45"/>
      <c r="G13" s="46">
        <f t="shared" si="1"/>
        <v>17</v>
      </c>
      <c r="H13" s="44"/>
      <c r="I13" s="44"/>
      <c r="J13" s="45"/>
      <c r="K13" s="46">
        <f t="shared" si="2"/>
        <v>0</v>
      </c>
      <c r="L13" s="44"/>
      <c r="M13" s="44"/>
      <c r="N13" s="44"/>
      <c r="O13" s="46">
        <f t="shared" si="3"/>
        <v>0</v>
      </c>
      <c r="P13" s="32"/>
      <c r="Q13" s="32"/>
      <c r="R13" s="44"/>
      <c r="S13" s="46">
        <f t="shared" si="4"/>
        <v>0</v>
      </c>
      <c r="T13" s="32"/>
      <c r="U13" s="32"/>
      <c r="V13" s="44"/>
      <c r="W13" s="46">
        <f t="shared" si="5"/>
        <v>0</v>
      </c>
      <c r="X13" s="28"/>
      <c r="Y13" s="54"/>
      <c r="Z13" s="22"/>
      <c r="AA13" s="48"/>
      <c r="AB13" s="13"/>
      <c r="AC13" s="49" t="s">
        <v>29</v>
      </c>
      <c r="AD13" s="13"/>
      <c r="AE13" s="50" t="s">
        <v>30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55"/>
      <c r="AP13" s="3"/>
      <c r="AQ13" s="3"/>
      <c r="AR13" s="14"/>
    </row>
    <row r="14" ht="16.5" customHeight="1">
      <c r="A14" s="41">
        <v>8.0</v>
      </c>
      <c r="B14" s="42"/>
      <c r="C14" s="43"/>
      <c r="D14" s="53">
        <v>25.0</v>
      </c>
      <c r="E14" s="53">
        <v>18.0</v>
      </c>
      <c r="F14" s="45"/>
      <c r="G14" s="46">
        <f t="shared" si="1"/>
        <v>17</v>
      </c>
      <c r="H14" s="44"/>
      <c r="I14" s="44"/>
      <c r="J14" s="45"/>
      <c r="K14" s="46">
        <f t="shared" si="2"/>
        <v>0</v>
      </c>
      <c r="L14" s="44"/>
      <c r="M14" s="44"/>
      <c r="N14" s="44"/>
      <c r="O14" s="46">
        <f t="shared" si="3"/>
        <v>0</v>
      </c>
      <c r="P14" s="32"/>
      <c r="Q14" s="32"/>
      <c r="R14" s="44"/>
      <c r="S14" s="46">
        <f t="shared" si="4"/>
        <v>0</v>
      </c>
      <c r="T14" s="32"/>
      <c r="U14" s="32"/>
      <c r="V14" s="44"/>
      <c r="W14" s="46">
        <f t="shared" si="5"/>
        <v>0</v>
      </c>
      <c r="X14" s="28"/>
      <c r="Y14" s="54"/>
      <c r="Z14" s="22"/>
      <c r="AA14" s="48"/>
      <c r="AB14" s="48"/>
      <c r="AC14" s="48"/>
      <c r="AD14" s="48"/>
      <c r="AE14" s="48"/>
      <c r="AF14" s="13"/>
      <c r="AG14" s="13"/>
      <c r="AH14" s="56"/>
      <c r="AI14" s="56"/>
      <c r="AJ14" s="57"/>
      <c r="AK14" s="58"/>
      <c r="AL14" s="58"/>
      <c r="AM14" s="58"/>
      <c r="AN14" s="58"/>
      <c r="AO14" s="55"/>
      <c r="AP14" s="3"/>
      <c r="AQ14" s="3"/>
      <c r="AR14" s="14"/>
    </row>
    <row r="15" ht="16.5" customHeight="1">
      <c r="A15" s="41">
        <v>9.0</v>
      </c>
      <c r="B15" s="42"/>
      <c r="C15" s="43"/>
      <c r="D15" s="53">
        <v>25.0</v>
      </c>
      <c r="E15" s="53">
        <v>18.0</v>
      </c>
      <c r="F15" s="45"/>
      <c r="G15" s="46">
        <f t="shared" si="1"/>
        <v>17</v>
      </c>
      <c r="H15" s="44"/>
      <c r="I15" s="44"/>
      <c r="J15" s="45"/>
      <c r="K15" s="46">
        <f t="shared" si="2"/>
        <v>0</v>
      </c>
      <c r="L15" s="44"/>
      <c r="M15" s="44"/>
      <c r="N15" s="44"/>
      <c r="O15" s="46">
        <f t="shared" si="3"/>
        <v>0</v>
      </c>
      <c r="P15" s="32"/>
      <c r="Q15" s="32"/>
      <c r="R15" s="44"/>
      <c r="S15" s="46">
        <f t="shared" si="4"/>
        <v>0</v>
      </c>
      <c r="T15" s="32"/>
      <c r="U15" s="32"/>
      <c r="V15" s="44"/>
      <c r="W15" s="46">
        <f t="shared" si="5"/>
        <v>0</v>
      </c>
      <c r="X15" s="28"/>
      <c r="Y15" s="54"/>
      <c r="Z15" s="22"/>
      <c r="AA15" s="48"/>
      <c r="AB15" s="59" t="s">
        <v>31</v>
      </c>
      <c r="AC15" s="7"/>
      <c r="AD15" s="60">
        <v>1.0</v>
      </c>
      <c r="AE15" s="61">
        <v>50.0</v>
      </c>
      <c r="AF15" s="62" t="s">
        <v>32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1">
        <v>10.0</v>
      </c>
      <c r="B16" s="42"/>
      <c r="C16" s="43"/>
      <c r="D16" s="53">
        <v>25.0</v>
      </c>
      <c r="E16" s="53">
        <v>18.0</v>
      </c>
      <c r="F16" s="45"/>
      <c r="G16" s="46">
        <f t="shared" si="1"/>
        <v>17</v>
      </c>
      <c r="H16" s="44"/>
      <c r="I16" s="44"/>
      <c r="J16" s="45"/>
      <c r="K16" s="46">
        <f t="shared" si="2"/>
        <v>0</v>
      </c>
      <c r="L16" s="44"/>
      <c r="M16" s="44"/>
      <c r="N16" s="44"/>
      <c r="O16" s="46">
        <f t="shared" si="3"/>
        <v>0</v>
      </c>
      <c r="P16" s="32"/>
      <c r="Q16" s="32"/>
      <c r="R16" s="44"/>
      <c r="S16" s="46">
        <f t="shared" si="4"/>
        <v>0</v>
      </c>
      <c r="T16" s="32"/>
      <c r="U16" s="32"/>
      <c r="V16" s="44"/>
      <c r="W16" s="46">
        <f t="shared" si="5"/>
        <v>0</v>
      </c>
      <c r="X16" s="28"/>
      <c r="Y16" s="54"/>
      <c r="Z16" s="22"/>
      <c r="AA16" s="48"/>
      <c r="AB16" s="63"/>
      <c r="AC16" s="64"/>
      <c r="AD16" s="60">
        <v>2.0</v>
      </c>
      <c r="AE16" s="61">
        <v>60.0</v>
      </c>
      <c r="AF16" s="62" t="s">
        <v>32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1">
        <v>11.0</v>
      </c>
      <c r="B17" s="42"/>
      <c r="C17" s="43"/>
      <c r="D17" s="53">
        <v>25.0</v>
      </c>
      <c r="E17" s="53">
        <v>18.0</v>
      </c>
      <c r="F17" s="45"/>
      <c r="G17" s="46">
        <f t="shared" si="1"/>
        <v>17</v>
      </c>
      <c r="H17" s="44"/>
      <c r="I17" s="44"/>
      <c r="J17" s="45"/>
      <c r="K17" s="46">
        <f t="shared" si="2"/>
        <v>0</v>
      </c>
      <c r="L17" s="44"/>
      <c r="M17" s="44"/>
      <c r="N17" s="44"/>
      <c r="O17" s="46">
        <f t="shared" si="3"/>
        <v>0</v>
      </c>
      <c r="P17" s="32"/>
      <c r="Q17" s="32"/>
      <c r="R17" s="44"/>
      <c r="S17" s="46">
        <f t="shared" si="4"/>
        <v>0</v>
      </c>
      <c r="T17" s="32"/>
      <c r="U17" s="32"/>
      <c r="V17" s="44"/>
      <c r="W17" s="46">
        <f t="shared" si="5"/>
        <v>0</v>
      </c>
      <c r="X17" s="28"/>
      <c r="Y17" s="54"/>
      <c r="Z17" s="22"/>
      <c r="AA17" s="48"/>
      <c r="AB17" s="65"/>
      <c r="AC17" s="66"/>
      <c r="AD17" s="60">
        <v>3.0</v>
      </c>
      <c r="AE17" s="67">
        <v>70.0</v>
      </c>
      <c r="AF17" s="68" t="s">
        <v>32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1">
        <v>12.0</v>
      </c>
      <c r="B18" s="42"/>
      <c r="C18" s="43"/>
      <c r="D18" s="53">
        <v>25.0</v>
      </c>
      <c r="E18" s="53">
        <v>18.0</v>
      </c>
      <c r="F18" s="45"/>
      <c r="G18" s="46">
        <f t="shared" si="1"/>
        <v>17</v>
      </c>
      <c r="H18" s="44"/>
      <c r="I18" s="44"/>
      <c r="J18" s="45"/>
      <c r="K18" s="46">
        <f t="shared" si="2"/>
        <v>0</v>
      </c>
      <c r="L18" s="44"/>
      <c r="M18" s="44"/>
      <c r="N18" s="44"/>
      <c r="O18" s="46">
        <f t="shared" si="3"/>
        <v>0</v>
      </c>
      <c r="P18" s="32"/>
      <c r="Q18" s="32"/>
      <c r="R18" s="44"/>
      <c r="S18" s="46">
        <f t="shared" si="4"/>
        <v>0</v>
      </c>
      <c r="T18" s="32"/>
      <c r="U18" s="32"/>
      <c r="V18" s="44"/>
      <c r="W18" s="46">
        <f t="shared" si="5"/>
        <v>0</v>
      </c>
      <c r="X18" s="28"/>
      <c r="Y18" s="54"/>
      <c r="Z18" s="22"/>
      <c r="AA18" s="48"/>
      <c r="AB18" s="69" t="s">
        <v>33</v>
      </c>
      <c r="AC18" s="9"/>
      <c r="AD18" s="9"/>
      <c r="AE18" s="9"/>
      <c r="AF18" s="9"/>
      <c r="AG18" s="9"/>
      <c r="AH18" s="9"/>
      <c r="AI18" s="10"/>
      <c r="AJ18" s="70" t="s">
        <v>34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1">
        <v>13.0</v>
      </c>
      <c r="B19" s="42"/>
      <c r="C19" s="43"/>
      <c r="D19" s="53">
        <v>25.0</v>
      </c>
      <c r="E19" s="53">
        <v>18.0</v>
      </c>
      <c r="F19" s="45"/>
      <c r="G19" s="46">
        <f t="shared" si="1"/>
        <v>17</v>
      </c>
      <c r="H19" s="44"/>
      <c r="I19" s="44"/>
      <c r="J19" s="45"/>
      <c r="K19" s="46">
        <f t="shared" si="2"/>
        <v>0</v>
      </c>
      <c r="L19" s="44"/>
      <c r="M19" s="44"/>
      <c r="N19" s="44"/>
      <c r="O19" s="46">
        <f t="shared" si="3"/>
        <v>0</v>
      </c>
      <c r="P19" s="32"/>
      <c r="Q19" s="32"/>
      <c r="R19" s="44"/>
      <c r="S19" s="46">
        <f t="shared" si="4"/>
        <v>0</v>
      </c>
      <c r="T19" s="32"/>
      <c r="U19" s="32"/>
      <c r="V19" s="44"/>
      <c r="W19" s="46">
        <f t="shared" si="5"/>
        <v>0</v>
      </c>
      <c r="X19" s="28"/>
      <c r="Y19" s="54"/>
      <c r="Z19" s="22"/>
      <c r="AA19" s="48"/>
      <c r="AB19" s="71" t="s">
        <v>2</v>
      </c>
      <c r="AC19" s="9"/>
      <c r="AD19" s="9"/>
      <c r="AE19" s="9"/>
      <c r="AF19" s="9"/>
      <c r="AG19" s="9"/>
      <c r="AH19" s="19"/>
      <c r="AI19" s="72">
        <v>0.2</v>
      </c>
      <c r="AJ19" s="73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1">
        <v>14.0</v>
      </c>
      <c r="B20" s="42"/>
      <c r="C20" s="43"/>
      <c r="D20" s="53">
        <v>25.0</v>
      </c>
      <c r="E20" s="53">
        <v>18.0</v>
      </c>
      <c r="F20" s="45"/>
      <c r="G20" s="46">
        <f t="shared" si="1"/>
        <v>17</v>
      </c>
      <c r="H20" s="44"/>
      <c r="I20" s="44"/>
      <c r="J20" s="45"/>
      <c r="K20" s="46">
        <f t="shared" si="2"/>
        <v>0</v>
      </c>
      <c r="L20" s="44"/>
      <c r="M20" s="44"/>
      <c r="N20" s="44"/>
      <c r="O20" s="46">
        <f t="shared" si="3"/>
        <v>0</v>
      </c>
      <c r="P20" s="32"/>
      <c r="Q20" s="32"/>
      <c r="R20" s="44"/>
      <c r="S20" s="46">
        <f t="shared" si="4"/>
        <v>0</v>
      </c>
      <c r="T20" s="32"/>
      <c r="U20" s="32"/>
      <c r="V20" s="44"/>
      <c r="W20" s="46">
        <f t="shared" si="5"/>
        <v>0</v>
      </c>
      <c r="X20" s="28"/>
      <c r="Y20" s="54"/>
      <c r="Z20" s="22"/>
      <c r="AA20" s="48"/>
      <c r="AB20" s="71" t="s">
        <v>3</v>
      </c>
      <c r="AC20" s="9"/>
      <c r="AD20" s="9"/>
      <c r="AE20" s="9"/>
      <c r="AF20" s="9"/>
      <c r="AG20" s="9"/>
      <c r="AH20" s="19"/>
      <c r="AI20" s="72">
        <v>0.8</v>
      </c>
      <c r="AJ20" s="65"/>
      <c r="AK20" s="74"/>
      <c r="AL20" s="74"/>
      <c r="AM20" s="74"/>
      <c r="AN20" s="74"/>
      <c r="AO20" s="66"/>
      <c r="AP20" s="3"/>
      <c r="AQ20" s="3"/>
      <c r="AR20" s="14"/>
    </row>
    <row r="21" ht="16.5" customHeight="1">
      <c r="A21" s="41">
        <v>15.0</v>
      </c>
      <c r="B21" s="42"/>
      <c r="C21" s="43"/>
      <c r="D21" s="53">
        <v>25.0</v>
      </c>
      <c r="E21" s="53">
        <v>18.0</v>
      </c>
      <c r="F21" s="45"/>
      <c r="G21" s="46">
        <f t="shared" si="1"/>
        <v>17</v>
      </c>
      <c r="H21" s="44"/>
      <c r="I21" s="44"/>
      <c r="J21" s="45"/>
      <c r="K21" s="46">
        <f t="shared" si="2"/>
        <v>0</v>
      </c>
      <c r="L21" s="44"/>
      <c r="M21" s="44"/>
      <c r="N21" s="44"/>
      <c r="O21" s="46">
        <f t="shared" si="3"/>
        <v>0</v>
      </c>
      <c r="P21" s="32"/>
      <c r="Q21" s="32"/>
      <c r="R21" s="44"/>
      <c r="S21" s="46">
        <f t="shared" si="4"/>
        <v>0</v>
      </c>
      <c r="T21" s="32"/>
      <c r="U21" s="32"/>
      <c r="V21" s="44"/>
      <c r="W21" s="46">
        <f t="shared" si="5"/>
        <v>0</v>
      </c>
      <c r="X21" s="28"/>
      <c r="Y21" s="54"/>
      <c r="Z21" s="22"/>
      <c r="AA21" s="48"/>
      <c r="AB21" s="75" t="s">
        <v>35</v>
      </c>
      <c r="AC21" s="9"/>
      <c r="AD21" s="9"/>
      <c r="AE21" s="9"/>
      <c r="AF21" s="9"/>
      <c r="AG21" s="9"/>
      <c r="AH21" s="9"/>
      <c r="AI21" s="10"/>
      <c r="AJ21" s="76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1">
        <v>16.0</v>
      </c>
      <c r="B22" s="42"/>
      <c r="C22" s="43"/>
      <c r="D22" s="53">
        <v>25.0</v>
      </c>
      <c r="E22" s="53">
        <v>18.0</v>
      </c>
      <c r="F22" s="45"/>
      <c r="G22" s="46">
        <f t="shared" si="1"/>
        <v>17</v>
      </c>
      <c r="H22" s="44"/>
      <c r="I22" s="44"/>
      <c r="J22" s="45"/>
      <c r="K22" s="46">
        <f t="shared" si="2"/>
        <v>0</v>
      </c>
      <c r="L22" s="44"/>
      <c r="M22" s="44"/>
      <c r="N22" s="44"/>
      <c r="O22" s="46">
        <f t="shared" si="3"/>
        <v>0</v>
      </c>
      <c r="P22" s="32"/>
      <c r="Q22" s="32"/>
      <c r="R22" s="44"/>
      <c r="S22" s="46">
        <f t="shared" si="4"/>
        <v>0</v>
      </c>
      <c r="T22" s="32"/>
      <c r="U22" s="32"/>
      <c r="V22" s="44"/>
      <c r="W22" s="46">
        <f t="shared" si="5"/>
        <v>0</v>
      </c>
      <c r="X22" s="28"/>
      <c r="Y22" s="54"/>
      <c r="Z22" s="22"/>
      <c r="AA22" s="48"/>
      <c r="AB22" s="13"/>
      <c r="AC22" s="13"/>
      <c r="AD22" s="77"/>
      <c r="AE22" s="77"/>
      <c r="AF22" s="13"/>
      <c r="AG22" s="77"/>
      <c r="AH22" s="77"/>
      <c r="AI22" s="77"/>
      <c r="AJ22" s="51"/>
      <c r="AK22" s="36"/>
      <c r="AL22" s="36"/>
      <c r="AM22" s="36"/>
      <c r="AN22" s="13"/>
      <c r="AO22" s="55"/>
      <c r="AP22" s="3"/>
      <c r="AQ22" s="3"/>
      <c r="AR22" s="14"/>
    </row>
    <row r="23" ht="16.5" customHeight="1">
      <c r="A23" s="41">
        <v>17.0</v>
      </c>
      <c r="B23" s="42"/>
      <c r="C23" s="43"/>
      <c r="D23" s="53">
        <v>25.0</v>
      </c>
      <c r="E23" s="53">
        <v>18.0</v>
      </c>
      <c r="F23" s="45"/>
      <c r="G23" s="46">
        <f t="shared" si="1"/>
        <v>17</v>
      </c>
      <c r="H23" s="44"/>
      <c r="I23" s="44"/>
      <c r="J23" s="45"/>
      <c r="K23" s="46">
        <f t="shared" si="2"/>
        <v>0</v>
      </c>
      <c r="L23" s="44"/>
      <c r="M23" s="44"/>
      <c r="N23" s="44"/>
      <c r="O23" s="46">
        <f t="shared" si="3"/>
        <v>0</v>
      </c>
      <c r="P23" s="32"/>
      <c r="Q23" s="32"/>
      <c r="R23" s="44"/>
      <c r="S23" s="46">
        <f t="shared" si="4"/>
        <v>0</v>
      </c>
      <c r="T23" s="32"/>
      <c r="U23" s="32"/>
      <c r="V23" s="44"/>
      <c r="W23" s="46">
        <f t="shared" si="5"/>
        <v>0</v>
      </c>
      <c r="X23" s="28"/>
      <c r="Y23" s="54"/>
      <c r="Z23" s="22"/>
      <c r="AA23" s="48"/>
      <c r="AB23" s="78" t="s">
        <v>36</v>
      </c>
      <c r="AC23" s="78" t="s">
        <v>37</v>
      </c>
      <c r="AD23" s="79"/>
      <c r="AE23" s="79"/>
      <c r="AF23" s="13"/>
      <c r="AG23" s="79"/>
      <c r="AH23" s="79"/>
      <c r="AI23" s="79"/>
      <c r="AJ23" s="51"/>
      <c r="AK23" s="36"/>
      <c r="AL23" s="36"/>
      <c r="AM23" s="36"/>
      <c r="AN23" s="13"/>
      <c r="AO23" s="55"/>
      <c r="AP23" s="3"/>
      <c r="AQ23" s="3"/>
      <c r="AR23" s="14"/>
    </row>
    <row r="24" ht="16.5" customHeight="1">
      <c r="A24" s="41">
        <v>18.0</v>
      </c>
      <c r="B24" s="42"/>
      <c r="C24" s="43"/>
      <c r="D24" s="53">
        <v>25.0</v>
      </c>
      <c r="E24" s="53">
        <v>18.0</v>
      </c>
      <c r="F24" s="45"/>
      <c r="G24" s="46">
        <f t="shared" si="1"/>
        <v>17</v>
      </c>
      <c r="H24" s="44"/>
      <c r="I24" s="44"/>
      <c r="J24" s="45"/>
      <c r="K24" s="46">
        <f t="shared" si="2"/>
        <v>0</v>
      </c>
      <c r="L24" s="44"/>
      <c r="M24" s="44"/>
      <c r="N24" s="44"/>
      <c r="O24" s="46">
        <f t="shared" si="3"/>
        <v>0</v>
      </c>
      <c r="P24" s="32"/>
      <c r="Q24" s="32"/>
      <c r="R24" s="44"/>
      <c r="S24" s="46">
        <f t="shared" si="4"/>
        <v>0</v>
      </c>
      <c r="T24" s="32"/>
      <c r="U24" s="32"/>
      <c r="V24" s="44"/>
      <c r="W24" s="46">
        <f t="shared" si="5"/>
        <v>0</v>
      </c>
      <c r="X24" s="28"/>
      <c r="Y24" s="54"/>
      <c r="Z24" s="22"/>
      <c r="AA24" s="48"/>
      <c r="AB24" s="80"/>
      <c r="AC24" s="80"/>
      <c r="AD24" s="36"/>
      <c r="AE24" s="36"/>
      <c r="AF24" s="36"/>
      <c r="AG24" s="77"/>
      <c r="AH24" s="77"/>
      <c r="AI24" s="77"/>
      <c r="AJ24" s="36"/>
      <c r="AK24" s="36"/>
      <c r="AL24" s="36"/>
      <c r="AM24" s="36"/>
      <c r="AN24" s="13"/>
      <c r="AO24" s="55"/>
      <c r="AP24" s="3"/>
      <c r="AQ24" s="3"/>
      <c r="AR24" s="14"/>
    </row>
    <row r="25" ht="16.5" customHeight="1">
      <c r="A25" s="41">
        <v>19.0</v>
      </c>
      <c r="B25" s="42"/>
      <c r="C25" s="43"/>
      <c r="D25" s="53">
        <v>25.0</v>
      </c>
      <c r="E25" s="53">
        <v>18.0</v>
      </c>
      <c r="F25" s="45"/>
      <c r="G25" s="46">
        <f t="shared" si="1"/>
        <v>17</v>
      </c>
      <c r="H25" s="44"/>
      <c r="I25" s="44"/>
      <c r="J25" s="45"/>
      <c r="K25" s="46">
        <f t="shared" si="2"/>
        <v>0</v>
      </c>
      <c r="L25" s="44"/>
      <c r="M25" s="44"/>
      <c r="N25" s="44"/>
      <c r="O25" s="46">
        <f t="shared" si="3"/>
        <v>0</v>
      </c>
      <c r="P25" s="32"/>
      <c r="Q25" s="32"/>
      <c r="R25" s="44"/>
      <c r="S25" s="46">
        <f t="shared" si="4"/>
        <v>0</v>
      </c>
      <c r="T25" s="32"/>
      <c r="U25" s="32"/>
      <c r="V25" s="44"/>
      <c r="W25" s="46">
        <f t="shared" si="5"/>
        <v>0</v>
      </c>
      <c r="X25" s="28"/>
      <c r="Y25" s="54"/>
      <c r="Z25" s="22"/>
      <c r="AA25" s="48"/>
      <c r="AB25" s="81" t="s">
        <v>38</v>
      </c>
      <c r="AC25" s="82">
        <f>(((G145*AI19)+(Y145*AI20)) * AJ19) + (AH42*AJ21)</f>
        <v>0.84</v>
      </c>
      <c r="AD25" s="48"/>
      <c r="AE25" s="48"/>
      <c r="AF25" s="13"/>
      <c r="AG25" s="13"/>
      <c r="AH25" s="56"/>
      <c r="AI25" s="56"/>
      <c r="AJ25" s="57"/>
      <c r="AK25" s="58"/>
      <c r="AL25" s="58"/>
      <c r="AM25" s="58"/>
      <c r="AN25" s="58"/>
      <c r="AO25" s="55"/>
      <c r="AP25" s="3"/>
      <c r="AQ25" s="3"/>
      <c r="AR25" s="14"/>
    </row>
    <row r="26" ht="16.5" customHeight="1">
      <c r="A26" s="41">
        <v>20.0</v>
      </c>
      <c r="B26" s="42"/>
      <c r="C26" s="43"/>
      <c r="D26" s="53">
        <v>25.0</v>
      </c>
      <c r="E26" s="53">
        <v>18.0</v>
      </c>
      <c r="F26" s="45"/>
      <c r="G26" s="46">
        <f t="shared" si="1"/>
        <v>17</v>
      </c>
      <c r="H26" s="44"/>
      <c r="I26" s="44"/>
      <c r="J26" s="45"/>
      <c r="K26" s="46">
        <f t="shared" si="2"/>
        <v>0</v>
      </c>
      <c r="L26" s="44"/>
      <c r="M26" s="44"/>
      <c r="N26" s="44"/>
      <c r="O26" s="46">
        <f t="shared" si="3"/>
        <v>0</v>
      </c>
      <c r="P26" s="32"/>
      <c r="Q26" s="32"/>
      <c r="R26" s="44"/>
      <c r="S26" s="46">
        <f t="shared" si="4"/>
        <v>0</v>
      </c>
      <c r="T26" s="32"/>
      <c r="U26" s="32"/>
      <c r="V26" s="44"/>
      <c r="W26" s="46">
        <f t="shared" si="5"/>
        <v>0</v>
      </c>
      <c r="X26" s="28"/>
      <c r="Y26" s="54"/>
      <c r="Z26" s="22"/>
      <c r="AA26" s="48"/>
      <c r="AB26" s="81" t="s">
        <v>39</v>
      </c>
      <c r="AC26" s="83">
        <f>(((K145*AI19)+(Y145*AI20)) * AJ19) + (AI42*AJ21)</f>
        <v>0.3</v>
      </c>
      <c r="AD26" s="48"/>
      <c r="AE26" s="48"/>
      <c r="AF26" s="13"/>
      <c r="AG26" s="13"/>
      <c r="AH26" s="56"/>
      <c r="AI26" s="56"/>
      <c r="AJ26" s="57"/>
      <c r="AK26" s="58"/>
      <c r="AL26" s="58"/>
      <c r="AM26" s="58"/>
      <c r="AN26" s="58"/>
      <c r="AO26" s="55"/>
      <c r="AP26" s="3"/>
      <c r="AQ26" s="3"/>
      <c r="AR26" s="14"/>
    </row>
    <row r="27" ht="16.5" customHeight="1">
      <c r="A27" s="41">
        <v>21.0</v>
      </c>
      <c r="B27" s="42"/>
      <c r="C27" s="43"/>
      <c r="D27" s="53">
        <v>25.0</v>
      </c>
      <c r="E27" s="53">
        <v>18.0</v>
      </c>
      <c r="F27" s="45"/>
      <c r="G27" s="46">
        <f t="shared" si="1"/>
        <v>17</v>
      </c>
      <c r="H27" s="44"/>
      <c r="I27" s="44"/>
      <c r="J27" s="45"/>
      <c r="K27" s="46">
        <f t="shared" si="2"/>
        <v>0</v>
      </c>
      <c r="L27" s="44"/>
      <c r="M27" s="44"/>
      <c r="N27" s="44"/>
      <c r="O27" s="46">
        <f t="shared" si="3"/>
        <v>0</v>
      </c>
      <c r="P27" s="32"/>
      <c r="Q27" s="32"/>
      <c r="R27" s="44"/>
      <c r="S27" s="46">
        <f t="shared" si="4"/>
        <v>0</v>
      </c>
      <c r="T27" s="32"/>
      <c r="U27" s="32"/>
      <c r="V27" s="44"/>
      <c r="W27" s="46">
        <f t="shared" si="5"/>
        <v>0</v>
      </c>
      <c r="X27" s="28"/>
      <c r="Y27" s="54"/>
      <c r="Z27" s="22"/>
      <c r="AA27" s="48"/>
      <c r="AB27" s="81" t="s">
        <v>40</v>
      </c>
      <c r="AC27" s="83">
        <f>(((O145*AI19)+(Y145*AI20)) * AJ19) + (AJ42*AJ21)</f>
        <v>0.3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55"/>
      <c r="AP27" s="3"/>
      <c r="AQ27" s="3"/>
      <c r="AR27" s="14"/>
    </row>
    <row r="28" ht="16.5" customHeight="1">
      <c r="A28" s="41">
        <v>22.0</v>
      </c>
      <c r="B28" s="42"/>
      <c r="C28" s="43"/>
      <c r="D28" s="53">
        <v>25.0</v>
      </c>
      <c r="E28" s="53">
        <v>18.0</v>
      </c>
      <c r="F28" s="45"/>
      <c r="G28" s="46">
        <f t="shared" si="1"/>
        <v>17</v>
      </c>
      <c r="H28" s="44"/>
      <c r="I28" s="44"/>
      <c r="J28" s="45"/>
      <c r="K28" s="46">
        <f t="shared" si="2"/>
        <v>0</v>
      </c>
      <c r="L28" s="44"/>
      <c r="M28" s="44"/>
      <c r="N28" s="44"/>
      <c r="O28" s="46">
        <f t="shared" si="3"/>
        <v>0</v>
      </c>
      <c r="P28" s="32"/>
      <c r="Q28" s="32"/>
      <c r="R28" s="44"/>
      <c r="S28" s="46">
        <f t="shared" si="4"/>
        <v>0</v>
      </c>
      <c r="T28" s="32"/>
      <c r="U28" s="32"/>
      <c r="V28" s="44"/>
      <c r="W28" s="46">
        <f t="shared" si="5"/>
        <v>0</v>
      </c>
      <c r="X28" s="28"/>
      <c r="Y28" s="54"/>
      <c r="Z28" s="22"/>
      <c r="AA28" s="48"/>
      <c r="AB28" s="81" t="s">
        <v>41</v>
      </c>
      <c r="AC28" s="83">
        <f>(((S145*AI19)+(Y145*AI20)) * AJ19) + (AK42*AJ21)</f>
        <v>0.3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55"/>
      <c r="AP28" s="3"/>
      <c r="AQ28" s="3"/>
      <c r="AR28" s="14"/>
    </row>
    <row r="29" ht="16.5" customHeight="1">
      <c r="A29" s="41">
        <v>23.0</v>
      </c>
      <c r="B29" s="42"/>
      <c r="C29" s="43"/>
      <c r="D29" s="53">
        <v>25.0</v>
      </c>
      <c r="E29" s="53">
        <v>18.0</v>
      </c>
      <c r="F29" s="45"/>
      <c r="G29" s="46">
        <f t="shared" si="1"/>
        <v>17</v>
      </c>
      <c r="H29" s="44"/>
      <c r="I29" s="44"/>
      <c r="J29" s="45"/>
      <c r="K29" s="46">
        <f t="shared" si="2"/>
        <v>0</v>
      </c>
      <c r="L29" s="44"/>
      <c r="M29" s="44"/>
      <c r="N29" s="44"/>
      <c r="O29" s="46">
        <f t="shared" si="3"/>
        <v>0</v>
      </c>
      <c r="P29" s="32"/>
      <c r="Q29" s="32"/>
      <c r="R29" s="44"/>
      <c r="S29" s="46">
        <f t="shared" si="4"/>
        <v>0</v>
      </c>
      <c r="T29" s="32"/>
      <c r="U29" s="32"/>
      <c r="V29" s="44"/>
      <c r="W29" s="46">
        <f t="shared" si="5"/>
        <v>0</v>
      </c>
      <c r="X29" s="28"/>
      <c r="Y29" s="54"/>
      <c r="Z29" s="22"/>
      <c r="AA29" s="48"/>
      <c r="AB29" s="81" t="s">
        <v>42</v>
      </c>
      <c r="AC29" s="84">
        <f>(((W145*AI19)+(Y145*AI20)) * AJ19) + (AL42*AJ21)</f>
        <v>0.3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55"/>
      <c r="AP29" s="3"/>
      <c r="AQ29" s="3"/>
      <c r="AR29" s="14"/>
    </row>
    <row r="30" ht="16.5" customHeight="1">
      <c r="A30" s="41">
        <v>24.0</v>
      </c>
      <c r="B30" s="42"/>
      <c r="C30" s="43"/>
      <c r="D30" s="53">
        <v>25.0</v>
      </c>
      <c r="E30" s="53">
        <v>18.0</v>
      </c>
      <c r="F30" s="45"/>
      <c r="G30" s="46">
        <f t="shared" si="1"/>
        <v>17</v>
      </c>
      <c r="H30" s="44"/>
      <c r="I30" s="44"/>
      <c r="J30" s="45"/>
      <c r="K30" s="46">
        <f t="shared" si="2"/>
        <v>0</v>
      </c>
      <c r="L30" s="44"/>
      <c r="M30" s="44"/>
      <c r="N30" s="44"/>
      <c r="O30" s="46">
        <f t="shared" si="3"/>
        <v>0</v>
      </c>
      <c r="P30" s="32"/>
      <c r="Q30" s="32"/>
      <c r="R30" s="44"/>
      <c r="S30" s="46">
        <f t="shared" si="4"/>
        <v>0</v>
      </c>
      <c r="T30" s="32"/>
      <c r="U30" s="32"/>
      <c r="V30" s="44"/>
      <c r="W30" s="46">
        <f t="shared" si="5"/>
        <v>0</v>
      </c>
      <c r="X30" s="28"/>
      <c r="Y30" s="54"/>
      <c r="Z30" s="22"/>
      <c r="AA30" s="48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55"/>
      <c r="AP30" s="3"/>
      <c r="AQ30" s="3"/>
      <c r="AR30" s="14"/>
    </row>
    <row r="31" ht="16.5" customHeight="1">
      <c r="A31" s="41">
        <v>25.0</v>
      </c>
      <c r="B31" s="42"/>
      <c r="C31" s="43"/>
      <c r="D31" s="53">
        <v>25.0</v>
      </c>
      <c r="E31" s="53">
        <v>18.0</v>
      </c>
      <c r="F31" s="45"/>
      <c r="G31" s="46">
        <f t="shared" si="1"/>
        <v>17</v>
      </c>
      <c r="H31" s="44"/>
      <c r="I31" s="44"/>
      <c r="J31" s="45"/>
      <c r="K31" s="46">
        <f t="shared" si="2"/>
        <v>0</v>
      </c>
      <c r="L31" s="44"/>
      <c r="M31" s="44"/>
      <c r="N31" s="44"/>
      <c r="O31" s="46">
        <f t="shared" si="3"/>
        <v>0</v>
      </c>
      <c r="P31" s="32"/>
      <c r="Q31" s="32"/>
      <c r="R31" s="44"/>
      <c r="S31" s="46">
        <f t="shared" si="4"/>
        <v>0</v>
      </c>
      <c r="T31" s="32"/>
      <c r="U31" s="32"/>
      <c r="V31" s="44"/>
      <c r="W31" s="46">
        <f t="shared" si="5"/>
        <v>0</v>
      </c>
      <c r="X31" s="28"/>
      <c r="Y31" s="54"/>
      <c r="Z31" s="22"/>
      <c r="AA31" s="48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55"/>
      <c r="AP31" s="3"/>
      <c r="AQ31" s="3"/>
      <c r="AR31" s="14"/>
    </row>
    <row r="32" ht="16.5" customHeight="1">
      <c r="A32" s="41">
        <v>26.0</v>
      </c>
      <c r="B32" s="42"/>
      <c r="C32" s="43"/>
      <c r="D32" s="53">
        <v>25.0</v>
      </c>
      <c r="E32" s="53">
        <v>18.0</v>
      </c>
      <c r="F32" s="45"/>
      <c r="G32" s="46">
        <f t="shared" si="1"/>
        <v>17</v>
      </c>
      <c r="H32" s="44"/>
      <c r="I32" s="44"/>
      <c r="J32" s="45"/>
      <c r="K32" s="46">
        <f t="shared" si="2"/>
        <v>0</v>
      </c>
      <c r="L32" s="44"/>
      <c r="M32" s="44"/>
      <c r="N32" s="44"/>
      <c r="O32" s="46">
        <f t="shared" si="3"/>
        <v>0</v>
      </c>
      <c r="P32" s="32"/>
      <c r="Q32" s="32"/>
      <c r="R32" s="44"/>
      <c r="S32" s="46">
        <f t="shared" si="4"/>
        <v>0</v>
      </c>
      <c r="T32" s="32"/>
      <c r="U32" s="32"/>
      <c r="V32" s="44"/>
      <c r="W32" s="46">
        <f t="shared" si="5"/>
        <v>0</v>
      </c>
      <c r="X32" s="28"/>
      <c r="Y32" s="54"/>
      <c r="Z32" s="22"/>
      <c r="AA32" s="48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55"/>
      <c r="AP32" s="3"/>
      <c r="AQ32" s="3"/>
      <c r="AR32" s="14"/>
    </row>
    <row r="33" ht="16.5" customHeight="1">
      <c r="A33" s="41">
        <v>27.0</v>
      </c>
      <c r="B33" s="42"/>
      <c r="C33" s="43"/>
      <c r="D33" s="53">
        <v>25.0</v>
      </c>
      <c r="E33" s="53">
        <v>18.0</v>
      </c>
      <c r="F33" s="45"/>
      <c r="G33" s="46">
        <f t="shared" si="1"/>
        <v>17</v>
      </c>
      <c r="H33" s="44"/>
      <c r="I33" s="44"/>
      <c r="J33" s="45"/>
      <c r="K33" s="46">
        <f t="shared" si="2"/>
        <v>0</v>
      </c>
      <c r="L33" s="44"/>
      <c r="M33" s="44"/>
      <c r="N33" s="44"/>
      <c r="O33" s="46">
        <f t="shared" si="3"/>
        <v>0</v>
      </c>
      <c r="P33" s="32"/>
      <c r="Q33" s="32"/>
      <c r="R33" s="44"/>
      <c r="S33" s="46">
        <f t="shared" si="4"/>
        <v>0</v>
      </c>
      <c r="T33" s="32"/>
      <c r="U33" s="32"/>
      <c r="V33" s="44"/>
      <c r="W33" s="46">
        <f t="shared" si="5"/>
        <v>0</v>
      </c>
      <c r="X33" s="28"/>
      <c r="Y33" s="54"/>
      <c r="Z33" s="22"/>
      <c r="AA33" s="48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55"/>
      <c r="AP33" s="3"/>
      <c r="AQ33" s="3"/>
      <c r="AR33" s="14"/>
    </row>
    <row r="34" ht="16.5" customHeight="1">
      <c r="A34" s="41">
        <v>28.0</v>
      </c>
      <c r="B34" s="42"/>
      <c r="C34" s="43"/>
      <c r="D34" s="53">
        <v>25.0</v>
      </c>
      <c r="E34" s="53">
        <v>18.0</v>
      </c>
      <c r="F34" s="45"/>
      <c r="G34" s="46">
        <f t="shared" si="1"/>
        <v>17</v>
      </c>
      <c r="H34" s="44"/>
      <c r="I34" s="44"/>
      <c r="J34" s="45"/>
      <c r="K34" s="46">
        <f t="shared" si="2"/>
        <v>0</v>
      </c>
      <c r="L34" s="44"/>
      <c r="M34" s="44"/>
      <c r="N34" s="44"/>
      <c r="O34" s="46">
        <f t="shared" si="3"/>
        <v>0</v>
      </c>
      <c r="P34" s="32"/>
      <c r="Q34" s="32"/>
      <c r="R34" s="44"/>
      <c r="S34" s="46">
        <f t="shared" si="4"/>
        <v>0</v>
      </c>
      <c r="T34" s="32"/>
      <c r="U34" s="32"/>
      <c r="V34" s="44"/>
      <c r="W34" s="46">
        <f t="shared" si="5"/>
        <v>0</v>
      </c>
      <c r="X34" s="28"/>
      <c r="Y34" s="54"/>
      <c r="Z34" s="22"/>
      <c r="AA34" s="48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55"/>
      <c r="AP34" s="3"/>
      <c r="AQ34" s="3"/>
      <c r="AR34" s="14"/>
    </row>
    <row r="35" ht="16.5" customHeight="1">
      <c r="A35" s="41">
        <v>29.0</v>
      </c>
      <c r="B35" s="42"/>
      <c r="C35" s="43"/>
      <c r="D35" s="53">
        <v>25.0</v>
      </c>
      <c r="E35" s="53">
        <v>18.0</v>
      </c>
      <c r="F35" s="45"/>
      <c r="G35" s="46">
        <f t="shared" si="1"/>
        <v>17</v>
      </c>
      <c r="H35" s="44"/>
      <c r="I35" s="44"/>
      <c r="J35" s="45"/>
      <c r="K35" s="46">
        <f t="shared" si="2"/>
        <v>0</v>
      </c>
      <c r="L35" s="44"/>
      <c r="M35" s="44"/>
      <c r="N35" s="44"/>
      <c r="O35" s="46">
        <f t="shared" si="3"/>
        <v>0</v>
      </c>
      <c r="P35" s="32"/>
      <c r="Q35" s="32"/>
      <c r="R35" s="44"/>
      <c r="S35" s="46">
        <f t="shared" si="4"/>
        <v>0</v>
      </c>
      <c r="T35" s="32"/>
      <c r="U35" s="32"/>
      <c r="V35" s="44"/>
      <c r="W35" s="46">
        <f t="shared" si="5"/>
        <v>0</v>
      </c>
      <c r="X35" s="28"/>
      <c r="Y35" s="54"/>
      <c r="Z35" s="22"/>
      <c r="AA35" s="48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55"/>
      <c r="AP35" s="3"/>
      <c r="AQ35" s="3"/>
      <c r="AR35" s="14"/>
    </row>
    <row r="36" ht="16.5" customHeight="1">
      <c r="A36" s="41">
        <v>30.0</v>
      </c>
      <c r="B36" s="42"/>
      <c r="C36" s="43"/>
      <c r="D36" s="53">
        <v>25.0</v>
      </c>
      <c r="E36" s="53">
        <v>18.0</v>
      </c>
      <c r="F36" s="45"/>
      <c r="G36" s="46">
        <f t="shared" si="1"/>
        <v>17</v>
      </c>
      <c r="H36" s="44"/>
      <c r="I36" s="44"/>
      <c r="J36" s="45"/>
      <c r="K36" s="46">
        <f t="shared" si="2"/>
        <v>0</v>
      </c>
      <c r="L36" s="44"/>
      <c r="M36" s="44"/>
      <c r="N36" s="44"/>
      <c r="O36" s="46">
        <f t="shared" si="3"/>
        <v>0</v>
      </c>
      <c r="P36" s="32"/>
      <c r="Q36" s="32"/>
      <c r="R36" s="44"/>
      <c r="S36" s="46">
        <f t="shared" si="4"/>
        <v>0</v>
      </c>
      <c r="T36" s="32"/>
      <c r="U36" s="32"/>
      <c r="V36" s="44"/>
      <c r="W36" s="46">
        <f t="shared" si="5"/>
        <v>0</v>
      </c>
      <c r="X36" s="28"/>
      <c r="Y36" s="54"/>
      <c r="Z36" s="22"/>
      <c r="AA36" s="48"/>
      <c r="AB36" s="13"/>
      <c r="AC36" s="85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M36" s="13"/>
      <c r="AN36" s="13"/>
      <c r="AO36" s="55"/>
      <c r="AP36" s="3"/>
      <c r="AQ36" s="3"/>
      <c r="AR36" s="14"/>
    </row>
    <row r="37" ht="16.5" customHeight="1">
      <c r="A37" s="41">
        <v>31.0</v>
      </c>
      <c r="B37" s="42"/>
      <c r="C37" s="43"/>
      <c r="D37" s="53">
        <v>25.0</v>
      </c>
      <c r="E37" s="53">
        <v>18.0</v>
      </c>
      <c r="F37" s="45"/>
      <c r="G37" s="46">
        <f t="shared" si="1"/>
        <v>17</v>
      </c>
      <c r="H37" s="44"/>
      <c r="I37" s="44"/>
      <c r="J37" s="45"/>
      <c r="K37" s="46">
        <f t="shared" si="2"/>
        <v>0</v>
      </c>
      <c r="L37" s="44"/>
      <c r="M37" s="44"/>
      <c r="N37" s="44"/>
      <c r="O37" s="46">
        <f t="shared" si="3"/>
        <v>0</v>
      </c>
      <c r="P37" s="32"/>
      <c r="Q37" s="32"/>
      <c r="R37" s="44"/>
      <c r="S37" s="46">
        <f t="shared" si="4"/>
        <v>0</v>
      </c>
      <c r="T37" s="32"/>
      <c r="U37" s="32"/>
      <c r="V37" s="44"/>
      <c r="W37" s="46">
        <f t="shared" si="5"/>
        <v>0</v>
      </c>
      <c r="X37" s="28"/>
      <c r="Y37" s="54"/>
      <c r="Z37" s="22"/>
      <c r="AA37" s="48"/>
      <c r="AB37" s="13"/>
      <c r="AC37" s="86" t="s">
        <v>43</v>
      </c>
      <c r="AD37" s="9"/>
      <c r="AE37" s="9"/>
      <c r="AF37" s="9"/>
      <c r="AG37" s="19"/>
      <c r="AH37" s="87" t="s">
        <v>35</v>
      </c>
      <c r="AI37" s="9"/>
      <c r="AJ37" s="9"/>
      <c r="AK37" s="9"/>
      <c r="AL37" s="19"/>
      <c r="AM37" s="13"/>
      <c r="AN37" s="13"/>
      <c r="AO37" s="55"/>
      <c r="AP37" s="3"/>
      <c r="AQ37" s="3"/>
      <c r="AR37" s="14"/>
    </row>
    <row r="38" ht="16.5" customHeight="1">
      <c r="A38" s="41">
        <v>32.0</v>
      </c>
      <c r="B38" s="42"/>
      <c r="C38" s="43"/>
      <c r="D38" s="53">
        <v>25.0</v>
      </c>
      <c r="E38" s="53">
        <v>18.0</v>
      </c>
      <c r="F38" s="45"/>
      <c r="G38" s="46">
        <f t="shared" si="1"/>
        <v>17</v>
      </c>
      <c r="H38" s="44"/>
      <c r="I38" s="44"/>
      <c r="J38" s="45"/>
      <c r="K38" s="46">
        <f t="shared" si="2"/>
        <v>0</v>
      </c>
      <c r="L38" s="44"/>
      <c r="M38" s="44"/>
      <c r="N38" s="44"/>
      <c r="O38" s="46">
        <f t="shared" si="3"/>
        <v>0</v>
      </c>
      <c r="P38" s="32"/>
      <c r="Q38" s="32"/>
      <c r="R38" s="44"/>
      <c r="S38" s="46">
        <f t="shared" si="4"/>
        <v>0</v>
      </c>
      <c r="T38" s="32"/>
      <c r="U38" s="32"/>
      <c r="V38" s="44"/>
      <c r="W38" s="46">
        <f t="shared" si="5"/>
        <v>0</v>
      </c>
      <c r="X38" s="28"/>
      <c r="Y38" s="54"/>
      <c r="Z38" s="22"/>
      <c r="AA38" s="48"/>
      <c r="AB38" s="13"/>
      <c r="AC38" s="88" t="s">
        <v>44</v>
      </c>
      <c r="AD38" s="9"/>
      <c r="AE38" s="9"/>
      <c r="AF38" s="9"/>
      <c r="AG38" s="19"/>
      <c r="AH38" s="89" t="s">
        <v>5</v>
      </c>
      <c r="AI38" s="89" t="s">
        <v>6</v>
      </c>
      <c r="AJ38" s="89" t="s">
        <v>7</v>
      </c>
      <c r="AK38" s="89" t="s">
        <v>8</v>
      </c>
      <c r="AL38" s="89" t="s">
        <v>9</v>
      </c>
      <c r="AM38" s="13"/>
      <c r="AN38" s="13"/>
      <c r="AO38" s="55"/>
      <c r="AP38" s="3"/>
      <c r="AQ38" s="3"/>
      <c r="AR38" s="14"/>
    </row>
    <row r="39" ht="16.5" customHeight="1">
      <c r="A39" s="41">
        <v>33.0</v>
      </c>
      <c r="B39" s="42"/>
      <c r="C39" s="43"/>
      <c r="D39" s="53">
        <v>25.0</v>
      </c>
      <c r="E39" s="53">
        <v>18.0</v>
      </c>
      <c r="F39" s="45"/>
      <c r="G39" s="46">
        <f t="shared" si="1"/>
        <v>17</v>
      </c>
      <c r="H39" s="44"/>
      <c r="I39" s="44"/>
      <c r="J39" s="45"/>
      <c r="K39" s="46">
        <f t="shared" si="2"/>
        <v>0</v>
      </c>
      <c r="L39" s="44"/>
      <c r="M39" s="44"/>
      <c r="N39" s="44"/>
      <c r="O39" s="46">
        <f t="shared" si="3"/>
        <v>0</v>
      </c>
      <c r="P39" s="32"/>
      <c r="Q39" s="32"/>
      <c r="R39" s="44"/>
      <c r="S39" s="46">
        <f t="shared" si="4"/>
        <v>0</v>
      </c>
      <c r="T39" s="32"/>
      <c r="U39" s="32"/>
      <c r="V39" s="44"/>
      <c r="W39" s="46">
        <f t="shared" si="5"/>
        <v>0</v>
      </c>
      <c r="X39" s="28"/>
      <c r="Y39" s="54"/>
      <c r="Z39" s="22"/>
      <c r="AA39" s="48"/>
      <c r="AB39" s="13"/>
      <c r="AC39" s="90" t="s">
        <v>45</v>
      </c>
      <c r="AD39" s="9"/>
      <c r="AE39" s="9"/>
      <c r="AF39" s="9"/>
      <c r="AG39" s="19"/>
      <c r="AH39" s="91">
        <v>3.0</v>
      </c>
      <c r="AI39" s="91">
        <v>3.0</v>
      </c>
      <c r="AJ39" s="91">
        <v>3.0</v>
      </c>
      <c r="AK39" s="91">
        <v>3.0</v>
      </c>
      <c r="AL39" s="91">
        <v>3.0</v>
      </c>
      <c r="AM39" s="13"/>
      <c r="AN39" s="13"/>
      <c r="AO39" s="55"/>
      <c r="AP39" s="3"/>
      <c r="AQ39" s="3"/>
      <c r="AR39" s="14"/>
    </row>
    <row r="40" ht="16.5" customHeight="1">
      <c r="A40" s="41">
        <v>34.0</v>
      </c>
      <c r="B40" s="42"/>
      <c r="C40" s="43"/>
      <c r="D40" s="53">
        <v>25.0</v>
      </c>
      <c r="E40" s="53">
        <v>18.0</v>
      </c>
      <c r="F40" s="45"/>
      <c r="G40" s="46">
        <f t="shared" si="1"/>
        <v>17</v>
      </c>
      <c r="H40" s="44"/>
      <c r="I40" s="44"/>
      <c r="J40" s="45"/>
      <c r="K40" s="46">
        <f t="shared" si="2"/>
        <v>0</v>
      </c>
      <c r="L40" s="44"/>
      <c r="M40" s="44"/>
      <c r="N40" s="44"/>
      <c r="O40" s="46">
        <f t="shared" si="3"/>
        <v>0</v>
      </c>
      <c r="P40" s="32"/>
      <c r="Q40" s="32"/>
      <c r="R40" s="44"/>
      <c r="S40" s="46">
        <f t="shared" si="4"/>
        <v>0</v>
      </c>
      <c r="T40" s="32"/>
      <c r="U40" s="32"/>
      <c r="V40" s="44"/>
      <c r="W40" s="46">
        <f t="shared" si="5"/>
        <v>0</v>
      </c>
      <c r="X40" s="28"/>
      <c r="Y40" s="54"/>
      <c r="Z40" s="22"/>
      <c r="AA40" s="48"/>
      <c r="AB40" s="13"/>
      <c r="AC40" s="92" t="s">
        <v>46</v>
      </c>
      <c r="AD40" s="9"/>
      <c r="AE40" s="9"/>
      <c r="AF40" s="9"/>
      <c r="AG40" s="19"/>
      <c r="AH40" s="91">
        <v>63.0</v>
      </c>
      <c r="AI40" s="91">
        <v>63.0</v>
      </c>
      <c r="AJ40" s="91">
        <v>62.0</v>
      </c>
      <c r="AK40" s="91">
        <v>53.0</v>
      </c>
      <c r="AL40" s="91">
        <v>54.0</v>
      </c>
      <c r="AM40" s="13"/>
      <c r="AN40" s="13"/>
      <c r="AO40" s="55"/>
      <c r="AP40" s="3"/>
      <c r="AQ40" s="3"/>
      <c r="AR40" s="14"/>
    </row>
    <row r="41" ht="16.5" customHeight="1">
      <c r="A41" s="41">
        <v>35.0</v>
      </c>
      <c r="B41" s="42"/>
      <c r="C41" s="43"/>
      <c r="D41" s="53">
        <v>25.0</v>
      </c>
      <c r="E41" s="53">
        <v>18.0</v>
      </c>
      <c r="F41" s="45"/>
      <c r="G41" s="46">
        <f t="shared" si="1"/>
        <v>17</v>
      </c>
      <c r="H41" s="44"/>
      <c r="I41" s="44"/>
      <c r="J41" s="45"/>
      <c r="K41" s="46">
        <f t="shared" si="2"/>
        <v>0</v>
      </c>
      <c r="L41" s="44"/>
      <c r="M41" s="44"/>
      <c r="N41" s="44"/>
      <c r="O41" s="46">
        <f t="shared" si="3"/>
        <v>0</v>
      </c>
      <c r="P41" s="32"/>
      <c r="Q41" s="32"/>
      <c r="R41" s="44"/>
      <c r="S41" s="46">
        <f t="shared" si="4"/>
        <v>0</v>
      </c>
      <c r="T41" s="32"/>
      <c r="U41" s="32"/>
      <c r="V41" s="44"/>
      <c r="W41" s="46">
        <f t="shared" si="5"/>
        <v>0</v>
      </c>
      <c r="X41" s="28"/>
      <c r="Y41" s="54"/>
      <c r="Z41" s="22"/>
      <c r="AA41" s="48"/>
      <c r="AB41" s="13"/>
      <c r="AC41" s="93" t="s">
        <v>47</v>
      </c>
      <c r="AD41" s="9"/>
      <c r="AE41" s="9"/>
      <c r="AF41" s="9"/>
      <c r="AG41" s="19"/>
      <c r="AH41" s="94">
        <v>100.0</v>
      </c>
      <c r="AI41" s="95">
        <v>100.0</v>
      </c>
      <c r="AJ41" s="95">
        <v>98.4126984126984</v>
      </c>
      <c r="AK41" s="95">
        <v>84.12698412698413</v>
      </c>
      <c r="AL41" s="95">
        <v>85.71428571428571</v>
      </c>
      <c r="AM41" s="13"/>
      <c r="AN41" s="13"/>
      <c r="AO41" s="55"/>
      <c r="AP41" s="3"/>
      <c r="AQ41" s="3"/>
      <c r="AR41" s="14"/>
    </row>
    <row r="42" ht="16.5" customHeight="1">
      <c r="A42" s="41">
        <v>36.0</v>
      </c>
      <c r="B42" s="42"/>
      <c r="C42" s="43"/>
      <c r="D42" s="53">
        <v>25.0</v>
      </c>
      <c r="E42" s="53">
        <v>18.0</v>
      </c>
      <c r="F42" s="45"/>
      <c r="G42" s="46">
        <f t="shared" si="1"/>
        <v>17</v>
      </c>
      <c r="H42" s="44"/>
      <c r="I42" s="44"/>
      <c r="J42" s="45"/>
      <c r="K42" s="46">
        <f t="shared" si="2"/>
        <v>0</v>
      </c>
      <c r="L42" s="44"/>
      <c r="M42" s="44"/>
      <c r="N42" s="44"/>
      <c r="O42" s="46">
        <f t="shared" si="3"/>
        <v>0</v>
      </c>
      <c r="P42" s="32"/>
      <c r="Q42" s="32"/>
      <c r="R42" s="44"/>
      <c r="S42" s="46">
        <f t="shared" si="4"/>
        <v>0</v>
      </c>
      <c r="T42" s="32"/>
      <c r="U42" s="32"/>
      <c r="V42" s="44"/>
      <c r="W42" s="46">
        <f t="shared" si="5"/>
        <v>0</v>
      </c>
      <c r="X42" s="28"/>
      <c r="Y42" s="54"/>
      <c r="Z42" s="22"/>
      <c r="AA42" s="48"/>
      <c r="AB42" s="13"/>
      <c r="AC42" s="96" t="s">
        <v>48</v>
      </c>
      <c r="AD42" s="97"/>
      <c r="AE42" s="97"/>
      <c r="AF42" s="97"/>
      <c r="AG42" s="98"/>
      <c r="AH42" s="99">
        <f t="shared" ref="AH42:AL42" si="6">IF(AH41&gt;$AE$17,3,(IF(AH41&gt;=$AE$16,2,(IF(AH41&gt;$AE$15,1,0)))))</f>
        <v>3</v>
      </c>
      <c r="AI42" s="100">
        <f t="shared" si="6"/>
        <v>3</v>
      </c>
      <c r="AJ42" s="100">
        <f t="shared" si="6"/>
        <v>3</v>
      </c>
      <c r="AK42" s="100">
        <f t="shared" si="6"/>
        <v>3</v>
      </c>
      <c r="AL42" s="100">
        <f t="shared" si="6"/>
        <v>3</v>
      </c>
      <c r="AM42" s="13"/>
      <c r="AN42" s="13"/>
      <c r="AO42" s="55"/>
      <c r="AP42" s="3"/>
      <c r="AQ42" s="3"/>
      <c r="AR42" s="14"/>
    </row>
    <row r="43" ht="16.5" customHeight="1">
      <c r="A43" s="41">
        <v>37.0</v>
      </c>
      <c r="B43" s="42"/>
      <c r="C43" s="43"/>
      <c r="D43" s="53">
        <v>25.0</v>
      </c>
      <c r="E43" s="53">
        <v>18.0</v>
      </c>
      <c r="F43" s="45"/>
      <c r="G43" s="46">
        <f t="shared" si="1"/>
        <v>17</v>
      </c>
      <c r="H43" s="44"/>
      <c r="I43" s="44"/>
      <c r="J43" s="45"/>
      <c r="K43" s="46">
        <f t="shared" si="2"/>
        <v>0</v>
      </c>
      <c r="L43" s="44"/>
      <c r="M43" s="44"/>
      <c r="N43" s="44"/>
      <c r="O43" s="46">
        <f t="shared" si="3"/>
        <v>0</v>
      </c>
      <c r="P43" s="32"/>
      <c r="Q43" s="32"/>
      <c r="R43" s="44"/>
      <c r="S43" s="46">
        <f t="shared" si="4"/>
        <v>0</v>
      </c>
      <c r="T43" s="32"/>
      <c r="U43" s="32"/>
      <c r="V43" s="44"/>
      <c r="W43" s="46">
        <f t="shared" si="5"/>
        <v>0</v>
      </c>
      <c r="X43" s="28"/>
      <c r="Y43" s="54"/>
      <c r="Z43" s="22"/>
      <c r="AA43" s="48"/>
      <c r="AB43" s="13"/>
      <c r="AC43" s="101" t="s">
        <v>49</v>
      </c>
      <c r="AD43" s="6"/>
      <c r="AE43" s="6"/>
      <c r="AF43" s="6"/>
      <c r="AG43" s="6"/>
      <c r="AH43" s="6"/>
      <c r="AI43" s="6"/>
      <c r="AJ43" s="6"/>
      <c r="AK43" s="6"/>
      <c r="AL43" s="7"/>
      <c r="AM43" s="13"/>
      <c r="AN43" s="13"/>
      <c r="AO43" s="55"/>
      <c r="AP43" s="3"/>
      <c r="AQ43" s="3"/>
      <c r="AR43" s="14"/>
    </row>
    <row r="44" ht="16.5" customHeight="1">
      <c r="A44" s="41">
        <v>38.0</v>
      </c>
      <c r="B44" s="42"/>
      <c r="C44" s="43"/>
      <c r="D44" s="53">
        <v>25.0</v>
      </c>
      <c r="E44" s="53">
        <v>18.0</v>
      </c>
      <c r="F44" s="45"/>
      <c r="G44" s="46">
        <f t="shared" si="1"/>
        <v>17</v>
      </c>
      <c r="H44" s="44"/>
      <c r="I44" s="44"/>
      <c r="J44" s="45"/>
      <c r="K44" s="46">
        <f t="shared" si="2"/>
        <v>0</v>
      </c>
      <c r="L44" s="44"/>
      <c r="M44" s="44"/>
      <c r="N44" s="44"/>
      <c r="O44" s="46">
        <f t="shared" si="3"/>
        <v>0</v>
      </c>
      <c r="P44" s="32"/>
      <c r="Q44" s="32"/>
      <c r="R44" s="44"/>
      <c r="S44" s="46">
        <f t="shared" si="4"/>
        <v>0</v>
      </c>
      <c r="T44" s="32"/>
      <c r="U44" s="32"/>
      <c r="V44" s="44"/>
      <c r="W44" s="46">
        <f t="shared" si="5"/>
        <v>0</v>
      </c>
      <c r="X44" s="28"/>
      <c r="Y44" s="54"/>
      <c r="Z44" s="22"/>
      <c r="AA44" s="48"/>
      <c r="AB44" s="13"/>
      <c r="AC44" s="63"/>
      <c r="AL44" s="64"/>
      <c r="AM44" s="13"/>
      <c r="AN44" s="13"/>
      <c r="AO44" s="55"/>
      <c r="AP44" s="3"/>
      <c r="AQ44" s="3"/>
      <c r="AR44" s="14"/>
    </row>
    <row r="45" ht="16.5" customHeight="1">
      <c r="A45" s="41">
        <v>39.0</v>
      </c>
      <c r="B45" s="42"/>
      <c r="C45" s="43"/>
      <c r="D45" s="53">
        <v>25.0</v>
      </c>
      <c r="E45" s="53">
        <v>18.0</v>
      </c>
      <c r="F45" s="45"/>
      <c r="G45" s="46">
        <f t="shared" si="1"/>
        <v>17</v>
      </c>
      <c r="H45" s="44"/>
      <c r="I45" s="44"/>
      <c r="J45" s="45"/>
      <c r="K45" s="46">
        <f t="shared" si="2"/>
        <v>0</v>
      </c>
      <c r="L45" s="44"/>
      <c r="M45" s="44"/>
      <c r="N45" s="44"/>
      <c r="O45" s="46">
        <f t="shared" si="3"/>
        <v>0</v>
      </c>
      <c r="P45" s="32"/>
      <c r="Q45" s="32"/>
      <c r="R45" s="44"/>
      <c r="S45" s="46">
        <f t="shared" si="4"/>
        <v>0</v>
      </c>
      <c r="T45" s="32"/>
      <c r="U45" s="32"/>
      <c r="V45" s="44"/>
      <c r="W45" s="46">
        <f t="shared" si="5"/>
        <v>0</v>
      </c>
      <c r="X45" s="28"/>
      <c r="Y45" s="54"/>
      <c r="Z45" s="22"/>
      <c r="AA45" s="48"/>
      <c r="AB45" s="13"/>
      <c r="AC45" s="63"/>
      <c r="AL45" s="64"/>
      <c r="AM45" s="13"/>
      <c r="AN45" s="13"/>
      <c r="AO45" s="55"/>
      <c r="AP45" s="3"/>
      <c r="AQ45" s="3"/>
      <c r="AR45" s="14"/>
    </row>
    <row r="46" ht="16.5" customHeight="1">
      <c r="A46" s="41">
        <v>40.0</v>
      </c>
      <c r="B46" s="42"/>
      <c r="C46" s="43"/>
      <c r="D46" s="53">
        <v>25.0</v>
      </c>
      <c r="E46" s="53">
        <v>18.0</v>
      </c>
      <c r="F46" s="45"/>
      <c r="G46" s="46">
        <f t="shared" si="1"/>
        <v>17</v>
      </c>
      <c r="H46" s="44"/>
      <c r="I46" s="44"/>
      <c r="J46" s="45"/>
      <c r="K46" s="46">
        <f t="shared" si="2"/>
        <v>0</v>
      </c>
      <c r="L46" s="44"/>
      <c r="M46" s="44"/>
      <c r="N46" s="44"/>
      <c r="O46" s="46">
        <f t="shared" si="3"/>
        <v>0</v>
      </c>
      <c r="P46" s="32"/>
      <c r="Q46" s="32"/>
      <c r="R46" s="44"/>
      <c r="S46" s="46">
        <f t="shared" si="4"/>
        <v>0</v>
      </c>
      <c r="T46" s="32"/>
      <c r="U46" s="32"/>
      <c r="V46" s="44"/>
      <c r="W46" s="46">
        <f t="shared" si="5"/>
        <v>0</v>
      </c>
      <c r="X46" s="28"/>
      <c r="Y46" s="54"/>
      <c r="Z46" s="22"/>
      <c r="AA46" s="48"/>
      <c r="AB46" s="13"/>
      <c r="AC46" s="63"/>
      <c r="AL46" s="64"/>
      <c r="AM46" s="13"/>
      <c r="AN46" s="13"/>
      <c r="AO46" s="55"/>
      <c r="AP46" s="3"/>
      <c r="AQ46" s="3"/>
      <c r="AR46" s="14"/>
    </row>
    <row r="47" ht="16.5" customHeight="1">
      <c r="A47" s="41">
        <v>41.0</v>
      </c>
      <c r="B47" s="42"/>
      <c r="C47" s="43"/>
      <c r="D47" s="53">
        <v>25.0</v>
      </c>
      <c r="E47" s="53">
        <v>18.0</v>
      </c>
      <c r="F47" s="45"/>
      <c r="G47" s="46">
        <f t="shared" si="1"/>
        <v>17</v>
      </c>
      <c r="H47" s="44"/>
      <c r="I47" s="44"/>
      <c r="J47" s="45"/>
      <c r="K47" s="46">
        <f t="shared" si="2"/>
        <v>0</v>
      </c>
      <c r="L47" s="44"/>
      <c r="M47" s="44"/>
      <c r="N47" s="44"/>
      <c r="O47" s="46">
        <f t="shared" si="3"/>
        <v>0</v>
      </c>
      <c r="P47" s="32"/>
      <c r="Q47" s="32"/>
      <c r="R47" s="44"/>
      <c r="S47" s="46">
        <f t="shared" si="4"/>
        <v>0</v>
      </c>
      <c r="T47" s="32"/>
      <c r="U47" s="32"/>
      <c r="V47" s="44"/>
      <c r="W47" s="46">
        <f t="shared" si="5"/>
        <v>0</v>
      </c>
      <c r="X47" s="28"/>
      <c r="Y47" s="54"/>
      <c r="Z47" s="22"/>
      <c r="AA47" s="48"/>
      <c r="AB47" s="13"/>
      <c r="AC47" s="63"/>
      <c r="AL47" s="64"/>
      <c r="AM47" s="13"/>
      <c r="AN47" s="13"/>
      <c r="AO47" s="55"/>
      <c r="AP47" s="3"/>
      <c r="AQ47" s="3"/>
      <c r="AR47" s="14"/>
    </row>
    <row r="48" ht="16.5" customHeight="1">
      <c r="A48" s="41">
        <v>42.0</v>
      </c>
      <c r="B48" s="42"/>
      <c r="C48" s="43"/>
      <c r="D48" s="53">
        <v>25.0</v>
      </c>
      <c r="E48" s="53">
        <v>18.0</v>
      </c>
      <c r="F48" s="45"/>
      <c r="G48" s="46">
        <f t="shared" si="1"/>
        <v>17</v>
      </c>
      <c r="H48" s="44"/>
      <c r="I48" s="44"/>
      <c r="J48" s="45"/>
      <c r="K48" s="46">
        <f t="shared" si="2"/>
        <v>0</v>
      </c>
      <c r="L48" s="44"/>
      <c r="M48" s="44"/>
      <c r="N48" s="44"/>
      <c r="O48" s="46">
        <f t="shared" si="3"/>
        <v>0</v>
      </c>
      <c r="P48" s="32"/>
      <c r="Q48" s="32"/>
      <c r="R48" s="44"/>
      <c r="S48" s="46">
        <f t="shared" si="4"/>
        <v>0</v>
      </c>
      <c r="T48" s="32"/>
      <c r="U48" s="32"/>
      <c r="V48" s="44"/>
      <c r="W48" s="46">
        <f t="shared" si="5"/>
        <v>0</v>
      </c>
      <c r="X48" s="28"/>
      <c r="Y48" s="54"/>
      <c r="Z48" s="22"/>
      <c r="AA48" s="48"/>
      <c r="AB48" s="13"/>
      <c r="AC48" s="65"/>
      <c r="AD48" s="74"/>
      <c r="AE48" s="74"/>
      <c r="AF48" s="74"/>
      <c r="AG48" s="74"/>
      <c r="AH48" s="74"/>
      <c r="AI48" s="74"/>
      <c r="AJ48" s="74"/>
      <c r="AK48" s="74"/>
      <c r="AL48" s="66"/>
      <c r="AM48" s="13"/>
      <c r="AN48" s="13"/>
      <c r="AO48" s="55"/>
      <c r="AP48" s="3"/>
      <c r="AQ48" s="3"/>
      <c r="AR48" s="14"/>
    </row>
    <row r="49" ht="16.5" customHeight="1">
      <c r="A49" s="41">
        <v>43.0</v>
      </c>
      <c r="B49" s="42"/>
      <c r="C49" s="43"/>
      <c r="D49" s="53">
        <v>25.0</v>
      </c>
      <c r="E49" s="53">
        <v>18.0</v>
      </c>
      <c r="F49" s="45"/>
      <c r="G49" s="46">
        <f t="shared" si="1"/>
        <v>17</v>
      </c>
      <c r="H49" s="44"/>
      <c r="I49" s="44"/>
      <c r="J49" s="45"/>
      <c r="K49" s="46">
        <f t="shared" si="2"/>
        <v>0</v>
      </c>
      <c r="L49" s="44"/>
      <c r="M49" s="44"/>
      <c r="N49" s="44"/>
      <c r="O49" s="46">
        <f t="shared" si="3"/>
        <v>0</v>
      </c>
      <c r="P49" s="32"/>
      <c r="Q49" s="32"/>
      <c r="R49" s="44"/>
      <c r="S49" s="46">
        <f t="shared" si="4"/>
        <v>0</v>
      </c>
      <c r="T49" s="32"/>
      <c r="U49" s="32"/>
      <c r="V49" s="44"/>
      <c r="W49" s="46">
        <f t="shared" si="5"/>
        <v>0</v>
      </c>
      <c r="X49" s="28"/>
      <c r="Y49" s="54"/>
      <c r="Z49" s="22"/>
      <c r="AA49" s="48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55"/>
      <c r="AP49" s="3"/>
      <c r="AQ49" s="3"/>
      <c r="AR49" s="14"/>
    </row>
    <row r="50" ht="16.5" customHeight="1">
      <c r="A50" s="41">
        <v>44.0</v>
      </c>
      <c r="B50" s="42"/>
      <c r="C50" s="43"/>
      <c r="D50" s="53">
        <v>25.0</v>
      </c>
      <c r="E50" s="53">
        <v>18.0</v>
      </c>
      <c r="F50" s="45"/>
      <c r="G50" s="46">
        <f t="shared" si="1"/>
        <v>17</v>
      </c>
      <c r="H50" s="44"/>
      <c r="I50" s="44"/>
      <c r="J50" s="45"/>
      <c r="K50" s="46">
        <f t="shared" si="2"/>
        <v>0</v>
      </c>
      <c r="L50" s="44"/>
      <c r="M50" s="44"/>
      <c r="N50" s="44"/>
      <c r="O50" s="46">
        <f t="shared" si="3"/>
        <v>0</v>
      </c>
      <c r="P50" s="32"/>
      <c r="Q50" s="32"/>
      <c r="R50" s="44"/>
      <c r="S50" s="46">
        <f t="shared" si="4"/>
        <v>0</v>
      </c>
      <c r="T50" s="32"/>
      <c r="U50" s="32"/>
      <c r="V50" s="44"/>
      <c r="W50" s="46">
        <f t="shared" si="5"/>
        <v>0</v>
      </c>
      <c r="X50" s="28"/>
      <c r="Y50" s="54"/>
      <c r="Z50" s="22"/>
      <c r="AA50" s="48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55"/>
      <c r="AP50" s="3"/>
      <c r="AQ50" s="3"/>
      <c r="AR50" s="14"/>
    </row>
    <row r="51" ht="16.5" customHeight="1">
      <c r="A51" s="41">
        <v>45.0</v>
      </c>
      <c r="B51" s="42"/>
      <c r="C51" s="43"/>
      <c r="D51" s="53">
        <v>25.0</v>
      </c>
      <c r="E51" s="53">
        <v>18.0</v>
      </c>
      <c r="F51" s="45"/>
      <c r="G51" s="46">
        <f t="shared" si="1"/>
        <v>17</v>
      </c>
      <c r="H51" s="44"/>
      <c r="I51" s="44"/>
      <c r="J51" s="45"/>
      <c r="K51" s="46">
        <f t="shared" si="2"/>
        <v>0</v>
      </c>
      <c r="L51" s="44"/>
      <c r="M51" s="44"/>
      <c r="N51" s="44"/>
      <c r="O51" s="46">
        <f t="shared" si="3"/>
        <v>0</v>
      </c>
      <c r="P51" s="32"/>
      <c r="Q51" s="32"/>
      <c r="R51" s="44"/>
      <c r="S51" s="46">
        <f t="shared" si="4"/>
        <v>0</v>
      </c>
      <c r="T51" s="32"/>
      <c r="U51" s="32"/>
      <c r="V51" s="44"/>
      <c r="W51" s="46">
        <f t="shared" si="5"/>
        <v>0</v>
      </c>
      <c r="X51" s="28"/>
      <c r="Y51" s="54"/>
      <c r="Z51" s="22"/>
      <c r="AA51" s="48"/>
      <c r="AO51" s="55"/>
      <c r="AP51" s="3"/>
      <c r="AQ51" s="3"/>
      <c r="AR51" s="14"/>
    </row>
    <row r="52" ht="16.5" customHeight="1">
      <c r="A52" s="41">
        <v>46.0</v>
      </c>
      <c r="B52" s="42"/>
      <c r="C52" s="43"/>
      <c r="D52" s="53">
        <v>25.0</v>
      </c>
      <c r="E52" s="53">
        <v>18.0</v>
      </c>
      <c r="F52" s="45"/>
      <c r="G52" s="46">
        <f t="shared" si="1"/>
        <v>17</v>
      </c>
      <c r="H52" s="44"/>
      <c r="I52" s="44"/>
      <c r="J52" s="45"/>
      <c r="K52" s="46">
        <f t="shared" si="2"/>
        <v>0</v>
      </c>
      <c r="L52" s="44"/>
      <c r="M52" s="44"/>
      <c r="N52" s="44"/>
      <c r="O52" s="46">
        <f t="shared" si="3"/>
        <v>0</v>
      </c>
      <c r="P52" s="32"/>
      <c r="Q52" s="32"/>
      <c r="R52" s="44"/>
      <c r="S52" s="46">
        <f t="shared" si="4"/>
        <v>0</v>
      </c>
      <c r="T52" s="32"/>
      <c r="U52" s="32"/>
      <c r="V52" s="44"/>
      <c r="W52" s="46">
        <f t="shared" si="5"/>
        <v>0</v>
      </c>
      <c r="X52" s="28"/>
      <c r="Y52" s="54"/>
      <c r="Z52" s="22"/>
      <c r="AA52" s="48"/>
      <c r="AO52" s="55"/>
      <c r="AP52" s="3"/>
      <c r="AQ52" s="3"/>
      <c r="AR52" s="14"/>
    </row>
    <row r="53" ht="16.5" customHeight="1">
      <c r="A53" s="41">
        <v>47.0</v>
      </c>
      <c r="B53" s="42"/>
      <c r="C53" s="43"/>
      <c r="D53" s="53">
        <v>25.0</v>
      </c>
      <c r="E53" s="53">
        <v>18.0</v>
      </c>
      <c r="F53" s="45"/>
      <c r="G53" s="46">
        <f t="shared" si="1"/>
        <v>17</v>
      </c>
      <c r="H53" s="44"/>
      <c r="I53" s="44"/>
      <c r="J53" s="45"/>
      <c r="K53" s="46">
        <f t="shared" si="2"/>
        <v>0</v>
      </c>
      <c r="L53" s="44"/>
      <c r="M53" s="44"/>
      <c r="N53" s="44"/>
      <c r="O53" s="46">
        <f t="shared" si="3"/>
        <v>0</v>
      </c>
      <c r="P53" s="32"/>
      <c r="Q53" s="32"/>
      <c r="R53" s="44"/>
      <c r="S53" s="46">
        <f t="shared" si="4"/>
        <v>0</v>
      </c>
      <c r="T53" s="32"/>
      <c r="U53" s="32"/>
      <c r="V53" s="44"/>
      <c r="W53" s="46">
        <f t="shared" si="5"/>
        <v>0</v>
      </c>
      <c r="X53" s="28"/>
      <c r="Y53" s="54"/>
      <c r="Z53" s="22"/>
      <c r="AA53" s="48"/>
      <c r="AO53" s="55"/>
      <c r="AP53" s="3"/>
      <c r="AQ53" s="3"/>
      <c r="AR53" s="14"/>
    </row>
    <row r="54" ht="16.5" customHeight="1">
      <c r="A54" s="41">
        <v>48.0</v>
      </c>
      <c r="B54" s="42"/>
      <c r="C54" s="43"/>
      <c r="D54" s="53">
        <v>25.0</v>
      </c>
      <c r="E54" s="53">
        <v>18.0</v>
      </c>
      <c r="F54" s="45"/>
      <c r="G54" s="46">
        <f t="shared" si="1"/>
        <v>17</v>
      </c>
      <c r="H54" s="44"/>
      <c r="I54" s="44"/>
      <c r="J54" s="45"/>
      <c r="K54" s="46">
        <f t="shared" si="2"/>
        <v>0</v>
      </c>
      <c r="L54" s="44"/>
      <c r="M54" s="44"/>
      <c r="N54" s="44"/>
      <c r="O54" s="46">
        <f t="shared" si="3"/>
        <v>0</v>
      </c>
      <c r="P54" s="32"/>
      <c r="Q54" s="32"/>
      <c r="R54" s="44"/>
      <c r="S54" s="46">
        <f t="shared" si="4"/>
        <v>0</v>
      </c>
      <c r="T54" s="32"/>
      <c r="U54" s="32"/>
      <c r="V54" s="44"/>
      <c r="W54" s="46">
        <f t="shared" si="5"/>
        <v>0</v>
      </c>
      <c r="X54" s="28"/>
      <c r="Y54" s="54"/>
      <c r="Z54" s="22"/>
      <c r="AA54" s="48"/>
      <c r="AO54" s="55"/>
      <c r="AP54" s="3"/>
      <c r="AQ54" s="3"/>
      <c r="AR54" s="14"/>
    </row>
    <row r="55" ht="16.5" customHeight="1">
      <c r="A55" s="41">
        <v>49.0</v>
      </c>
      <c r="B55" s="42"/>
      <c r="C55" s="43"/>
      <c r="D55" s="53">
        <v>25.0</v>
      </c>
      <c r="E55" s="53">
        <v>18.0</v>
      </c>
      <c r="F55" s="45"/>
      <c r="G55" s="46">
        <f t="shared" si="1"/>
        <v>17</v>
      </c>
      <c r="H55" s="44"/>
      <c r="I55" s="44"/>
      <c r="J55" s="45"/>
      <c r="K55" s="46">
        <f t="shared" si="2"/>
        <v>0</v>
      </c>
      <c r="L55" s="44"/>
      <c r="M55" s="44"/>
      <c r="N55" s="44"/>
      <c r="O55" s="46">
        <f t="shared" si="3"/>
        <v>0</v>
      </c>
      <c r="P55" s="32"/>
      <c r="Q55" s="32"/>
      <c r="R55" s="44"/>
      <c r="S55" s="46">
        <f t="shared" si="4"/>
        <v>0</v>
      </c>
      <c r="T55" s="32"/>
      <c r="U55" s="32"/>
      <c r="V55" s="44"/>
      <c r="W55" s="46">
        <f t="shared" si="5"/>
        <v>0</v>
      </c>
      <c r="X55" s="28"/>
      <c r="Y55" s="54"/>
      <c r="Z55" s="22"/>
      <c r="AA55" s="48"/>
      <c r="AO55" s="55"/>
      <c r="AP55" s="3"/>
      <c r="AQ55" s="3"/>
      <c r="AR55" s="14"/>
    </row>
    <row r="56" ht="16.5" customHeight="1">
      <c r="A56" s="41">
        <v>50.0</v>
      </c>
      <c r="B56" s="42"/>
      <c r="C56" s="43"/>
      <c r="D56" s="53">
        <v>25.0</v>
      </c>
      <c r="E56" s="53">
        <v>18.0</v>
      </c>
      <c r="F56" s="45"/>
      <c r="G56" s="46">
        <f t="shared" si="1"/>
        <v>17</v>
      </c>
      <c r="H56" s="44"/>
      <c r="I56" s="44"/>
      <c r="J56" s="45"/>
      <c r="K56" s="46">
        <f t="shared" si="2"/>
        <v>0</v>
      </c>
      <c r="L56" s="44"/>
      <c r="M56" s="44"/>
      <c r="N56" s="44"/>
      <c r="O56" s="46">
        <f t="shared" si="3"/>
        <v>0</v>
      </c>
      <c r="P56" s="32"/>
      <c r="Q56" s="32"/>
      <c r="R56" s="44"/>
      <c r="S56" s="46">
        <f t="shared" si="4"/>
        <v>0</v>
      </c>
      <c r="T56" s="32"/>
      <c r="U56" s="32"/>
      <c r="V56" s="44"/>
      <c r="W56" s="46">
        <f t="shared" si="5"/>
        <v>0</v>
      </c>
      <c r="X56" s="28"/>
      <c r="Y56" s="54"/>
      <c r="Z56" s="22"/>
      <c r="AA56" s="48"/>
      <c r="AO56" s="55"/>
      <c r="AP56" s="3"/>
      <c r="AQ56" s="3"/>
      <c r="AR56" s="14"/>
    </row>
    <row r="57" ht="16.5" customHeight="1">
      <c r="A57" s="41">
        <v>51.0</v>
      </c>
      <c r="B57" s="42"/>
      <c r="C57" s="43"/>
      <c r="D57" s="53">
        <v>25.0</v>
      </c>
      <c r="E57" s="53">
        <v>18.0</v>
      </c>
      <c r="F57" s="45"/>
      <c r="G57" s="46">
        <f t="shared" si="1"/>
        <v>17</v>
      </c>
      <c r="H57" s="44"/>
      <c r="I57" s="44"/>
      <c r="J57" s="45"/>
      <c r="K57" s="46">
        <f t="shared" si="2"/>
        <v>0</v>
      </c>
      <c r="L57" s="44"/>
      <c r="M57" s="44"/>
      <c r="N57" s="44"/>
      <c r="O57" s="46">
        <f t="shared" si="3"/>
        <v>0</v>
      </c>
      <c r="P57" s="32"/>
      <c r="Q57" s="32"/>
      <c r="R57" s="44"/>
      <c r="S57" s="46">
        <f t="shared" si="4"/>
        <v>0</v>
      </c>
      <c r="T57" s="32"/>
      <c r="U57" s="32"/>
      <c r="V57" s="44"/>
      <c r="W57" s="46">
        <f t="shared" si="5"/>
        <v>0</v>
      </c>
      <c r="X57" s="28"/>
      <c r="Y57" s="54"/>
      <c r="Z57" s="22"/>
      <c r="AA57" s="48"/>
      <c r="AO57" s="55"/>
      <c r="AP57" s="3"/>
      <c r="AQ57" s="3"/>
      <c r="AR57" s="14"/>
    </row>
    <row r="58" ht="16.5" customHeight="1">
      <c r="A58" s="41">
        <v>52.0</v>
      </c>
      <c r="B58" s="42"/>
      <c r="C58" s="43"/>
      <c r="D58" s="53">
        <v>25.0</v>
      </c>
      <c r="E58" s="53">
        <v>18.0</v>
      </c>
      <c r="F58" s="45"/>
      <c r="G58" s="46">
        <f t="shared" si="1"/>
        <v>17</v>
      </c>
      <c r="H58" s="44"/>
      <c r="I58" s="44"/>
      <c r="J58" s="45"/>
      <c r="K58" s="46">
        <f t="shared" si="2"/>
        <v>0</v>
      </c>
      <c r="L58" s="44"/>
      <c r="M58" s="44"/>
      <c r="N58" s="44"/>
      <c r="O58" s="46">
        <f t="shared" si="3"/>
        <v>0</v>
      </c>
      <c r="P58" s="32"/>
      <c r="Q58" s="32"/>
      <c r="R58" s="44"/>
      <c r="S58" s="46">
        <f t="shared" si="4"/>
        <v>0</v>
      </c>
      <c r="T58" s="32"/>
      <c r="U58" s="32"/>
      <c r="V58" s="44"/>
      <c r="W58" s="46">
        <f t="shared" si="5"/>
        <v>0</v>
      </c>
      <c r="X58" s="28"/>
      <c r="Y58" s="54"/>
      <c r="Z58" s="22"/>
      <c r="AA58" s="48"/>
      <c r="AO58" s="55"/>
      <c r="AP58" s="3"/>
      <c r="AQ58" s="3"/>
      <c r="AR58" s="14"/>
    </row>
    <row r="59" ht="16.5" customHeight="1">
      <c r="A59" s="41">
        <v>53.0</v>
      </c>
      <c r="B59" s="42"/>
      <c r="C59" s="43"/>
      <c r="D59" s="53">
        <v>25.0</v>
      </c>
      <c r="E59" s="53">
        <v>18.0</v>
      </c>
      <c r="F59" s="45"/>
      <c r="G59" s="46">
        <f t="shared" si="1"/>
        <v>17</v>
      </c>
      <c r="H59" s="44"/>
      <c r="I59" s="44"/>
      <c r="J59" s="45"/>
      <c r="K59" s="46">
        <f t="shared" si="2"/>
        <v>0</v>
      </c>
      <c r="L59" s="44"/>
      <c r="M59" s="44"/>
      <c r="N59" s="44"/>
      <c r="O59" s="46">
        <f t="shared" si="3"/>
        <v>0</v>
      </c>
      <c r="P59" s="32"/>
      <c r="Q59" s="32"/>
      <c r="R59" s="44"/>
      <c r="S59" s="46">
        <f t="shared" si="4"/>
        <v>0</v>
      </c>
      <c r="T59" s="32"/>
      <c r="U59" s="32"/>
      <c r="V59" s="44"/>
      <c r="W59" s="46">
        <f t="shared" si="5"/>
        <v>0</v>
      </c>
      <c r="X59" s="28"/>
      <c r="Y59" s="54"/>
      <c r="Z59" s="22"/>
      <c r="AA59" s="48"/>
      <c r="AO59" s="55"/>
      <c r="AP59" s="3"/>
      <c r="AQ59" s="3"/>
      <c r="AR59" s="14"/>
    </row>
    <row r="60" ht="16.5" customHeight="1">
      <c r="A60" s="41">
        <v>54.0</v>
      </c>
      <c r="B60" s="42"/>
      <c r="C60" s="43"/>
      <c r="D60" s="53">
        <v>25.0</v>
      </c>
      <c r="E60" s="53">
        <v>18.0</v>
      </c>
      <c r="F60" s="45"/>
      <c r="G60" s="46">
        <f t="shared" si="1"/>
        <v>17</v>
      </c>
      <c r="H60" s="44"/>
      <c r="I60" s="44"/>
      <c r="J60" s="45"/>
      <c r="K60" s="46">
        <f t="shared" si="2"/>
        <v>0</v>
      </c>
      <c r="L60" s="44"/>
      <c r="M60" s="44"/>
      <c r="N60" s="44"/>
      <c r="O60" s="46">
        <f t="shared" si="3"/>
        <v>0</v>
      </c>
      <c r="P60" s="32"/>
      <c r="Q60" s="32"/>
      <c r="R60" s="44"/>
      <c r="S60" s="46">
        <f t="shared" si="4"/>
        <v>0</v>
      </c>
      <c r="T60" s="32"/>
      <c r="U60" s="32"/>
      <c r="V60" s="44"/>
      <c r="W60" s="46">
        <f t="shared" si="5"/>
        <v>0</v>
      </c>
      <c r="X60" s="28"/>
      <c r="Y60" s="54"/>
      <c r="Z60" s="22"/>
      <c r="AA60" s="48"/>
      <c r="AO60" s="55"/>
      <c r="AP60" s="3"/>
      <c r="AQ60" s="3"/>
      <c r="AR60" s="14"/>
    </row>
    <row r="61" ht="16.5" customHeight="1">
      <c r="A61" s="41">
        <v>55.0</v>
      </c>
      <c r="B61" s="42"/>
      <c r="C61" s="43"/>
      <c r="D61" s="53">
        <v>25.0</v>
      </c>
      <c r="E61" s="53">
        <v>18.0</v>
      </c>
      <c r="F61" s="45"/>
      <c r="G61" s="46">
        <f t="shared" si="1"/>
        <v>17</v>
      </c>
      <c r="H61" s="44"/>
      <c r="I61" s="44"/>
      <c r="J61" s="45"/>
      <c r="K61" s="46">
        <f t="shared" si="2"/>
        <v>0</v>
      </c>
      <c r="L61" s="44"/>
      <c r="M61" s="44"/>
      <c r="N61" s="44"/>
      <c r="O61" s="46">
        <f t="shared" si="3"/>
        <v>0</v>
      </c>
      <c r="P61" s="32"/>
      <c r="Q61" s="32"/>
      <c r="R61" s="44"/>
      <c r="S61" s="46">
        <f t="shared" si="4"/>
        <v>0</v>
      </c>
      <c r="T61" s="32"/>
      <c r="U61" s="32"/>
      <c r="V61" s="44"/>
      <c r="W61" s="46">
        <f t="shared" si="5"/>
        <v>0</v>
      </c>
      <c r="X61" s="28"/>
      <c r="Y61" s="54"/>
      <c r="Z61" s="22"/>
      <c r="AA61" s="48"/>
      <c r="AO61" s="55"/>
      <c r="AP61" s="3"/>
      <c r="AQ61" s="3"/>
      <c r="AR61" s="14"/>
    </row>
    <row r="62" ht="16.5" customHeight="1">
      <c r="A62" s="41">
        <v>56.0</v>
      </c>
      <c r="B62" s="42"/>
      <c r="C62" s="43"/>
      <c r="D62" s="53">
        <v>25.0</v>
      </c>
      <c r="E62" s="53">
        <v>18.0</v>
      </c>
      <c r="F62" s="45"/>
      <c r="G62" s="46">
        <f t="shared" si="1"/>
        <v>17</v>
      </c>
      <c r="H62" s="44"/>
      <c r="I62" s="44"/>
      <c r="J62" s="45"/>
      <c r="K62" s="46">
        <f t="shared" si="2"/>
        <v>0</v>
      </c>
      <c r="L62" s="44"/>
      <c r="M62" s="44"/>
      <c r="N62" s="44"/>
      <c r="O62" s="46">
        <f t="shared" si="3"/>
        <v>0</v>
      </c>
      <c r="P62" s="32"/>
      <c r="Q62" s="32"/>
      <c r="R62" s="44"/>
      <c r="S62" s="46">
        <f t="shared" si="4"/>
        <v>0</v>
      </c>
      <c r="T62" s="32"/>
      <c r="U62" s="32"/>
      <c r="V62" s="44"/>
      <c r="W62" s="46">
        <f t="shared" si="5"/>
        <v>0</v>
      </c>
      <c r="X62" s="28"/>
      <c r="Y62" s="54"/>
      <c r="Z62" s="22"/>
      <c r="AA62" s="48"/>
      <c r="AO62" s="55"/>
      <c r="AP62" s="3"/>
      <c r="AQ62" s="3"/>
      <c r="AR62" s="14"/>
    </row>
    <row r="63" ht="16.5" customHeight="1">
      <c r="A63" s="41">
        <v>57.0</v>
      </c>
      <c r="B63" s="42"/>
      <c r="C63" s="43"/>
      <c r="D63" s="53">
        <v>25.0</v>
      </c>
      <c r="E63" s="53">
        <v>18.0</v>
      </c>
      <c r="F63" s="45"/>
      <c r="G63" s="46">
        <f t="shared" si="1"/>
        <v>17</v>
      </c>
      <c r="H63" s="44"/>
      <c r="I63" s="44"/>
      <c r="J63" s="45"/>
      <c r="K63" s="46">
        <f t="shared" si="2"/>
        <v>0</v>
      </c>
      <c r="L63" s="44"/>
      <c r="M63" s="44"/>
      <c r="N63" s="44"/>
      <c r="O63" s="46">
        <f t="shared" si="3"/>
        <v>0</v>
      </c>
      <c r="P63" s="32"/>
      <c r="Q63" s="32"/>
      <c r="R63" s="44"/>
      <c r="S63" s="46">
        <f t="shared" si="4"/>
        <v>0</v>
      </c>
      <c r="T63" s="32"/>
      <c r="U63" s="32"/>
      <c r="V63" s="44"/>
      <c r="W63" s="46">
        <f t="shared" si="5"/>
        <v>0</v>
      </c>
      <c r="X63" s="28"/>
      <c r="Y63" s="54"/>
      <c r="Z63" s="22"/>
      <c r="AA63" s="48"/>
      <c r="AO63" s="55"/>
      <c r="AP63" s="3"/>
      <c r="AQ63" s="3"/>
      <c r="AR63" s="14"/>
    </row>
    <row r="64" ht="16.5" customHeight="1">
      <c r="A64" s="41">
        <v>58.0</v>
      </c>
      <c r="B64" s="42"/>
      <c r="C64" s="43"/>
      <c r="D64" s="53">
        <v>25.0</v>
      </c>
      <c r="E64" s="53">
        <v>18.0</v>
      </c>
      <c r="F64" s="45"/>
      <c r="G64" s="46">
        <f t="shared" si="1"/>
        <v>17</v>
      </c>
      <c r="H64" s="44"/>
      <c r="I64" s="44"/>
      <c r="J64" s="45"/>
      <c r="K64" s="46">
        <f t="shared" si="2"/>
        <v>0</v>
      </c>
      <c r="L64" s="44"/>
      <c r="M64" s="44"/>
      <c r="N64" s="44"/>
      <c r="O64" s="46">
        <f t="shared" si="3"/>
        <v>0</v>
      </c>
      <c r="P64" s="32"/>
      <c r="Q64" s="32"/>
      <c r="R64" s="44"/>
      <c r="S64" s="46">
        <f t="shared" si="4"/>
        <v>0</v>
      </c>
      <c r="T64" s="32"/>
      <c r="U64" s="32"/>
      <c r="V64" s="44"/>
      <c r="W64" s="46">
        <f t="shared" si="5"/>
        <v>0</v>
      </c>
      <c r="X64" s="28"/>
      <c r="Y64" s="54"/>
      <c r="Z64" s="22"/>
      <c r="AA64" s="48"/>
      <c r="AO64" s="55"/>
      <c r="AP64" s="3"/>
      <c r="AQ64" s="3"/>
      <c r="AR64" s="14"/>
    </row>
    <row r="65" ht="16.5" customHeight="1">
      <c r="A65" s="41">
        <v>59.0</v>
      </c>
      <c r="B65" s="42"/>
      <c r="C65" s="43"/>
      <c r="D65" s="53">
        <v>25.0</v>
      </c>
      <c r="E65" s="53">
        <v>18.0</v>
      </c>
      <c r="F65" s="45"/>
      <c r="G65" s="46">
        <f t="shared" si="1"/>
        <v>17</v>
      </c>
      <c r="H65" s="44"/>
      <c r="I65" s="44"/>
      <c r="J65" s="45"/>
      <c r="K65" s="46">
        <f t="shared" si="2"/>
        <v>0</v>
      </c>
      <c r="L65" s="44"/>
      <c r="M65" s="44"/>
      <c r="N65" s="44"/>
      <c r="O65" s="46">
        <f t="shared" si="3"/>
        <v>0</v>
      </c>
      <c r="P65" s="32"/>
      <c r="Q65" s="32"/>
      <c r="R65" s="44"/>
      <c r="S65" s="46">
        <f t="shared" si="4"/>
        <v>0</v>
      </c>
      <c r="T65" s="32"/>
      <c r="U65" s="32"/>
      <c r="V65" s="44"/>
      <c r="W65" s="46">
        <f t="shared" si="5"/>
        <v>0</v>
      </c>
      <c r="X65" s="28"/>
      <c r="Y65" s="54"/>
      <c r="Z65" s="22"/>
      <c r="AA65" s="48"/>
      <c r="AO65" s="55"/>
      <c r="AP65" s="3"/>
      <c r="AQ65" s="3"/>
      <c r="AR65" s="14"/>
    </row>
    <row r="66" ht="16.5" customHeight="1">
      <c r="A66" s="41">
        <v>60.0</v>
      </c>
      <c r="B66" s="42"/>
      <c r="C66" s="43"/>
      <c r="D66" s="53">
        <v>25.0</v>
      </c>
      <c r="E66" s="53">
        <v>18.0</v>
      </c>
      <c r="F66" s="45"/>
      <c r="G66" s="46">
        <f t="shared" si="1"/>
        <v>17</v>
      </c>
      <c r="H66" s="44"/>
      <c r="I66" s="44"/>
      <c r="J66" s="45"/>
      <c r="K66" s="46">
        <f t="shared" si="2"/>
        <v>0</v>
      </c>
      <c r="L66" s="44"/>
      <c r="M66" s="44"/>
      <c r="N66" s="44"/>
      <c r="O66" s="46">
        <f t="shared" si="3"/>
        <v>0</v>
      </c>
      <c r="P66" s="32"/>
      <c r="Q66" s="32"/>
      <c r="R66" s="44"/>
      <c r="S66" s="46">
        <f t="shared" si="4"/>
        <v>0</v>
      </c>
      <c r="T66" s="32"/>
      <c r="U66" s="32"/>
      <c r="V66" s="44"/>
      <c r="W66" s="46">
        <f t="shared" si="5"/>
        <v>0</v>
      </c>
      <c r="X66" s="28"/>
      <c r="Y66" s="54"/>
      <c r="Z66" s="22"/>
      <c r="AA66" s="48"/>
      <c r="AO66" s="55"/>
      <c r="AP66" s="3"/>
      <c r="AQ66" s="3"/>
      <c r="AR66" s="14"/>
    </row>
    <row r="67" ht="16.5" customHeight="1">
      <c r="A67" s="41">
        <v>61.0</v>
      </c>
      <c r="B67" s="42"/>
      <c r="C67" s="43"/>
      <c r="D67" s="53">
        <v>25.0</v>
      </c>
      <c r="E67" s="53">
        <v>18.0</v>
      </c>
      <c r="F67" s="45"/>
      <c r="G67" s="46">
        <f t="shared" si="1"/>
        <v>17</v>
      </c>
      <c r="H67" s="44"/>
      <c r="I67" s="44"/>
      <c r="J67" s="45"/>
      <c r="K67" s="46">
        <f t="shared" si="2"/>
        <v>0</v>
      </c>
      <c r="L67" s="44"/>
      <c r="M67" s="44"/>
      <c r="N67" s="44"/>
      <c r="O67" s="46">
        <f t="shared" si="3"/>
        <v>0</v>
      </c>
      <c r="P67" s="32"/>
      <c r="Q67" s="32"/>
      <c r="R67" s="44"/>
      <c r="S67" s="46">
        <f t="shared" si="4"/>
        <v>0</v>
      </c>
      <c r="T67" s="32"/>
      <c r="U67" s="32"/>
      <c r="V67" s="44"/>
      <c r="W67" s="46">
        <f t="shared" si="5"/>
        <v>0</v>
      </c>
      <c r="X67" s="28"/>
      <c r="Y67" s="54"/>
      <c r="Z67" s="22"/>
      <c r="AA67" s="48"/>
      <c r="AO67" s="55"/>
      <c r="AP67" s="3"/>
      <c r="AQ67" s="3"/>
      <c r="AR67" s="14"/>
    </row>
    <row r="68" ht="16.5" customHeight="1">
      <c r="A68" s="41">
        <v>62.0</v>
      </c>
      <c r="B68" s="42"/>
      <c r="C68" s="43"/>
      <c r="D68" s="53">
        <v>25.0</v>
      </c>
      <c r="E68" s="53">
        <v>18.0</v>
      </c>
      <c r="F68" s="45"/>
      <c r="G68" s="46">
        <f t="shared" si="1"/>
        <v>17</v>
      </c>
      <c r="H68" s="44"/>
      <c r="I68" s="44"/>
      <c r="J68" s="45"/>
      <c r="K68" s="46">
        <f t="shared" si="2"/>
        <v>0</v>
      </c>
      <c r="L68" s="44"/>
      <c r="M68" s="44"/>
      <c r="N68" s="44"/>
      <c r="O68" s="46">
        <f t="shared" si="3"/>
        <v>0</v>
      </c>
      <c r="P68" s="32"/>
      <c r="Q68" s="32"/>
      <c r="R68" s="44"/>
      <c r="S68" s="46">
        <f t="shared" si="4"/>
        <v>0</v>
      </c>
      <c r="T68" s="32"/>
      <c r="U68" s="32"/>
      <c r="V68" s="44"/>
      <c r="W68" s="46">
        <f t="shared" si="5"/>
        <v>0</v>
      </c>
      <c r="X68" s="28"/>
      <c r="Y68" s="54"/>
      <c r="Z68" s="22"/>
      <c r="AA68" s="48"/>
      <c r="AO68" s="55"/>
      <c r="AP68" s="3"/>
      <c r="AQ68" s="3"/>
      <c r="AR68" s="14"/>
    </row>
    <row r="69" ht="16.5" customHeight="1">
      <c r="A69" s="41">
        <v>63.0</v>
      </c>
      <c r="B69" s="42"/>
      <c r="C69" s="43"/>
      <c r="D69" s="53">
        <v>25.0</v>
      </c>
      <c r="E69" s="53">
        <v>18.0</v>
      </c>
      <c r="F69" s="45"/>
      <c r="G69" s="46">
        <f t="shared" si="1"/>
        <v>17</v>
      </c>
      <c r="H69" s="44"/>
      <c r="I69" s="44"/>
      <c r="J69" s="45"/>
      <c r="K69" s="46">
        <f t="shared" si="2"/>
        <v>0</v>
      </c>
      <c r="L69" s="44"/>
      <c r="M69" s="44"/>
      <c r="N69" s="44"/>
      <c r="O69" s="46">
        <f t="shared" si="3"/>
        <v>0</v>
      </c>
      <c r="P69" s="32"/>
      <c r="Q69" s="32"/>
      <c r="R69" s="44"/>
      <c r="S69" s="46">
        <f t="shared" si="4"/>
        <v>0</v>
      </c>
      <c r="T69" s="32"/>
      <c r="U69" s="32"/>
      <c r="V69" s="44"/>
      <c r="W69" s="46">
        <f t="shared" si="5"/>
        <v>0</v>
      </c>
      <c r="X69" s="28"/>
      <c r="Y69" s="54"/>
      <c r="Z69" s="22"/>
      <c r="AA69" s="48"/>
      <c r="AO69" s="55"/>
      <c r="AP69" s="3"/>
      <c r="AQ69" s="3"/>
      <c r="AR69" s="14"/>
    </row>
    <row r="70" ht="16.5" customHeight="1">
      <c r="A70" s="41">
        <v>64.0</v>
      </c>
      <c r="B70" s="42"/>
      <c r="C70" s="43"/>
      <c r="D70" s="53">
        <v>25.0</v>
      </c>
      <c r="E70" s="53">
        <v>18.0</v>
      </c>
      <c r="F70" s="45"/>
      <c r="G70" s="46">
        <f t="shared" si="1"/>
        <v>17</v>
      </c>
      <c r="H70" s="44"/>
      <c r="I70" s="44"/>
      <c r="J70" s="45"/>
      <c r="K70" s="46">
        <f t="shared" si="2"/>
        <v>0</v>
      </c>
      <c r="L70" s="44"/>
      <c r="M70" s="44"/>
      <c r="N70" s="44"/>
      <c r="O70" s="46">
        <f t="shared" si="3"/>
        <v>0</v>
      </c>
      <c r="P70" s="32"/>
      <c r="Q70" s="32"/>
      <c r="R70" s="44"/>
      <c r="S70" s="46">
        <f t="shared" si="4"/>
        <v>0</v>
      </c>
      <c r="T70" s="32"/>
      <c r="U70" s="32"/>
      <c r="V70" s="44"/>
      <c r="W70" s="46">
        <f t="shared" si="5"/>
        <v>0</v>
      </c>
      <c r="X70" s="28"/>
      <c r="Y70" s="54"/>
      <c r="Z70" s="22"/>
      <c r="AA70" s="48"/>
      <c r="AO70" s="55"/>
      <c r="AP70" s="3"/>
      <c r="AQ70" s="3"/>
      <c r="AR70" s="14"/>
    </row>
    <row r="71" ht="16.5" customHeight="1">
      <c r="A71" s="41">
        <v>65.0</v>
      </c>
      <c r="B71" s="42"/>
      <c r="C71" s="43"/>
      <c r="D71" s="53">
        <v>25.0</v>
      </c>
      <c r="E71" s="53">
        <v>18.0</v>
      </c>
      <c r="F71" s="45"/>
      <c r="G71" s="46">
        <f t="shared" si="1"/>
        <v>17</v>
      </c>
      <c r="H71" s="44"/>
      <c r="I71" s="44"/>
      <c r="J71" s="45"/>
      <c r="K71" s="46">
        <f t="shared" si="2"/>
        <v>0</v>
      </c>
      <c r="L71" s="44"/>
      <c r="M71" s="44"/>
      <c r="N71" s="44"/>
      <c r="O71" s="46">
        <f t="shared" si="3"/>
        <v>0</v>
      </c>
      <c r="P71" s="32"/>
      <c r="Q71" s="32"/>
      <c r="R71" s="44"/>
      <c r="S71" s="46">
        <f t="shared" si="4"/>
        <v>0</v>
      </c>
      <c r="T71" s="32"/>
      <c r="U71" s="32"/>
      <c r="V71" s="44"/>
      <c r="W71" s="46">
        <f t="shared" si="5"/>
        <v>0</v>
      </c>
      <c r="X71" s="28"/>
      <c r="Y71" s="54"/>
      <c r="Z71" s="22"/>
      <c r="AA71" s="48"/>
      <c r="AO71" s="55"/>
      <c r="AP71" s="3"/>
      <c r="AQ71" s="3"/>
      <c r="AR71" s="14"/>
    </row>
    <row r="72" ht="16.5" customHeight="1">
      <c r="A72" s="41">
        <v>66.0</v>
      </c>
      <c r="B72" s="42"/>
      <c r="C72" s="43"/>
      <c r="D72" s="53">
        <v>25.0</v>
      </c>
      <c r="E72" s="53">
        <v>18.0</v>
      </c>
      <c r="F72" s="45"/>
      <c r="G72" s="46">
        <f t="shared" si="1"/>
        <v>17</v>
      </c>
      <c r="H72" s="44"/>
      <c r="I72" s="44"/>
      <c r="J72" s="45"/>
      <c r="K72" s="46">
        <f t="shared" si="2"/>
        <v>0</v>
      </c>
      <c r="L72" s="44"/>
      <c r="M72" s="44"/>
      <c r="N72" s="44"/>
      <c r="O72" s="46">
        <f t="shared" si="3"/>
        <v>0</v>
      </c>
      <c r="P72" s="32"/>
      <c r="Q72" s="32"/>
      <c r="R72" s="44"/>
      <c r="S72" s="46">
        <f t="shared" si="4"/>
        <v>0</v>
      </c>
      <c r="T72" s="32"/>
      <c r="U72" s="32"/>
      <c r="V72" s="44"/>
      <c r="W72" s="46">
        <f t="shared" si="5"/>
        <v>0</v>
      </c>
      <c r="X72" s="28"/>
      <c r="Y72" s="54"/>
      <c r="Z72" s="22"/>
      <c r="AA72" s="48"/>
      <c r="AO72" s="55"/>
      <c r="AP72" s="3"/>
      <c r="AQ72" s="3"/>
      <c r="AR72" s="14"/>
    </row>
    <row r="73" ht="16.5" customHeight="1">
      <c r="A73" s="41">
        <v>67.0</v>
      </c>
      <c r="B73" s="42"/>
      <c r="C73" s="43"/>
      <c r="D73" s="53">
        <v>25.0</v>
      </c>
      <c r="E73" s="53">
        <v>18.0</v>
      </c>
      <c r="F73" s="45"/>
      <c r="G73" s="46">
        <f t="shared" si="1"/>
        <v>17</v>
      </c>
      <c r="H73" s="44"/>
      <c r="I73" s="44"/>
      <c r="J73" s="45"/>
      <c r="K73" s="46">
        <f t="shared" si="2"/>
        <v>0</v>
      </c>
      <c r="L73" s="44"/>
      <c r="M73" s="44"/>
      <c r="N73" s="44"/>
      <c r="O73" s="46">
        <f t="shared" si="3"/>
        <v>0</v>
      </c>
      <c r="P73" s="32"/>
      <c r="Q73" s="32"/>
      <c r="R73" s="44"/>
      <c r="S73" s="46">
        <f t="shared" si="4"/>
        <v>0</v>
      </c>
      <c r="T73" s="32"/>
      <c r="U73" s="32"/>
      <c r="V73" s="44"/>
      <c r="W73" s="46">
        <f t="shared" si="5"/>
        <v>0</v>
      </c>
      <c r="X73" s="28"/>
      <c r="Y73" s="54"/>
      <c r="Z73" s="22"/>
      <c r="AA73" s="48"/>
      <c r="AO73" s="55"/>
      <c r="AP73" s="3"/>
      <c r="AQ73" s="3"/>
      <c r="AR73" s="14"/>
    </row>
    <row r="74" ht="16.5" customHeight="1">
      <c r="A74" s="41">
        <v>68.0</v>
      </c>
      <c r="B74" s="42"/>
      <c r="C74" s="43"/>
      <c r="D74" s="53">
        <v>25.0</v>
      </c>
      <c r="E74" s="53">
        <v>18.0</v>
      </c>
      <c r="F74" s="45"/>
      <c r="G74" s="46">
        <f t="shared" si="1"/>
        <v>17</v>
      </c>
      <c r="H74" s="44"/>
      <c r="I74" s="44"/>
      <c r="J74" s="45"/>
      <c r="K74" s="46">
        <f t="shared" si="2"/>
        <v>0</v>
      </c>
      <c r="L74" s="44"/>
      <c r="M74" s="44"/>
      <c r="N74" s="44"/>
      <c r="O74" s="46">
        <f t="shared" si="3"/>
        <v>0</v>
      </c>
      <c r="P74" s="32"/>
      <c r="Q74" s="32"/>
      <c r="R74" s="44"/>
      <c r="S74" s="46">
        <f t="shared" si="4"/>
        <v>0</v>
      </c>
      <c r="T74" s="32"/>
      <c r="U74" s="32"/>
      <c r="V74" s="44"/>
      <c r="W74" s="46">
        <f t="shared" si="5"/>
        <v>0</v>
      </c>
      <c r="X74" s="28"/>
      <c r="Y74" s="54"/>
      <c r="Z74" s="22"/>
      <c r="AA74" s="48"/>
      <c r="AO74" s="55"/>
      <c r="AP74" s="3"/>
      <c r="AQ74" s="3"/>
      <c r="AR74" s="14"/>
    </row>
    <row r="75" ht="16.5" customHeight="1">
      <c r="A75" s="41">
        <v>69.0</v>
      </c>
      <c r="B75" s="42"/>
      <c r="C75" s="43"/>
      <c r="D75" s="53">
        <v>25.0</v>
      </c>
      <c r="E75" s="53">
        <v>18.0</v>
      </c>
      <c r="F75" s="45"/>
      <c r="G75" s="46">
        <f t="shared" si="1"/>
        <v>17</v>
      </c>
      <c r="H75" s="44"/>
      <c r="I75" s="44"/>
      <c r="J75" s="45"/>
      <c r="K75" s="46">
        <f t="shared" si="2"/>
        <v>0</v>
      </c>
      <c r="L75" s="44"/>
      <c r="M75" s="44"/>
      <c r="N75" s="44"/>
      <c r="O75" s="46">
        <f t="shared" si="3"/>
        <v>0</v>
      </c>
      <c r="P75" s="32"/>
      <c r="Q75" s="32"/>
      <c r="R75" s="44"/>
      <c r="S75" s="46">
        <f t="shared" si="4"/>
        <v>0</v>
      </c>
      <c r="T75" s="32"/>
      <c r="U75" s="32"/>
      <c r="V75" s="44"/>
      <c r="W75" s="46">
        <f t="shared" si="5"/>
        <v>0</v>
      </c>
      <c r="X75" s="28"/>
      <c r="Y75" s="54"/>
      <c r="Z75" s="22"/>
      <c r="AA75" s="48"/>
      <c r="AO75" s="55"/>
      <c r="AP75" s="3"/>
      <c r="AQ75" s="3"/>
      <c r="AR75" s="14"/>
    </row>
    <row r="76" ht="16.5" customHeight="1">
      <c r="A76" s="41">
        <v>70.0</v>
      </c>
      <c r="B76" s="42"/>
      <c r="C76" s="43"/>
      <c r="D76" s="53">
        <v>25.0</v>
      </c>
      <c r="E76" s="53">
        <v>18.0</v>
      </c>
      <c r="F76" s="45"/>
      <c r="G76" s="46">
        <f t="shared" si="1"/>
        <v>17</v>
      </c>
      <c r="H76" s="44"/>
      <c r="I76" s="44"/>
      <c r="J76" s="45"/>
      <c r="K76" s="46">
        <f t="shared" si="2"/>
        <v>0</v>
      </c>
      <c r="L76" s="44"/>
      <c r="M76" s="44"/>
      <c r="N76" s="44"/>
      <c r="O76" s="46">
        <f t="shared" si="3"/>
        <v>0</v>
      </c>
      <c r="P76" s="32"/>
      <c r="Q76" s="32"/>
      <c r="R76" s="44"/>
      <c r="S76" s="46">
        <f t="shared" si="4"/>
        <v>0</v>
      </c>
      <c r="T76" s="32"/>
      <c r="U76" s="32"/>
      <c r="V76" s="44"/>
      <c r="W76" s="46">
        <f t="shared" si="5"/>
        <v>0</v>
      </c>
      <c r="X76" s="28"/>
      <c r="Y76" s="54"/>
      <c r="Z76" s="22"/>
      <c r="AA76" s="48"/>
      <c r="AO76" s="55"/>
      <c r="AP76" s="3"/>
      <c r="AQ76" s="3"/>
      <c r="AR76" s="14"/>
    </row>
    <row r="77" ht="16.5" customHeight="1">
      <c r="A77" s="41">
        <v>71.0</v>
      </c>
      <c r="B77" s="42"/>
      <c r="C77" s="43"/>
      <c r="D77" s="53">
        <v>25.0</v>
      </c>
      <c r="E77" s="53">
        <v>18.0</v>
      </c>
      <c r="F77" s="45"/>
      <c r="G77" s="46">
        <f t="shared" si="1"/>
        <v>17</v>
      </c>
      <c r="H77" s="44"/>
      <c r="I77" s="44"/>
      <c r="J77" s="45"/>
      <c r="K77" s="46">
        <f t="shared" si="2"/>
        <v>0</v>
      </c>
      <c r="L77" s="44"/>
      <c r="M77" s="44"/>
      <c r="N77" s="44"/>
      <c r="O77" s="46">
        <f t="shared" si="3"/>
        <v>0</v>
      </c>
      <c r="P77" s="32"/>
      <c r="Q77" s="32"/>
      <c r="R77" s="44"/>
      <c r="S77" s="46">
        <f t="shared" si="4"/>
        <v>0</v>
      </c>
      <c r="T77" s="32"/>
      <c r="U77" s="32"/>
      <c r="V77" s="44"/>
      <c r="W77" s="46">
        <f t="shared" si="5"/>
        <v>0</v>
      </c>
      <c r="X77" s="28"/>
      <c r="Y77" s="54"/>
      <c r="Z77" s="22"/>
      <c r="AA77" s="48"/>
      <c r="AO77" s="55"/>
      <c r="AP77" s="3"/>
      <c r="AQ77" s="3"/>
      <c r="AR77" s="14"/>
    </row>
    <row r="78" ht="16.5" customHeight="1">
      <c r="A78" s="41">
        <v>73.0</v>
      </c>
      <c r="B78" s="42"/>
      <c r="C78" s="43"/>
      <c r="D78" s="53">
        <v>25.0</v>
      </c>
      <c r="E78" s="53">
        <v>18.0</v>
      </c>
      <c r="F78" s="45"/>
      <c r="G78" s="46">
        <f t="shared" si="1"/>
        <v>17</v>
      </c>
      <c r="H78" s="44"/>
      <c r="I78" s="44"/>
      <c r="J78" s="45"/>
      <c r="K78" s="46">
        <f t="shared" si="2"/>
        <v>0</v>
      </c>
      <c r="L78" s="44"/>
      <c r="M78" s="44"/>
      <c r="N78" s="44"/>
      <c r="O78" s="46">
        <f t="shared" si="3"/>
        <v>0</v>
      </c>
      <c r="P78" s="32"/>
      <c r="Q78" s="32"/>
      <c r="R78" s="44"/>
      <c r="S78" s="46">
        <f t="shared" si="4"/>
        <v>0</v>
      </c>
      <c r="T78" s="32"/>
      <c r="U78" s="32"/>
      <c r="V78" s="44"/>
      <c r="W78" s="46">
        <f t="shared" si="5"/>
        <v>0</v>
      </c>
      <c r="X78" s="28"/>
      <c r="Y78" s="54"/>
      <c r="Z78" s="22"/>
      <c r="AA78" s="48"/>
      <c r="AO78" s="55"/>
      <c r="AP78" s="3"/>
      <c r="AQ78" s="3"/>
      <c r="AR78" s="14"/>
    </row>
    <row r="79" ht="16.5" customHeight="1">
      <c r="A79" s="41">
        <v>74.0</v>
      </c>
      <c r="B79" s="42"/>
      <c r="C79" s="43"/>
      <c r="D79" s="53">
        <v>25.0</v>
      </c>
      <c r="E79" s="53">
        <v>18.0</v>
      </c>
      <c r="F79" s="45"/>
      <c r="G79" s="46">
        <f t="shared" si="1"/>
        <v>17</v>
      </c>
      <c r="H79" s="44"/>
      <c r="I79" s="44"/>
      <c r="J79" s="45"/>
      <c r="K79" s="46">
        <f t="shared" si="2"/>
        <v>0</v>
      </c>
      <c r="L79" s="44"/>
      <c r="M79" s="44"/>
      <c r="N79" s="44"/>
      <c r="O79" s="46">
        <f t="shared" si="3"/>
        <v>0</v>
      </c>
      <c r="P79" s="32"/>
      <c r="Q79" s="32"/>
      <c r="R79" s="44"/>
      <c r="S79" s="46">
        <f t="shared" si="4"/>
        <v>0</v>
      </c>
      <c r="T79" s="32"/>
      <c r="U79" s="32"/>
      <c r="V79" s="44"/>
      <c r="W79" s="46">
        <f t="shared" si="5"/>
        <v>0</v>
      </c>
      <c r="X79" s="28"/>
      <c r="Y79" s="54"/>
      <c r="Z79" s="22"/>
      <c r="AA79" s="48"/>
      <c r="AO79" s="55"/>
      <c r="AP79" s="3"/>
      <c r="AQ79" s="3"/>
      <c r="AR79" s="14"/>
    </row>
    <row r="80" ht="16.5" customHeight="1">
      <c r="A80" s="41">
        <v>75.0</v>
      </c>
      <c r="B80" s="42"/>
      <c r="C80" s="43"/>
      <c r="D80" s="53">
        <v>25.0</v>
      </c>
      <c r="E80" s="53">
        <v>18.0</v>
      </c>
      <c r="F80" s="45"/>
      <c r="G80" s="46">
        <f t="shared" si="1"/>
        <v>17</v>
      </c>
      <c r="H80" s="44"/>
      <c r="I80" s="44"/>
      <c r="J80" s="45"/>
      <c r="K80" s="46">
        <f t="shared" si="2"/>
        <v>0</v>
      </c>
      <c r="L80" s="44"/>
      <c r="M80" s="44"/>
      <c r="N80" s="44"/>
      <c r="O80" s="46">
        <f t="shared" si="3"/>
        <v>0</v>
      </c>
      <c r="P80" s="32"/>
      <c r="Q80" s="32"/>
      <c r="R80" s="44"/>
      <c r="S80" s="46">
        <f t="shared" si="4"/>
        <v>0</v>
      </c>
      <c r="T80" s="32"/>
      <c r="U80" s="32"/>
      <c r="V80" s="44"/>
      <c r="W80" s="46">
        <f t="shared" si="5"/>
        <v>0</v>
      </c>
      <c r="X80" s="28"/>
      <c r="Y80" s="54"/>
      <c r="Z80" s="22"/>
      <c r="AA80" s="48"/>
      <c r="AO80" s="55"/>
      <c r="AP80" s="3"/>
      <c r="AQ80" s="3"/>
      <c r="AR80" s="14"/>
    </row>
    <row r="81" ht="16.5" customHeight="1">
      <c r="A81" s="41">
        <v>76.0</v>
      </c>
      <c r="B81" s="42"/>
      <c r="C81" s="43"/>
      <c r="D81" s="53">
        <v>25.0</v>
      </c>
      <c r="E81" s="53">
        <v>18.0</v>
      </c>
      <c r="F81" s="45"/>
      <c r="G81" s="46">
        <f t="shared" si="1"/>
        <v>17</v>
      </c>
      <c r="H81" s="44"/>
      <c r="I81" s="44"/>
      <c r="J81" s="45"/>
      <c r="K81" s="46">
        <f t="shared" si="2"/>
        <v>0</v>
      </c>
      <c r="L81" s="44"/>
      <c r="M81" s="44"/>
      <c r="N81" s="44"/>
      <c r="O81" s="46">
        <f t="shared" si="3"/>
        <v>0</v>
      </c>
      <c r="P81" s="32"/>
      <c r="Q81" s="32"/>
      <c r="R81" s="44"/>
      <c r="S81" s="46">
        <f t="shared" si="4"/>
        <v>0</v>
      </c>
      <c r="T81" s="32"/>
      <c r="U81" s="32"/>
      <c r="V81" s="44"/>
      <c r="W81" s="46">
        <f t="shared" si="5"/>
        <v>0</v>
      </c>
      <c r="X81" s="28"/>
      <c r="Y81" s="54"/>
      <c r="Z81" s="22"/>
      <c r="AA81" s="48"/>
      <c r="AO81" s="55"/>
      <c r="AP81" s="3"/>
      <c r="AQ81" s="3"/>
      <c r="AR81" s="14"/>
    </row>
    <row r="82" ht="16.5" customHeight="1">
      <c r="A82" s="41">
        <v>77.0</v>
      </c>
      <c r="B82" s="42"/>
      <c r="C82" s="43"/>
      <c r="D82" s="53">
        <v>25.0</v>
      </c>
      <c r="E82" s="53">
        <v>18.0</v>
      </c>
      <c r="F82" s="45"/>
      <c r="G82" s="46">
        <f t="shared" si="1"/>
        <v>17</v>
      </c>
      <c r="H82" s="44"/>
      <c r="I82" s="44"/>
      <c r="J82" s="45"/>
      <c r="K82" s="46">
        <f t="shared" si="2"/>
        <v>0</v>
      </c>
      <c r="L82" s="44"/>
      <c r="M82" s="44"/>
      <c r="N82" s="44"/>
      <c r="O82" s="46">
        <f t="shared" si="3"/>
        <v>0</v>
      </c>
      <c r="P82" s="32"/>
      <c r="Q82" s="32"/>
      <c r="R82" s="44"/>
      <c r="S82" s="46">
        <f t="shared" si="4"/>
        <v>0</v>
      </c>
      <c r="T82" s="32"/>
      <c r="U82" s="32"/>
      <c r="V82" s="44"/>
      <c r="W82" s="46">
        <f t="shared" si="5"/>
        <v>0</v>
      </c>
      <c r="X82" s="28"/>
      <c r="Y82" s="54"/>
      <c r="Z82" s="22"/>
      <c r="AA82" s="48"/>
      <c r="AO82" s="55"/>
      <c r="AP82" s="3"/>
      <c r="AQ82" s="3"/>
      <c r="AR82" s="14"/>
    </row>
    <row r="83" ht="16.5" customHeight="1">
      <c r="A83" s="41">
        <v>78.0</v>
      </c>
      <c r="B83" s="42"/>
      <c r="C83" s="43"/>
      <c r="D83" s="53">
        <v>25.0</v>
      </c>
      <c r="E83" s="53">
        <v>18.0</v>
      </c>
      <c r="F83" s="45"/>
      <c r="G83" s="46">
        <f t="shared" si="1"/>
        <v>17</v>
      </c>
      <c r="H83" s="44"/>
      <c r="I83" s="44"/>
      <c r="J83" s="45"/>
      <c r="K83" s="46">
        <f t="shared" si="2"/>
        <v>0</v>
      </c>
      <c r="L83" s="44"/>
      <c r="M83" s="44"/>
      <c r="N83" s="44"/>
      <c r="O83" s="46">
        <f t="shared" si="3"/>
        <v>0</v>
      </c>
      <c r="P83" s="32"/>
      <c r="Q83" s="32"/>
      <c r="R83" s="44"/>
      <c r="S83" s="46">
        <f t="shared" si="4"/>
        <v>0</v>
      </c>
      <c r="T83" s="32"/>
      <c r="U83" s="32"/>
      <c r="V83" s="44"/>
      <c r="W83" s="46">
        <f t="shared" si="5"/>
        <v>0</v>
      </c>
      <c r="X83" s="28"/>
      <c r="Y83" s="54"/>
      <c r="Z83" s="22"/>
      <c r="AA83" s="48"/>
      <c r="AO83" s="55"/>
      <c r="AP83" s="3"/>
      <c r="AQ83" s="3"/>
      <c r="AR83" s="14"/>
    </row>
    <row r="84" ht="16.5" customHeight="1">
      <c r="A84" s="41">
        <v>79.0</v>
      </c>
      <c r="B84" s="42"/>
      <c r="C84" s="43"/>
      <c r="D84" s="53">
        <v>25.0</v>
      </c>
      <c r="E84" s="53">
        <v>18.0</v>
      </c>
      <c r="F84" s="45"/>
      <c r="G84" s="46">
        <f t="shared" si="1"/>
        <v>17</v>
      </c>
      <c r="H84" s="44"/>
      <c r="I84" s="44"/>
      <c r="J84" s="45"/>
      <c r="K84" s="46">
        <f t="shared" si="2"/>
        <v>0</v>
      </c>
      <c r="L84" s="44"/>
      <c r="M84" s="44"/>
      <c r="N84" s="44"/>
      <c r="O84" s="46">
        <f t="shared" si="3"/>
        <v>0</v>
      </c>
      <c r="P84" s="32"/>
      <c r="Q84" s="32"/>
      <c r="R84" s="44"/>
      <c r="S84" s="46">
        <f t="shared" si="4"/>
        <v>0</v>
      </c>
      <c r="T84" s="32"/>
      <c r="U84" s="32"/>
      <c r="V84" s="44"/>
      <c r="W84" s="46">
        <f t="shared" si="5"/>
        <v>0</v>
      </c>
      <c r="X84" s="28"/>
      <c r="Y84" s="54"/>
      <c r="Z84" s="22"/>
      <c r="AA84" s="48"/>
      <c r="AO84" s="55"/>
      <c r="AP84" s="3"/>
      <c r="AQ84" s="3"/>
      <c r="AR84" s="14"/>
    </row>
    <row r="85" ht="16.5" customHeight="1">
      <c r="A85" s="41">
        <v>80.0</v>
      </c>
      <c r="B85" s="42"/>
      <c r="C85" s="43"/>
      <c r="D85" s="53">
        <v>25.0</v>
      </c>
      <c r="E85" s="53">
        <v>18.0</v>
      </c>
      <c r="F85" s="45"/>
      <c r="G85" s="46">
        <f t="shared" si="1"/>
        <v>17</v>
      </c>
      <c r="H85" s="44"/>
      <c r="I85" s="44"/>
      <c r="J85" s="45"/>
      <c r="K85" s="46">
        <f t="shared" si="2"/>
        <v>0</v>
      </c>
      <c r="L85" s="44"/>
      <c r="M85" s="44"/>
      <c r="N85" s="44"/>
      <c r="O85" s="46">
        <f t="shared" si="3"/>
        <v>0</v>
      </c>
      <c r="P85" s="32"/>
      <c r="Q85" s="32"/>
      <c r="R85" s="44"/>
      <c r="S85" s="46">
        <f t="shared" si="4"/>
        <v>0</v>
      </c>
      <c r="T85" s="32"/>
      <c r="U85" s="32"/>
      <c r="V85" s="44"/>
      <c r="W85" s="46">
        <f t="shared" si="5"/>
        <v>0</v>
      </c>
      <c r="X85" s="28"/>
      <c r="Y85" s="54"/>
      <c r="Z85" s="22"/>
      <c r="AA85" s="48"/>
      <c r="AO85" s="55"/>
      <c r="AP85" s="3"/>
      <c r="AQ85" s="3"/>
      <c r="AR85" s="14"/>
    </row>
    <row r="86" ht="16.5" customHeight="1">
      <c r="A86" s="41">
        <v>81.0</v>
      </c>
      <c r="B86" s="42"/>
      <c r="C86" s="43"/>
      <c r="D86" s="53">
        <v>25.0</v>
      </c>
      <c r="E86" s="53">
        <v>18.0</v>
      </c>
      <c r="F86" s="45"/>
      <c r="G86" s="46">
        <f t="shared" si="1"/>
        <v>17</v>
      </c>
      <c r="H86" s="44"/>
      <c r="I86" s="44"/>
      <c r="J86" s="45"/>
      <c r="K86" s="46">
        <f t="shared" si="2"/>
        <v>0</v>
      </c>
      <c r="L86" s="44"/>
      <c r="M86" s="44"/>
      <c r="N86" s="44"/>
      <c r="O86" s="46">
        <f t="shared" si="3"/>
        <v>0</v>
      </c>
      <c r="P86" s="32"/>
      <c r="Q86" s="32"/>
      <c r="R86" s="44"/>
      <c r="S86" s="46">
        <f t="shared" si="4"/>
        <v>0</v>
      </c>
      <c r="T86" s="32"/>
      <c r="U86" s="32"/>
      <c r="V86" s="44"/>
      <c r="W86" s="46">
        <f t="shared" si="5"/>
        <v>0</v>
      </c>
      <c r="X86" s="28"/>
      <c r="Y86" s="54"/>
      <c r="Z86" s="22"/>
      <c r="AA86" s="48"/>
      <c r="AO86" s="55"/>
      <c r="AP86" s="3"/>
      <c r="AQ86" s="3"/>
      <c r="AR86" s="14"/>
    </row>
    <row r="87" ht="16.5" customHeight="1">
      <c r="A87" s="41">
        <v>82.0</v>
      </c>
      <c r="B87" s="42"/>
      <c r="C87" s="43"/>
      <c r="D87" s="53">
        <v>25.0</v>
      </c>
      <c r="E87" s="53">
        <v>18.0</v>
      </c>
      <c r="F87" s="45"/>
      <c r="G87" s="46">
        <f t="shared" si="1"/>
        <v>17</v>
      </c>
      <c r="H87" s="44"/>
      <c r="I87" s="44"/>
      <c r="J87" s="45"/>
      <c r="K87" s="46">
        <f t="shared" si="2"/>
        <v>0</v>
      </c>
      <c r="L87" s="44"/>
      <c r="M87" s="44"/>
      <c r="N87" s="44"/>
      <c r="O87" s="46">
        <f t="shared" si="3"/>
        <v>0</v>
      </c>
      <c r="P87" s="32"/>
      <c r="Q87" s="32"/>
      <c r="R87" s="44"/>
      <c r="S87" s="46">
        <f t="shared" si="4"/>
        <v>0</v>
      </c>
      <c r="T87" s="32"/>
      <c r="U87" s="32"/>
      <c r="V87" s="44"/>
      <c r="W87" s="46">
        <f t="shared" si="5"/>
        <v>0</v>
      </c>
      <c r="X87" s="28"/>
      <c r="Y87" s="54"/>
      <c r="Z87" s="22"/>
      <c r="AA87" s="48"/>
      <c r="AO87" s="55"/>
      <c r="AP87" s="3"/>
      <c r="AQ87" s="3"/>
      <c r="AR87" s="14"/>
    </row>
    <row r="88" ht="16.5" customHeight="1">
      <c r="A88" s="41">
        <v>83.0</v>
      </c>
      <c r="B88" s="42"/>
      <c r="C88" s="43"/>
      <c r="D88" s="53">
        <v>25.0</v>
      </c>
      <c r="E88" s="53">
        <v>18.0</v>
      </c>
      <c r="F88" s="45"/>
      <c r="G88" s="46">
        <f t="shared" si="1"/>
        <v>17</v>
      </c>
      <c r="H88" s="44"/>
      <c r="I88" s="44"/>
      <c r="J88" s="45"/>
      <c r="K88" s="46">
        <f t="shared" si="2"/>
        <v>0</v>
      </c>
      <c r="L88" s="44"/>
      <c r="M88" s="44"/>
      <c r="N88" s="44"/>
      <c r="O88" s="46">
        <f t="shared" si="3"/>
        <v>0</v>
      </c>
      <c r="P88" s="32"/>
      <c r="Q88" s="32"/>
      <c r="R88" s="44"/>
      <c r="S88" s="46">
        <f t="shared" si="4"/>
        <v>0</v>
      </c>
      <c r="T88" s="32"/>
      <c r="U88" s="32"/>
      <c r="V88" s="44"/>
      <c r="W88" s="46">
        <f t="shared" si="5"/>
        <v>0</v>
      </c>
      <c r="X88" s="28"/>
      <c r="Y88" s="54"/>
      <c r="Z88" s="22"/>
      <c r="AA88" s="48"/>
      <c r="AO88" s="55"/>
      <c r="AP88" s="3"/>
      <c r="AQ88" s="3"/>
      <c r="AR88" s="14"/>
    </row>
    <row r="89" ht="16.5" customHeight="1">
      <c r="A89" s="41">
        <v>84.0</v>
      </c>
      <c r="B89" s="42"/>
      <c r="C89" s="43"/>
      <c r="D89" s="53">
        <v>25.0</v>
      </c>
      <c r="E89" s="53">
        <v>18.0</v>
      </c>
      <c r="F89" s="45"/>
      <c r="G89" s="46">
        <f t="shared" si="1"/>
        <v>17</v>
      </c>
      <c r="H89" s="44"/>
      <c r="I89" s="44"/>
      <c r="J89" s="45"/>
      <c r="K89" s="46">
        <f t="shared" si="2"/>
        <v>0</v>
      </c>
      <c r="L89" s="44"/>
      <c r="M89" s="44"/>
      <c r="N89" s="44"/>
      <c r="O89" s="46">
        <f t="shared" si="3"/>
        <v>0</v>
      </c>
      <c r="P89" s="32"/>
      <c r="Q89" s="32"/>
      <c r="R89" s="44"/>
      <c r="S89" s="46">
        <f t="shared" si="4"/>
        <v>0</v>
      </c>
      <c r="T89" s="32"/>
      <c r="U89" s="32"/>
      <c r="V89" s="44"/>
      <c r="W89" s="46">
        <f t="shared" si="5"/>
        <v>0</v>
      </c>
      <c r="X89" s="28"/>
      <c r="Y89" s="54"/>
      <c r="Z89" s="22"/>
      <c r="AA89" s="48"/>
      <c r="AO89" s="55"/>
      <c r="AP89" s="3"/>
      <c r="AQ89" s="3"/>
      <c r="AR89" s="14"/>
    </row>
    <row r="90" ht="16.5" customHeight="1">
      <c r="A90" s="41">
        <v>85.0</v>
      </c>
      <c r="B90" s="42"/>
      <c r="C90" s="43"/>
      <c r="D90" s="53">
        <v>25.0</v>
      </c>
      <c r="E90" s="53">
        <v>18.0</v>
      </c>
      <c r="F90" s="45"/>
      <c r="G90" s="46">
        <f t="shared" si="1"/>
        <v>17</v>
      </c>
      <c r="H90" s="44"/>
      <c r="I90" s="44"/>
      <c r="J90" s="45"/>
      <c r="K90" s="46">
        <f t="shared" si="2"/>
        <v>0</v>
      </c>
      <c r="L90" s="44"/>
      <c r="M90" s="44"/>
      <c r="N90" s="44"/>
      <c r="O90" s="46">
        <f t="shared" si="3"/>
        <v>0</v>
      </c>
      <c r="P90" s="32"/>
      <c r="Q90" s="32"/>
      <c r="R90" s="44"/>
      <c r="S90" s="46">
        <f t="shared" si="4"/>
        <v>0</v>
      </c>
      <c r="T90" s="32"/>
      <c r="U90" s="32"/>
      <c r="V90" s="44"/>
      <c r="W90" s="46">
        <f t="shared" si="5"/>
        <v>0</v>
      </c>
      <c r="X90" s="28"/>
      <c r="Y90" s="54"/>
      <c r="Z90" s="22"/>
      <c r="AA90" s="48"/>
      <c r="AO90" s="55"/>
      <c r="AP90" s="3"/>
      <c r="AQ90" s="3"/>
      <c r="AR90" s="14"/>
    </row>
    <row r="91" ht="16.5" customHeight="1">
      <c r="A91" s="41">
        <v>86.0</v>
      </c>
      <c r="B91" s="42"/>
      <c r="C91" s="43"/>
      <c r="D91" s="53">
        <v>25.0</v>
      </c>
      <c r="E91" s="53">
        <v>18.0</v>
      </c>
      <c r="F91" s="45"/>
      <c r="G91" s="46">
        <f t="shared" si="1"/>
        <v>17</v>
      </c>
      <c r="H91" s="44"/>
      <c r="I91" s="44"/>
      <c r="J91" s="45"/>
      <c r="K91" s="46">
        <f t="shared" si="2"/>
        <v>0</v>
      </c>
      <c r="L91" s="44"/>
      <c r="M91" s="44"/>
      <c r="N91" s="44"/>
      <c r="O91" s="46">
        <f t="shared" si="3"/>
        <v>0</v>
      </c>
      <c r="P91" s="32"/>
      <c r="Q91" s="32"/>
      <c r="R91" s="44"/>
      <c r="S91" s="46">
        <f t="shared" si="4"/>
        <v>0</v>
      </c>
      <c r="T91" s="32"/>
      <c r="U91" s="32"/>
      <c r="V91" s="44"/>
      <c r="W91" s="46">
        <f t="shared" si="5"/>
        <v>0</v>
      </c>
      <c r="X91" s="28"/>
      <c r="Y91" s="54"/>
      <c r="Z91" s="22"/>
      <c r="AA91" s="48"/>
      <c r="AO91" s="55"/>
      <c r="AP91" s="3"/>
      <c r="AQ91" s="3"/>
      <c r="AR91" s="14"/>
    </row>
    <row r="92" ht="16.5" customHeight="1">
      <c r="A92" s="41">
        <v>88.0</v>
      </c>
      <c r="B92" s="42"/>
      <c r="C92" s="43"/>
      <c r="D92" s="53">
        <v>25.0</v>
      </c>
      <c r="E92" s="53">
        <v>18.0</v>
      </c>
      <c r="F92" s="45"/>
      <c r="G92" s="46">
        <f t="shared" si="1"/>
        <v>17</v>
      </c>
      <c r="H92" s="44"/>
      <c r="I92" s="44"/>
      <c r="J92" s="45"/>
      <c r="K92" s="46">
        <f t="shared" si="2"/>
        <v>0</v>
      </c>
      <c r="L92" s="44"/>
      <c r="M92" s="44"/>
      <c r="N92" s="44"/>
      <c r="O92" s="46">
        <f t="shared" si="3"/>
        <v>0</v>
      </c>
      <c r="P92" s="32"/>
      <c r="Q92" s="32"/>
      <c r="R92" s="44"/>
      <c r="S92" s="46">
        <f t="shared" si="4"/>
        <v>0</v>
      </c>
      <c r="T92" s="32"/>
      <c r="U92" s="32"/>
      <c r="V92" s="44"/>
      <c r="W92" s="46">
        <f t="shared" si="5"/>
        <v>0</v>
      </c>
      <c r="X92" s="28"/>
      <c r="Y92" s="54"/>
      <c r="Z92" s="22"/>
      <c r="AA92" s="48"/>
      <c r="AO92" s="55"/>
      <c r="AP92" s="3"/>
      <c r="AQ92" s="3"/>
      <c r="AR92" s="14"/>
    </row>
    <row r="93" ht="16.5" customHeight="1">
      <c r="A93" s="41">
        <v>89.0</v>
      </c>
      <c r="B93" s="42"/>
      <c r="C93" s="43"/>
      <c r="D93" s="53">
        <v>25.0</v>
      </c>
      <c r="E93" s="53">
        <v>18.0</v>
      </c>
      <c r="F93" s="45"/>
      <c r="G93" s="46">
        <f t="shared" si="1"/>
        <v>17</v>
      </c>
      <c r="H93" s="44"/>
      <c r="I93" s="44"/>
      <c r="J93" s="45"/>
      <c r="K93" s="46">
        <f t="shared" si="2"/>
        <v>0</v>
      </c>
      <c r="L93" s="44"/>
      <c r="M93" s="44"/>
      <c r="N93" s="44"/>
      <c r="O93" s="46">
        <f t="shared" si="3"/>
        <v>0</v>
      </c>
      <c r="P93" s="32"/>
      <c r="Q93" s="32"/>
      <c r="R93" s="44"/>
      <c r="S93" s="46">
        <f t="shared" si="4"/>
        <v>0</v>
      </c>
      <c r="T93" s="32"/>
      <c r="U93" s="32"/>
      <c r="V93" s="44"/>
      <c r="W93" s="46">
        <f t="shared" si="5"/>
        <v>0</v>
      </c>
      <c r="X93" s="28"/>
      <c r="Y93" s="54"/>
      <c r="Z93" s="22"/>
      <c r="AA93" s="48"/>
      <c r="AO93" s="55"/>
      <c r="AP93" s="3"/>
      <c r="AQ93" s="3"/>
      <c r="AR93" s="14"/>
    </row>
    <row r="94" ht="16.5" customHeight="1">
      <c r="A94" s="41">
        <v>90.0</v>
      </c>
      <c r="B94" s="42"/>
      <c r="C94" s="43"/>
      <c r="D94" s="53">
        <v>25.0</v>
      </c>
      <c r="E94" s="53">
        <v>18.0</v>
      </c>
      <c r="F94" s="45"/>
      <c r="G94" s="46">
        <f t="shared" si="1"/>
        <v>17</v>
      </c>
      <c r="H94" s="44"/>
      <c r="I94" s="44"/>
      <c r="J94" s="45"/>
      <c r="K94" s="46">
        <f t="shared" si="2"/>
        <v>0</v>
      </c>
      <c r="L94" s="44"/>
      <c r="M94" s="44"/>
      <c r="N94" s="44"/>
      <c r="O94" s="46">
        <f t="shared" si="3"/>
        <v>0</v>
      </c>
      <c r="P94" s="32"/>
      <c r="Q94" s="32"/>
      <c r="R94" s="44"/>
      <c r="S94" s="46">
        <f t="shared" si="4"/>
        <v>0</v>
      </c>
      <c r="T94" s="32"/>
      <c r="U94" s="32"/>
      <c r="V94" s="44"/>
      <c r="W94" s="46">
        <f t="shared" si="5"/>
        <v>0</v>
      </c>
      <c r="X94" s="28"/>
      <c r="Y94" s="54"/>
      <c r="Z94" s="22"/>
      <c r="AA94" s="48"/>
      <c r="AO94" s="55"/>
      <c r="AP94" s="3"/>
      <c r="AQ94" s="3"/>
      <c r="AR94" s="14"/>
    </row>
    <row r="95" ht="16.5" customHeight="1">
      <c r="A95" s="41">
        <v>91.0</v>
      </c>
      <c r="B95" s="42"/>
      <c r="C95" s="43"/>
      <c r="D95" s="53">
        <v>25.0</v>
      </c>
      <c r="E95" s="53">
        <v>18.0</v>
      </c>
      <c r="F95" s="45"/>
      <c r="G95" s="46">
        <f t="shared" si="1"/>
        <v>17</v>
      </c>
      <c r="H95" s="44"/>
      <c r="I95" s="44"/>
      <c r="J95" s="45"/>
      <c r="K95" s="46">
        <f t="shared" si="2"/>
        <v>0</v>
      </c>
      <c r="L95" s="44"/>
      <c r="M95" s="44"/>
      <c r="N95" s="44"/>
      <c r="O95" s="46">
        <f t="shared" si="3"/>
        <v>0</v>
      </c>
      <c r="P95" s="32"/>
      <c r="Q95" s="32"/>
      <c r="R95" s="44"/>
      <c r="S95" s="46">
        <f t="shared" si="4"/>
        <v>0</v>
      </c>
      <c r="T95" s="32"/>
      <c r="U95" s="32"/>
      <c r="V95" s="44"/>
      <c r="W95" s="46">
        <f t="shared" si="5"/>
        <v>0</v>
      </c>
      <c r="X95" s="28"/>
      <c r="Y95" s="54"/>
      <c r="Z95" s="22"/>
      <c r="AA95" s="48"/>
      <c r="AO95" s="55"/>
      <c r="AP95" s="3"/>
      <c r="AQ95" s="3"/>
      <c r="AR95" s="14"/>
    </row>
    <row r="96" ht="16.5" customHeight="1">
      <c r="A96" s="41">
        <v>92.0</v>
      </c>
      <c r="B96" s="42"/>
      <c r="C96" s="43"/>
      <c r="D96" s="53">
        <v>25.0</v>
      </c>
      <c r="E96" s="53">
        <v>18.0</v>
      </c>
      <c r="F96" s="45"/>
      <c r="G96" s="46">
        <f t="shared" si="1"/>
        <v>17</v>
      </c>
      <c r="H96" s="44"/>
      <c r="I96" s="44"/>
      <c r="J96" s="45"/>
      <c r="K96" s="46">
        <f t="shared" si="2"/>
        <v>0</v>
      </c>
      <c r="L96" s="44"/>
      <c r="M96" s="44"/>
      <c r="N96" s="44"/>
      <c r="O96" s="46">
        <f t="shared" si="3"/>
        <v>0</v>
      </c>
      <c r="P96" s="32"/>
      <c r="Q96" s="32"/>
      <c r="R96" s="44"/>
      <c r="S96" s="46">
        <f t="shared" si="4"/>
        <v>0</v>
      </c>
      <c r="T96" s="32"/>
      <c r="U96" s="32"/>
      <c r="V96" s="44"/>
      <c r="W96" s="46">
        <f t="shared" si="5"/>
        <v>0</v>
      </c>
      <c r="X96" s="28"/>
      <c r="Y96" s="54"/>
      <c r="Z96" s="22"/>
      <c r="AA96" s="48"/>
      <c r="AO96" s="55"/>
      <c r="AP96" s="3"/>
      <c r="AQ96" s="3"/>
      <c r="AR96" s="14"/>
    </row>
    <row r="97" ht="16.5" customHeight="1">
      <c r="A97" s="41">
        <v>93.0</v>
      </c>
      <c r="B97" s="42"/>
      <c r="C97" s="43"/>
      <c r="D97" s="53">
        <v>25.0</v>
      </c>
      <c r="E97" s="53">
        <v>18.0</v>
      </c>
      <c r="F97" s="45"/>
      <c r="G97" s="46">
        <f t="shared" si="1"/>
        <v>17</v>
      </c>
      <c r="H97" s="44"/>
      <c r="I97" s="44"/>
      <c r="J97" s="45"/>
      <c r="K97" s="46">
        <f t="shared" si="2"/>
        <v>0</v>
      </c>
      <c r="L97" s="44"/>
      <c r="M97" s="44"/>
      <c r="N97" s="44"/>
      <c r="O97" s="46">
        <f t="shared" si="3"/>
        <v>0</v>
      </c>
      <c r="P97" s="32"/>
      <c r="Q97" s="32"/>
      <c r="R97" s="44"/>
      <c r="S97" s="46">
        <f t="shared" si="4"/>
        <v>0</v>
      </c>
      <c r="T97" s="32"/>
      <c r="U97" s="32"/>
      <c r="V97" s="44"/>
      <c r="W97" s="46">
        <f t="shared" si="5"/>
        <v>0</v>
      </c>
      <c r="X97" s="28"/>
      <c r="Y97" s="54"/>
      <c r="Z97" s="22"/>
      <c r="AA97" s="48"/>
      <c r="AO97" s="55"/>
      <c r="AP97" s="3"/>
      <c r="AQ97" s="3"/>
      <c r="AR97" s="14"/>
    </row>
    <row r="98" ht="16.5" customHeight="1">
      <c r="A98" s="41">
        <v>94.0</v>
      </c>
      <c r="B98" s="42"/>
      <c r="C98" s="43"/>
      <c r="D98" s="53">
        <v>25.0</v>
      </c>
      <c r="E98" s="53">
        <v>18.0</v>
      </c>
      <c r="F98" s="45"/>
      <c r="G98" s="46">
        <f t="shared" si="1"/>
        <v>17</v>
      </c>
      <c r="H98" s="44"/>
      <c r="I98" s="44"/>
      <c r="J98" s="45"/>
      <c r="K98" s="46">
        <f t="shared" si="2"/>
        <v>0</v>
      </c>
      <c r="L98" s="44"/>
      <c r="M98" s="44"/>
      <c r="N98" s="44"/>
      <c r="O98" s="46">
        <f t="shared" si="3"/>
        <v>0</v>
      </c>
      <c r="P98" s="32"/>
      <c r="Q98" s="32"/>
      <c r="R98" s="44"/>
      <c r="S98" s="46">
        <f t="shared" si="4"/>
        <v>0</v>
      </c>
      <c r="T98" s="32"/>
      <c r="U98" s="32"/>
      <c r="V98" s="44"/>
      <c r="W98" s="46">
        <f t="shared" si="5"/>
        <v>0</v>
      </c>
      <c r="X98" s="28"/>
      <c r="Y98" s="54"/>
      <c r="Z98" s="22"/>
      <c r="AA98" s="48"/>
      <c r="AO98" s="55"/>
      <c r="AP98" s="3"/>
      <c r="AQ98" s="3"/>
      <c r="AR98" s="14"/>
    </row>
    <row r="99" ht="16.5" customHeight="1">
      <c r="A99" s="41">
        <v>95.0</v>
      </c>
      <c r="B99" s="42"/>
      <c r="C99" s="43"/>
      <c r="D99" s="53">
        <v>25.0</v>
      </c>
      <c r="E99" s="53">
        <v>18.0</v>
      </c>
      <c r="F99" s="45"/>
      <c r="G99" s="46">
        <f t="shared" si="1"/>
        <v>17</v>
      </c>
      <c r="H99" s="44"/>
      <c r="I99" s="44"/>
      <c r="J99" s="45"/>
      <c r="K99" s="46">
        <f t="shared" si="2"/>
        <v>0</v>
      </c>
      <c r="L99" s="44"/>
      <c r="M99" s="44"/>
      <c r="N99" s="44"/>
      <c r="O99" s="46">
        <f t="shared" si="3"/>
        <v>0</v>
      </c>
      <c r="P99" s="32"/>
      <c r="Q99" s="32"/>
      <c r="R99" s="44"/>
      <c r="S99" s="46">
        <f t="shared" si="4"/>
        <v>0</v>
      </c>
      <c r="T99" s="32"/>
      <c r="U99" s="32"/>
      <c r="V99" s="44"/>
      <c r="W99" s="46">
        <f t="shared" si="5"/>
        <v>0</v>
      </c>
      <c r="X99" s="28"/>
      <c r="Y99" s="54"/>
      <c r="Z99" s="22"/>
      <c r="AA99" s="48"/>
      <c r="AO99" s="55"/>
      <c r="AP99" s="3"/>
      <c r="AQ99" s="3"/>
      <c r="AR99" s="14"/>
    </row>
    <row r="100" ht="16.5" customHeight="1">
      <c r="A100" s="41">
        <v>96.0</v>
      </c>
      <c r="B100" s="42"/>
      <c r="C100" s="43"/>
      <c r="D100" s="53">
        <v>25.0</v>
      </c>
      <c r="E100" s="53">
        <v>18.0</v>
      </c>
      <c r="F100" s="45"/>
      <c r="G100" s="46">
        <f t="shared" si="1"/>
        <v>17</v>
      </c>
      <c r="H100" s="44"/>
      <c r="I100" s="44"/>
      <c r="J100" s="45"/>
      <c r="K100" s="46">
        <f t="shared" si="2"/>
        <v>0</v>
      </c>
      <c r="L100" s="44"/>
      <c r="M100" s="44"/>
      <c r="N100" s="44"/>
      <c r="O100" s="46">
        <f t="shared" si="3"/>
        <v>0</v>
      </c>
      <c r="P100" s="32"/>
      <c r="Q100" s="32"/>
      <c r="R100" s="44"/>
      <c r="S100" s="46">
        <f t="shared" si="4"/>
        <v>0</v>
      </c>
      <c r="T100" s="32"/>
      <c r="U100" s="32"/>
      <c r="V100" s="44"/>
      <c r="W100" s="46">
        <f t="shared" si="5"/>
        <v>0</v>
      </c>
      <c r="X100" s="28"/>
      <c r="Y100" s="54"/>
      <c r="Z100" s="22"/>
      <c r="AA100" s="48"/>
      <c r="AO100" s="55"/>
      <c r="AP100" s="3"/>
      <c r="AQ100" s="3"/>
      <c r="AR100" s="14"/>
    </row>
    <row r="101" ht="16.5" customHeight="1">
      <c r="A101" s="41">
        <v>97.0</v>
      </c>
      <c r="B101" s="42"/>
      <c r="C101" s="43"/>
      <c r="D101" s="53">
        <v>25.0</v>
      </c>
      <c r="E101" s="53">
        <v>18.0</v>
      </c>
      <c r="F101" s="45"/>
      <c r="G101" s="46">
        <f t="shared" si="1"/>
        <v>17</v>
      </c>
      <c r="H101" s="44"/>
      <c r="I101" s="44"/>
      <c r="J101" s="45"/>
      <c r="K101" s="46">
        <f t="shared" si="2"/>
        <v>0</v>
      </c>
      <c r="L101" s="44"/>
      <c r="M101" s="44"/>
      <c r="N101" s="44"/>
      <c r="O101" s="46">
        <f t="shared" si="3"/>
        <v>0</v>
      </c>
      <c r="P101" s="32"/>
      <c r="Q101" s="32"/>
      <c r="R101" s="44"/>
      <c r="S101" s="46">
        <f t="shared" si="4"/>
        <v>0</v>
      </c>
      <c r="T101" s="32"/>
      <c r="U101" s="32"/>
      <c r="V101" s="44"/>
      <c r="W101" s="46">
        <f t="shared" si="5"/>
        <v>0</v>
      </c>
      <c r="X101" s="28"/>
      <c r="Y101" s="54"/>
      <c r="Z101" s="22"/>
      <c r="AA101" s="48"/>
      <c r="AO101" s="55"/>
      <c r="AP101" s="3"/>
      <c r="AQ101" s="3"/>
      <c r="AR101" s="14"/>
    </row>
    <row r="102" ht="16.5" customHeight="1">
      <c r="A102" s="41">
        <v>98.0</v>
      </c>
      <c r="B102" s="42"/>
      <c r="C102" s="43"/>
      <c r="D102" s="53">
        <v>25.0</v>
      </c>
      <c r="E102" s="53">
        <v>18.0</v>
      </c>
      <c r="F102" s="45"/>
      <c r="G102" s="46">
        <f t="shared" si="1"/>
        <v>17</v>
      </c>
      <c r="H102" s="44"/>
      <c r="I102" s="44"/>
      <c r="J102" s="45"/>
      <c r="K102" s="46">
        <f t="shared" si="2"/>
        <v>0</v>
      </c>
      <c r="L102" s="44"/>
      <c r="M102" s="44"/>
      <c r="N102" s="44"/>
      <c r="O102" s="46">
        <f t="shared" si="3"/>
        <v>0</v>
      </c>
      <c r="P102" s="32"/>
      <c r="Q102" s="32"/>
      <c r="R102" s="44"/>
      <c r="S102" s="46">
        <f t="shared" si="4"/>
        <v>0</v>
      </c>
      <c r="T102" s="32"/>
      <c r="U102" s="32"/>
      <c r="V102" s="44"/>
      <c r="W102" s="46">
        <f t="shared" si="5"/>
        <v>0</v>
      </c>
      <c r="X102" s="28"/>
      <c r="Y102" s="54"/>
      <c r="Z102" s="22"/>
      <c r="AA102" s="48"/>
      <c r="AO102" s="55"/>
      <c r="AP102" s="3"/>
      <c r="AQ102" s="3"/>
      <c r="AR102" s="14"/>
    </row>
    <row r="103" ht="16.5" customHeight="1">
      <c r="A103" s="41">
        <v>99.0</v>
      </c>
      <c r="B103" s="42"/>
      <c r="C103" s="43"/>
      <c r="D103" s="53">
        <v>25.0</v>
      </c>
      <c r="E103" s="53">
        <v>18.0</v>
      </c>
      <c r="F103" s="45"/>
      <c r="G103" s="46">
        <f t="shared" si="1"/>
        <v>17</v>
      </c>
      <c r="H103" s="44"/>
      <c r="I103" s="44"/>
      <c r="J103" s="45"/>
      <c r="K103" s="46">
        <f t="shared" si="2"/>
        <v>0</v>
      </c>
      <c r="L103" s="44"/>
      <c r="M103" s="44"/>
      <c r="N103" s="44"/>
      <c r="O103" s="46">
        <f t="shared" si="3"/>
        <v>0</v>
      </c>
      <c r="P103" s="32"/>
      <c r="Q103" s="32"/>
      <c r="R103" s="44"/>
      <c r="S103" s="46">
        <f t="shared" si="4"/>
        <v>0</v>
      </c>
      <c r="T103" s="32"/>
      <c r="U103" s="32"/>
      <c r="V103" s="44"/>
      <c r="W103" s="46">
        <f t="shared" si="5"/>
        <v>0</v>
      </c>
      <c r="X103" s="28"/>
      <c r="Y103" s="54"/>
      <c r="Z103" s="22"/>
      <c r="AA103" s="48"/>
      <c r="AO103" s="55"/>
      <c r="AP103" s="3"/>
      <c r="AQ103" s="3"/>
      <c r="AR103" s="14"/>
    </row>
    <row r="104" ht="16.5" customHeight="1">
      <c r="A104" s="41">
        <v>100.0</v>
      </c>
      <c r="B104" s="42"/>
      <c r="C104" s="43"/>
      <c r="D104" s="53">
        <v>25.0</v>
      </c>
      <c r="E104" s="53">
        <v>18.0</v>
      </c>
      <c r="F104" s="45"/>
      <c r="G104" s="46">
        <f t="shared" si="1"/>
        <v>17</v>
      </c>
      <c r="H104" s="44"/>
      <c r="I104" s="44"/>
      <c r="J104" s="45"/>
      <c r="K104" s="46">
        <f t="shared" si="2"/>
        <v>0</v>
      </c>
      <c r="L104" s="44"/>
      <c r="M104" s="44"/>
      <c r="N104" s="44"/>
      <c r="O104" s="46">
        <f t="shared" si="3"/>
        <v>0</v>
      </c>
      <c r="P104" s="32"/>
      <c r="Q104" s="32"/>
      <c r="R104" s="44"/>
      <c r="S104" s="46">
        <f t="shared" si="4"/>
        <v>0</v>
      </c>
      <c r="T104" s="32"/>
      <c r="U104" s="32"/>
      <c r="V104" s="44"/>
      <c r="W104" s="46">
        <f t="shared" si="5"/>
        <v>0</v>
      </c>
      <c r="X104" s="28"/>
      <c r="Y104" s="54"/>
      <c r="Z104" s="22"/>
      <c r="AA104" s="48"/>
      <c r="AO104" s="55"/>
      <c r="AP104" s="3"/>
      <c r="AQ104" s="3"/>
      <c r="AR104" s="14"/>
    </row>
    <row r="105" ht="16.5" customHeight="1">
      <c r="A105" s="41">
        <v>101.0</v>
      </c>
      <c r="B105" s="42"/>
      <c r="C105" s="43"/>
      <c r="D105" s="53">
        <v>25.0</v>
      </c>
      <c r="E105" s="53">
        <v>18.0</v>
      </c>
      <c r="F105" s="45"/>
      <c r="G105" s="46">
        <f t="shared" si="1"/>
        <v>17</v>
      </c>
      <c r="H105" s="44"/>
      <c r="I105" s="44"/>
      <c r="J105" s="45"/>
      <c r="K105" s="46">
        <f t="shared" si="2"/>
        <v>0</v>
      </c>
      <c r="L105" s="44"/>
      <c r="M105" s="44"/>
      <c r="N105" s="44"/>
      <c r="O105" s="46">
        <f t="shared" si="3"/>
        <v>0</v>
      </c>
      <c r="P105" s="32"/>
      <c r="Q105" s="32"/>
      <c r="R105" s="44"/>
      <c r="S105" s="46">
        <f t="shared" si="4"/>
        <v>0</v>
      </c>
      <c r="T105" s="32"/>
      <c r="U105" s="32"/>
      <c r="V105" s="44"/>
      <c r="W105" s="46">
        <f t="shared" si="5"/>
        <v>0</v>
      </c>
      <c r="X105" s="28"/>
      <c r="Y105" s="54"/>
      <c r="Z105" s="22"/>
      <c r="AA105" s="48"/>
      <c r="AO105" s="55"/>
      <c r="AP105" s="3"/>
      <c r="AQ105" s="3"/>
      <c r="AR105" s="14"/>
    </row>
    <row r="106" ht="16.5" customHeight="1">
      <c r="A106" s="41">
        <v>102.0</v>
      </c>
      <c r="B106" s="42"/>
      <c r="C106" s="43"/>
      <c r="D106" s="53">
        <v>25.0</v>
      </c>
      <c r="E106" s="53">
        <v>18.0</v>
      </c>
      <c r="F106" s="45"/>
      <c r="G106" s="46">
        <f t="shared" si="1"/>
        <v>17</v>
      </c>
      <c r="H106" s="44"/>
      <c r="I106" s="44"/>
      <c r="J106" s="45"/>
      <c r="K106" s="46">
        <f t="shared" si="2"/>
        <v>0</v>
      </c>
      <c r="L106" s="44"/>
      <c r="M106" s="44"/>
      <c r="N106" s="44"/>
      <c r="O106" s="46">
        <f t="shared" si="3"/>
        <v>0</v>
      </c>
      <c r="P106" s="32"/>
      <c r="Q106" s="32"/>
      <c r="R106" s="44"/>
      <c r="S106" s="46">
        <f t="shared" si="4"/>
        <v>0</v>
      </c>
      <c r="T106" s="32"/>
      <c r="U106" s="32"/>
      <c r="V106" s="44"/>
      <c r="W106" s="46">
        <f t="shared" si="5"/>
        <v>0</v>
      </c>
      <c r="X106" s="28"/>
      <c r="Y106" s="54"/>
      <c r="Z106" s="22"/>
      <c r="AA106" s="48"/>
      <c r="AO106" s="55"/>
      <c r="AP106" s="3"/>
      <c r="AQ106" s="3"/>
      <c r="AR106" s="14"/>
    </row>
    <row r="107" ht="16.5" customHeight="1">
      <c r="A107" s="41">
        <v>103.0</v>
      </c>
      <c r="B107" s="42"/>
      <c r="C107" s="43"/>
      <c r="D107" s="53">
        <v>25.0</v>
      </c>
      <c r="E107" s="53">
        <v>18.0</v>
      </c>
      <c r="F107" s="45"/>
      <c r="G107" s="46">
        <f t="shared" si="1"/>
        <v>17</v>
      </c>
      <c r="H107" s="44"/>
      <c r="I107" s="44"/>
      <c r="J107" s="45"/>
      <c r="K107" s="46">
        <f t="shared" si="2"/>
        <v>0</v>
      </c>
      <c r="L107" s="44"/>
      <c r="M107" s="44"/>
      <c r="N107" s="44"/>
      <c r="O107" s="46">
        <f t="shared" si="3"/>
        <v>0</v>
      </c>
      <c r="P107" s="32"/>
      <c r="Q107" s="32"/>
      <c r="R107" s="44"/>
      <c r="S107" s="46">
        <f t="shared" si="4"/>
        <v>0</v>
      </c>
      <c r="T107" s="32"/>
      <c r="U107" s="32"/>
      <c r="V107" s="44"/>
      <c r="W107" s="46">
        <f t="shared" si="5"/>
        <v>0</v>
      </c>
      <c r="X107" s="28"/>
      <c r="Y107" s="54"/>
      <c r="Z107" s="22"/>
      <c r="AA107" s="48"/>
      <c r="AO107" s="55"/>
      <c r="AP107" s="3"/>
      <c r="AQ107" s="3"/>
      <c r="AR107" s="14"/>
    </row>
    <row r="108" ht="16.5" customHeight="1">
      <c r="A108" s="41">
        <v>104.0</v>
      </c>
      <c r="B108" s="42"/>
      <c r="C108" s="43"/>
      <c r="D108" s="53">
        <v>25.0</v>
      </c>
      <c r="E108" s="53">
        <v>18.0</v>
      </c>
      <c r="F108" s="45"/>
      <c r="G108" s="46">
        <f t="shared" si="1"/>
        <v>17</v>
      </c>
      <c r="H108" s="44"/>
      <c r="I108" s="44"/>
      <c r="J108" s="45"/>
      <c r="K108" s="46">
        <f t="shared" si="2"/>
        <v>0</v>
      </c>
      <c r="L108" s="44"/>
      <c r="M108" s="44"/>
      <c r="N108" s="44"/>
      <c r="O108" s="46">
        <f t="shared" si="3"/>
        <v>0</v>
      </c>
      <c r="P108" s="32"/>
      <c r="Q108" s="32"/>
      <c r="R108" s="44"/>
      <c r="S108" s="46">
        <f t="shared" si="4"/>
        <v>0</v>
      </c>
      <c r="T108" s="32"/>
      <c r="U108" s="32"/>
      <c r="V108" s="44"/>
      <c r="W108" s="46">
        <f t="shared" si="5"/>
        <v>0</v>
      </c>
      <c r="X108" s="28"/>
      <c r="Y108" s="54"/>
      <c r="Z108" s="22"/>
      <c r="AA108" s="48"/>
      <c r="AO108" s="55"/>
      <c r="AP108" s="3"/>
      <c r="AQ108" s="3"/>
      <c r="AR108" s="14"/>
    </row>
    <row r="109" ht="16.5" customHeight="1">
      <c r="A109" s="41">
        <v>105.0</v>
      </c>
      <c r="B109" s="42"/>
      <c r="C109" s="43"/>
      <c r="D109" s="53">
        <v>25.0</v>
      </c>
      <c r="E109" s="53">
        <v>18.0</v>
      </c>
      <c r="F109" s="45"/>
      <c r="G109" s="46">
        <f t="shared" si="1"/>
        <v>17</v>
      </c>
      <c r="H109" s="44"/>
      <c r="I109" s="44"/>
      <c r="J109" s="45"/>
      <c r="K109" s="46">
        <f t="shared" si="2"/>
        <v>0</v>
      </c>
      <c r="L109" s="44"/>
      <c r="M109" s="44"/>
      <c r="N109" s="44"/>
      <c r="O109" s="46">
        <f t="shared" si="3"/>
        <v>0</v>
      </c>
      <c r="P109" s="32"/>
      <c r="Q109" s="32"/>
      <c r="R109" s="44"/>
      <c r="S109" s="46">
        <f t="shared" si="4"/>
        <v>0</v>
      </c>
      <c r="T109" s="32"/>
      <c r="U109" s="32"/>
      <c r="V109" s="44"/>
      <c r="W109" s="46">
        <f t="shared" si="5"/>
        <v>0</v>
      </c>
      <c r="X109" s="28"/>
      <c r="Y109" s="54"/>
      <c r="Z109" s="22"/>
      <c r="AA109" s="48"/>
      <c r="AO109" s="55"/>
      <c r="AP109" s="3"/>
      <c r="AQ109" s="3"/>
      <c r="AR109" s="14"/>
    </row>
    <row r="110" ht="16.5" customHeight="1">
      <c r="A110" s="41">
        <v>106.0</v>
      </c>
      <c r="B110" s="42"/>
      <c r="C110" s="43"/>
      <c r="D110" s="53">
        <v>25.0</v>
      </c>
      <c r="E110" s="53">
        <v>18.0</v>
      </c>
      <c r="F110" s="45"/>
      <c r="G110" s="46">
        <f t="shared" si="1"/>
        <v>17</v>
      </c>
      <c r="H110" s="44"/>
      <c r="I110" s="44"/>
      <c r="J110" s="45"/>
      <c r="K110" s="46">
        <f t="shared" si="2"/>
        <v>0</v>
      </c>
      <c r="L110" s="44"/>
      <c r="M110" s="44"/>
      <c r="N110" s="44"/>
      <c r="O110" s="46">
        <f t="shared" si="3"/>
        <v>0</v>
      </c>
      <c r="P110" s="32"/>
      <c r="Q110" s="32"/>
      <c r="R110" s="44"/>
      <c r="S110" s="46">
        <f t="shared" si="4"/>
        <v>0</v>
      </c>
      <c r="T110" s="32"/>
      <c r="U110" s="32"/>
      <c r="V110" s="44"/>
      <c r="W110" s="46">
        <f t="shared" si="5"/>
        <v>0</v>
      </c>
      <c r="X110" s="28"/>
      <c r="Y110" s="54"/>
      <c r="Z110" s="22"/>
      <c r="AA110" s="48"/>
      <c r="AO110" s="55"/>
      <c r="AP110" s="3"/>
      <c r="AQ110" s="3"/>
      <c r="AR110" s="14"/>
    </row>
    <row r="111" ht="16.5" customHeight="1">
      <c r="A111" s="41">
        <v>107.0</v>
      </c>
      <c r="B111" s="42"/>
      <c r="C111" s="43"/>
      <c r="D111" s="53">
        <v>25.0</v>
      </c>
      <c r="E111" s="53">
        <v>18.0</v>
      </c>
      <c r="F111" s="45"/>
      <c r="G111" s="46">
        <f t="shared" si="1"/>
        <v>17</v>
      </c>
      <c r="H111" s="44"/>
      <c r="I111" s="44"/>
      <c r="J111" s="45"/>
      <c r="K111" s="46">
        <f t="shared" si="2"/>
        <v>0</v>
      </c>
      <c r="L111" s="44"/>
      <c r="M111" s="44"/>
      <c r="N111" s="44"/>
      <c r="O111" s="46">
        <f t="shared" si="3"/>
        <v>0</v>
      </c>
      <c r="P111" s="32"/>
      <c r="Q111" s="32"/>
      <c r="R111" s="44"/>
      <c r="S111" s="46">
        <f t="shared" si="4"/>
        <v>0</v>
      </c>
      <c r="T111" s="32"/>
      <c r="U111" s="32"/>
      <c r="V111" s="44"/>
      <c r="W111" s="46">
        <f t="shared" si="5"/>
        <v>0</v>
      </c>
      <c r="X111" s="28"/>
      <c r="Y111" s="54"/>
      <c r="Z111" s="22"/>
      <c r="AA111" s="48"/>
      <c r="AO111" s="55"/>
      <c r="AP111" s="3"/>
      <c r="AQ111" s="3"/>
      <c r="AR111" s="14"/>
    </row>
    <row r="112" ht="16.5" customHeight="1">
      <c r="A112" s="41">
        <v>108.0</v>
      </c>
      <c r="B112" s="42"/>
      <c r="C112" s="43"/>
      <c r="D112" s="53">
        <v>25.0</v>
      </c>
      <c r="E112" s="53">
        <v>18.0</v>
      </c>
      <c r="F112" s="45"/>
      <c r="G112" s="46">
        <f t="shared" si="1"/>
        <v>17</v>
      </c>
      <c r="H112" s="44"/>
      <c r="I112" s="44"/>
      <c r="J112" s="45"/>
      <c r="K112" s="46">
        <f t="shared" si="2"/>
        <v>0</v>
      </c>
      <c r="L112" s="44"/>
      <c r="M112" s="44"/>
      <c r="N112" s="44"/>
      <c r="O112" s="46">
        <f t="shared" si="3"/>
        <v>0</v>
      </c>
      <c r="P112" s="32"/>
      <c r="Q112" s="32"/>
      <c r="R112" s="44"/>
      <c r="S112" s="46">
        <f t="shared" si="4"/>
        <v>0</v>
      </c>
      <c r="T112" s="32"/>
      <c r="U112" s="32"/>
      <c r="V112" s="44"/>
      <c r="W112" s="46">
        <f t="shared" si="5"/>
        <v>0</v>
      </c>
      <c r="X112" s="28"/>
      <c r="Y112" s="54"/>
      <c r="Z112" s="22"/>
      <c r="AA112" s="48"/>
      <c r="AO112" s="55"/>
      <c r="AP112" s="3"/>
      <c r="AQ112" s="3"/>
      <c r="AR112" s="14"/>
    </row>
    <row r="113" ht="16.5" customHeight="1">
      <c r="A113" s="41">
        <v>109.0</v>
      </c>
      <c r="B113" s="42"/>
      <c r="C113" s="43"/>
      <c r="D113" s="53">
        <v>25.0</v>
      </c>
      <c r="E113" s="53">
        <v>18.0</v>
      </c>
      <c r="F113" s="45"/>
      <c r="G113" s="46">
        <f t="shared" si="1"/>
        <v>17</v>
      </c>
      <c r="H113" s="44"/>
      <c r="I113" s="44"/>
      <c r="J113" s="45"/>
      <c r="K113" s="46">
        <f t="shared" si="2"/>
        <v>0</v>
      </c>
      <c r="L113" s="44"/>
      <c r="M113" s="44"/>
      <c r="N113" s="44"/>
      <c r="O113" s="46">
        <f t="shared" si="3"/>
        <v>0</v>
      </c>
      <c r="P113" s="32"/>
      <c r="Q113" s="32"/>
      <c r="R113" s="44"/>
      <c r="S113" s="46">
        <f t="shared" si="4"/>
        <v>0</v>
      </c>
      <c r="T113" s="32"/>
      <c r="U113" s="32"/>
      <c r="V113" s="44"/>
      <c r="W113" s="46">
        <f t="shared" si="5"/>
        <v>0</v>
      </c>
      <c r="X113" s="28"/>
      <c r="Y113" s="54"/>
      <c r="Z113" s="22"/>
      <c r="AA113" s="48"/>
      <c r="AO113" s="55"/>
      <c r="AP113" s="3"/>
      <c r="AQ113" s="3"/>
      <c r="AR113" s="14"/>
    </row>
    <row r="114" ht="16.5" customHeight="1">
      <c r="A114" s="41">
        <v>110.0</v>
      </c>
      <c r="B114" s="42"/>
      <c r="C114" s="43"/>
      <c r="D114" s="53">
        <v>25.0</v>
      </c>
      <c r="E114" s="53">
        <v>18.0</v>
      </c>
      <c r="F114" s="45"/>
      <c r="G114" s="46">
        <f t="shared" si="1"/>
        <v>17</v>
      </c>
      <c r="H114" s="44"/>
      <c r="I114" s="44"/>
      <c r="J114" s="45"/>
      <c r="K114" s="46">
        <f t="shared" si="2"/>
        <v>0</v>
      </c>
      <c r="L114" s="44"/>
      <c r="M114" s="44"/>
      <c r="N114" s="44"/>
      <c r="O114" s="46">
        <f t="shared" si="3"/>
        <v>0</v>
      </c>
      <c r="P114" s="32"/>
      <c r="Q114" s="32"/>
      <c r="R114" s="44"/>
      <c r="S114" s="46">
        <f t="shared" si="4"/>
        <v>0</v>
      </c>
      <c r="T114" s="32"/>
      <c r="U114" s="32"/>
      <c r="V114" s="44"/>
      <c r="W114" s="46">
        <f t="shared" si="5"/>
        <v>0</v>
      </c>
      <c r="X114" s="28"/>
      <c r="Y114" s="54"/>
      <c r="Z114" s="22"/>
      <c r="AA114" s="48"/>
      <c r="AO114" s="55"/>
      <c r="AP114" s="3"/>
      <c r="AQ114" s="3"/>
      <c r="AR114" s="14"/>
    </row>
    <row r="115" ht="16.5" customHeight="1">
      <c r="A115" s="41">
        <v>111.0</v>
      </c>
      <c r="B115" s="42"/>
      <c r="C115" s="43"/>
      <c r="D115" s="53">
        <v>25.0</v>
      </c>
      <c r="E115" s="53">
        <v>18.0</v>
      </c>
      <c r="F115" s="45"/>
      <c r="G115" s="46">
        <f t="shared" si="1"/>
        <v>17</v>
      </c>
      <c r="H115" s="44"/>
      <c r="I115" s="44"/>
      <c r="J115" s="45"/>
      <c r="K115" s="46">
        <f t="shared" si="2"/>
        <v>0</v>
      </c>
      <c r="L115" s="44"/>
      <c r="M115" s="44"/>
      <c r="N115" s="44"/>
      <c r="O115" s="46">
        <f t="shared" si="3"/>
        <v>0</v>
      </c>
      <c r="P115" s="32"/>
      <c r="Q115" s="32"/>
      <c r="R115" s="44"/>
      <c r="S115" s="46">
        <f t="shared" si="4"/>
        <v>0</v>
      </c>
      <c r="T115" s="32"/>
      <c r="U115" s="32"/>
      <c r="V115" s="44"/>
      <c r="W115" s="46">
        <f t="shared" si="5"/>
        <v>0</v>
      </c>
      <c r="X115" s="28"/>
      <c r="Y115" s="54"/>
      <c r="Z115" s="22"/>
      <c r="AA115" s="48"/>
      <c r="AO115" s="55"/>
      <c r="AP115" s="3"/>
      <c r="AQ115" s="3"/>
      <c r="AR115" s="14"/>
    </row>
    <row r="116" ht="16.5" customHeight="1">
      <c r="A116" s="41">
        <v>112.0</v>
      </c>
      <c r="B116" s="42"/>
      <c r="C116" s="43"/>
      <c r="D116" s="53">
        <v>25.0</v>
      </c>
      <c r="E116" s="53">
        <v>18.0</v>
      </c>
      <c r="F116" s="45"/>
      <c r="G116" s="46">
        <f t="shared" si="1"/>
        <v>17</v>
      </c>
      <c r="H116" s="44"/>
      <c r="I116" s="44"/>
      <c r="J116" s="45"/>
      <c r="K116" s="46">
        <f t="shared" si="2"/>
        <v>0</v>
      </c>
      <c r="L116" s="44"/>
      <c r="M116" s="44"/>
      <c r="N116" s="44"/>
      <c r="O116" s="46">
        <f t="shared" si="3"/>
        <v>0</v>
      </c>
      <c r="P116" s="32"/>
      <c r="Q116" s="32"/>
      <c r="R116" s="44"/>
      <c r="S116" s="46">
        <f t="shared" si="4"/>
        <v>0</v>
      </c>
      <c r="T116" s="32"/>
      <c r="U116" s="32"/>
      <c r="V116" s="44"/>
      <c r="W116" s="46">
        <f t="shared" si="5"/>
        <v>0</v>
      </c>
      <c r="X116" s="28"/>
      <c r="Y116" s="54"/>
      <c r="Z116" s="22"/>
      <c r="AA116" s="48"/>
      <c r="AO116" s="55"/>
      <c r="AP116" s="3"/>
      <c r="AQ116" s="3"/>
      <c r="AR116" s="14"/>
    </row>
    <row r="117" ht="16.5" customHeight="1">
      <c r="A117" s="41">
        <v>113.0</v>
      </c>
      <c r="B117" s="42"/>
      <c r="C117" s="43"/>
      <c r="D117" s="53">
        <v>25.0</v>
      </c>
      <c r="E117" s="53">
        <v>18.0</v>
      </c>
      <c r="F117" s="45"/>
      <c r="G117" s="46">
        <f t="shared" si="1"/>
        <v>17</v>
      </c>
      <c r="H117" s="44"/>
      <c r="I117" s="44"/>
      <c r="J117" s="45"/>
      <c r="K117" s="46">
        <f t="shared" si="2"/>
        <v>0</v>
      </c>
      <c r="L117" s="44"/>
      <c r="M117" s="44"/>
      <c r="N117" s="44"/>
      <c r="O117" s="46">
        <f t="shared" si="3"/>
        <v>0</v>
      </c>
      <c r="P117" s="32"/>
      <c r="Q117" s="32"/>
      <c r="R117" s="44"/>
      <c r="S117" s="46">
        <f t="shared" si="4"/>
        <v>0</v>
      </c>
      <c r="T117" s="32"/>
      <c r="U117" s="32"/>
      <c r="V117" s="44"/>
      <c r="W117" s="46">
        <f t="shared" si="5"/>
        <v>0</v>
      </c>
      <c r="X117" s="28"/>
      <c r="Y117" s="54"/>
      <c r="Z117" s="22"/>
      <c r="AA117" s="48"/>
      <c r="AO117" s="55"/>
      <c r="AP117" s="3"/>
      <c r="AQ117" s="3"/>
      <c r="AR117" s="14"/>
    </row>
    <row r="118" ht="16.5" customHeight="1">
      <c r="A118" s="41">
        <v>114.0</v>
      </c>
      <c r="B118" s="42"/>
      <c r="C118" s="43"/>
      <c r="D118" s="53">
        <v>25.0</v>
      </c>
      <c r="E118" s="53">
        <v>18.0</v>
      </c>
      <c r="F118" s="45"/>
      <c r="G118" s="46">
        <f t="shared" si="1"/>
        <v>17</v>
      </c>
      <c r="H118" s="44"/>
      <c r="I118" s="44"/>
      <c r="J118" s="45"/>
      <c r="K118" s="46">
        <f t="shared" si="2"/>
        <v>0</v>
      </c>
      <c r="L118" s="44"/>
      <c r="M118" s="44"/>
      <c r="N118" s="44"/>
      <c r="O118" s="46">
        <f t="shared" si="3"/>
        <v>0</v>
      </c>
      <c r="P118" s="32"/>
      <c r="Q118" s="32"/>
      <c r="R118" s="44"/>
      <c r="S118" s="46">
        <f t="shared" si="4"/>
        <v>0</v>
      </c>
      <c r="T118" s="32"/>
      <c r="U118" s="32"/>
      <c r="V118" s="44"/>
      <c r="W118" s="46">
        <f t="shared" si="5"/>
        <v>0</v>
      </c>
      <c r="X118" s="28"/>
      <c r="Y118" s="54"/>
      <c r="Z118" s="22"/>
      <c r="AA118" s="48"/>
      <c r="AO118" s="55"/>
      <c r="AP118" s="3"/>
      <c r="AQ118" s="3"/>
      <c r="AR118" s="14"/>
    </row>
    <row r="119" ht="16.5" customHeight="1">
      <c r="A119" s="41">
        <v>115.0</v>
      </c>
      <c r="B119" s="42"/>
      <c r="C119" s="43"/>
      <c r="D119" s="53">
        <v>25.0</v>
      </c>
      <c r="E119" s="53">
        <v>18.0</v>
      </c>
      <c r="F119" s="45"/>
      <c r="G119" s="46">
        <f t="shared" si="1"/>
        <v>17</v>
      </c>
      <c r="H119" s="44"/>
      <c r="I119" s="44"/>
      <c r="J119" s="45"/>
      <c r="K119" s="46">
        <f t="shared" si="2"/>
        <v>0</v>
      </c>
      <c r="L119" s="44"/>
      <c r="M119" s="44"/>
      <c r="N119" s="44"/>
      <c r="O119" s="46">
        <f t="shared" si="3"/>
        <v>0</v>
      </c>
      <c r="P119" s="32"/>
      <c r="Q119" s="32"/>
      <c r="R119" s="44"/>
      <c r="S119" s="46">
        <f t="shared" si="4"/>
        <v>0</v>
      </c>
      <c r="T119" s="32"/>
      <c r="U119" s="32"/>
      <c r="V119" s="44"/>
      <c r="W119" s="46">
        <f t="shared" si="5"/>
        <v>0</v>
      </c>
      <c r="X119" s="28"/>
      <c r="Y119" s="54"/>
      <c r="Z119" s="22"/>
      <c r="AA119" s="48"/>
      <c r="AO119" s="55"/>
      <c r="AP119" s="3"/>
      <c r="AQ119" s="3"/>
      <c r="AR119" s="14"/>
    </row>
    <row r="120" ht="16.5" customHeight="1">
      <c r="A120" s="41">
        <v>116.0</v>
      </c>
      <c r="B120" s="42"/>
      <c r="C120" s="43"/>
      <c r="D120" s="53">
        <v>25.0</v>
      </c>
      <c r="E120" s="53">
        <v>18.0</v>
      </c>
      <c r="F120" s="45"/>
      <c r="G120" s="46">
        <f t="shared" si="1"/>
        <v>17</v>
      </c>
      <c r="H120" s="44"/>
      <c r="I120" s="44"/>
      <c r="J120" s="45"/>
      <c r="K120" s="46">
        <f t="shared" si="2"/>
        <v>0</v>
      </c>
      <c r="L120" s="44"/>
      <c r="M120" s="44"/>
      <c r="N120" s="44"/>
      <c r="O120" s="46">
        <f t="shared" si="3"/>
        <v>0</v>
      </c>
      <c r="P120" s="32"/>
      <c r="Q120" s="32"/>
      <c r="R120" s="44"/>
      <c r="S120" s="46">
        <f t="shared" si="4"/>
        <v>0</v>
      </c>
      <c r="T120" s="32"/>
      <c r="U120" s="32"/>
      <c r="V120" s="44"/>
      <c r="W120" s="46">
        <f t="shared" si="5"/>
        <v>0</v>
      </c>
      <c r="X120" s="28"/>
      <c r="Y120" s="54"/>
      <c r="Z120" s="22"/>
      <c r="AA120" s="48"/>
      <c r="AO120" s="55"/>
      <c r="AP120" s="3"/>
      <c r="AQ120" s="3"/>
      <c r="AR120" s="14"/>
    </row>
    <row r="121" ht="16.5" customHeight="1">
      <c r="A121" s="41">
        <v>117.0</v>
      </c>
      <c r="B121" s="42"/>
      <c r="C121" s="43"/>
      <c r="D121" s="53">
        <v>25.0</v>
      </c>
      <c r="E121" s="53">
        <v>18.0</v>
      </c>
      <c r="F121" s="45"/>
      <c r="G121" s="46">
        <f t="shared" si="1"/>
        <v>17</v>
      </c>
      <c r="H121" s="44"/>
      <c r="I121" s="44"/>
      <c r="J121" s="45"/>
      <c r="K121" s="46">
        <f t="shared" si="2"/>
        <v>0</v>
      </c>
      <c r="L121" s="44"/>
      <c r="M121" s="44"/>
      <c r="N121" s="44"/>
      <c r="O121" s="46">
        <f t="shared" si="3"/>
        <v>0</v>
      </c>
      <c r="P121" s="32"/>
      <c r="Q121" s="32"/>
      <c r="R121" s="44"/>
      <c r="S121" s="46">
        <f t="shared" si="4"/>
        <v>0</v>
      </c>
      <c r="T121" s="32"/>
      <c r="U121" s="32"/>
      <c r="V121" s="44"/>
      <c r="W121" s="46">
        <f t="shared" si="5"/>
        <v>0</v>
      </c>
      <c r="X121" s="28"/>
      <c r="Y121" s="54"/>
      <c r="Z121" s="22"/>
      <c r="AA121" s="48"/>
      <c r="AO121" s="55"/>
      <c r="AP121" s="3"/>
      <c r="AQ121" s="3"/>
      <c r="AR121" s="14"/>
    </row>
    <row r="122" ht="16.5" customHeight="1">
      <c r="A122" s="41">
        <v>118.0</v>
      </c>
      <c r="B122" s="42"/>
      <c r="C122" s="43"/>
      <c r="D122" s="53">
        <v>25.0</v>
      </c>
      <c r="E122" s="53">
        <v>18.0</v>
      </c>
      <c r="F122" s="45"/>
      <c r="G122" s="46">
        <f t="shared" si="1"/>
        <v>17</v>
      </c>
      <c r="H122" s="44"/>
      <c r="I122" s="44"/>
      <c r="J122" s="45"/>
      <c r="K122" s="46">
        <f t="shared" si="2"/>
        <v>0</v>
      </c>
      <c r="L122" s="44"/>
      <c r="M122" s="44"/>
      <c r="N122" s="44"/>
      <c r="O122" s="46">
        <f t="shared" si="3"/>
        <v>0</v>
      </c>
      <c r="P122" s="32"/>
      <c r="Q122" s="32"/>
      <c r="R122" s="44"/>
      <c r="S122" s="46">
        <f t="shared" si="4"/>
        <v>0</v>
      </c>
      <c r="T122" s="32"/>
      <c r="U122" s="32"/>
      <c r="V122" s="44"/>
      <c r="W122" s="46">
        <f t="shared" si="5"/>
        <v>0</v>
      </c>
      <c r="X122" s="28"/>
      <c r="Y122" s="54"/>
      <c r="Z122" s="22"/>
      <c r="AA122" s="48"/>
      <c r="AO122" s="55"/>
      <c r="AP122" s="3"/>
      <c r="AQ122" s="3"/>
      <c r="AR122" s="14"/>
    </row>
    <row r="123" ht="16.5" customHeight="1">
      <c r="A123" s="41">
        <v>119.0</v>
      </c>
      <c r="B123" s="42"/>
      <c r="C123" s="43"/>
      <c r="D123" s="53">
        <v>25.0</v>
      </c>
      <c r="E123" s="53">
        <v>18.0</v>
      </c>
      <c r="F123" s="45"/>
      <c r="G123" s="46">
        <f t="shared" si="1"/>
        <v>17</v>
      </c>
      <c r="H123" s="44"/>
      <c r="I123" s="44"/>
      <c r="J123" s="45"/>
      <c r="K123" s="46">
        <f t="shared" si="2"/>
        <v>0</v>
      </c>
      <c r="L123" s="44"/>
      <c r="M123" s="44"/>
      <c r="N123" s="44"/>
      <c r="O123" s="46">
        <f t="shared" si="3"/>
        <v>0</v>
      </c>
      <c r="P123" s="32"/>
      <c r="Q123" s="32"/>
      <c r="R123" s="44"/>
      <c r="S123" s="46">
        <f t="shared" si="4"/>
        <v>0</v>
      </c>
      <c r="T123" s="32"/>
      <c r="U123" s="32"/>
      <c r="V123" s="44"/>
      <c r="W123" s="46">
        <f t="shared" si="5"/>
        <v>0</v>
      </c>
      <c r="X123" s="28"/>
      <c r="Y123" s="54"/>
      <c r="Z123" s="22"/>
      <c r="AA123" s="48"/>
      <c r="AO123" s="55"/>
      <c r="AP123" s="3"/>
      <c r="AQ123" s="3"/>
      <c r="AR123" s="14"/>
    </row>
    <row r="124" ht="16.5" customHeight="1">
      <c r="A124" s="41">
        <v>120.0</v>
      </c>
      <c r="B124" s="42"/>
      <c r="C124" s="43"/>
      <c r="D124" s="53">
        <v>25.0</v>
      </c>
      <c r="E124" s="53">
        <v>18.0</v>
      </c>
      <c r="F124" s="45"/>
      <c r="G124" s="46">
        <f t="shared" si="1"/>
        <v>17</v>
      </c>
      <c r="H124" s="44"/>
      <c r="I124" s="44"/>
      <c r="J124" s="45"/>
      <c r="K124" s="46">
        <f t="shared" si="2"/>
        <v>0</v>
      </c>
      <c r="L124" s="44"/>
      <c r="M124" s="44"/>
      <c r="N124" s="44"/>
      <c r="O124" s="46">
        <f t="shared" si="3"/>
        <v>0</v>
      </c>
      <c r="P124" s="32"/>
      <c r="Q124" s="32"/>
      <c r="R124" s="44"/>
      <c r="S124" s="46">
        <f t="shared" si="4"/>
        <v>0</v>
      </c>
      <c r="T124" s="32"/>
      <c r="U124" s="32"/>
      <c r="V124" s="44"/>
      <c r="W124" s="46">
        <f t="shared" si="5"/>
        <v>0</v>
      </c>
      <c r="X124" s="28"/>
      <c r="Y124" s="54"/>
      <c r="Z124" s="22"/>
      <c r="AA124" s="48"/>
      <c r="AO124" s="55"/>
      <c r="AP124" s="3"/>
      <c r="AQ124" s="3"/>
      <c r="AR124" s="14"/>
    </row>
    <row r="125" ht="16.5" customHeight="1">
      <c r="A125" s="41">
        <v>121.0</v>
      </c>
      <c r="B125" s="42"/>
      <c r="C125" s="43"/>
      <c r="D125" s="53">
        <v>25.0</v>
      </c>
      <c r="E125" s="53">
        <v>18.0</v>
      </c>
      <c r="F125" s="45"/>
      <c r="G125" s="46">
        <f t="shared" si="1"/>
        <v>17</v>
      </c>
      <c r="H125" s="44"/>
      <c r="I125" s="44"/>
      <c r="J125" s="45"/>
      <c r="K125" s="46">
        <f t="shared" si="2"/>
        <v>0</v>
      </c>
      <c r="L125" s="44"/>
      <c r="M125" s="44"/>
      <c r="N125" s="44"/>
      <c r="O125" s="46">
        <f t="shared" si="3"/>
        <v>0</v>
      </c>
      <c r="P125" s="32"/>
      <c r="Q125" s="32"/>
      <c r="R125" s="44"/>
      <c r="S125" s="46">
        <f t="shared" si="4"/>
        <v>0</v>
      </c>
      <c r="T125" s="32"/>
      <c r="U125" s="32"/>
      <c r="V125" s="44"/>
      <c r="W125" s="46">
        <f t="shared" si="5"/>
        <v>0</v>
      </c>
      <c r="X125" s="28"/>
      <c r="Y125" s="54"/>
      <c r="Z125" s="22"/>
      <c r="AA125" s="48"/>
      <c r="AO125" s="55"/>
      <c r="AP125" s="3"/>
      <c r="AQ125" s="3"/>
      <c r="AR125" s="14"/>
    </row>
    <row r="126" ht="16.5" customHeight="1">
      <c r="A126" s="41">
        <v>122.0</v>
      </c>
      <c r="B126" s="42"/>
      <c r="C126" s="43"/>
      <c r="D126" s="53">
        <v>25.0</v>
      </c>
      <c r="E126" s="53">
        <v>18.0</v>
      </c>
      <c r="F126" s="45"/>
      <c r="G126" s="46">
        <f t="shared" si="1"/>
        <v>17</v>
      </c>
      <c r="H126" s="44"/>
      <c r="I126" s="44"/>
      <c r="J126" s="45"/>
      <c r="K126" s="46">
        <f t="shared" si="2"/>
        <v>0</v>
      </c>
      <c r="L126" s="44"/>
      <c r="M126" s="44"/>
      <c r="N126" s="44"/>
      <c r="O126" s="46">
        <f t="shared" si="3"/>
        <v>0</v>
      </c>
      <c r="P126" s="32"/>
      <c r="Q126" s="32"/>
      <c r="R126" s="44"/>
      <c r="S126" s="46">
        <f t="shared" si="4"/>
        <v>0</v>
      </c>
      <c r="T126" s="32"/>
      <c r="U126" s="32"/>
      <c r="V126" s="44"/>
      <c r="W126" s="46">
        <f t="shared" si="5"/>
        <v>0</v>
      </c>
      <c r="X126" s="28"/>
      <c r="Y126" s="54"/>
      <c r="Z126" s="22"/>
      <c r="AA126" s="48"/>
      <c r="AO126" s="55"/>
      <c r="AP126" s="3"/>
      <c r="AQ126" s="3"/>
      <c r="AR126" s="14"/>
    </row>
    <row r="127" ht="16.5" customHeight="1">
      <c r="A127" s="41">
        <v>123.0</v>
      </c>
      <c r="B127" s="42"/>
      <c r="C127" s="43"/>
      <c r="D127" s="53">
        <v>25.0</v>
      </c>
      <c r="E127" s="53">
        <v>18.0</v>
      </c>
      <c r="F127" s="45"/>
      <c r="G127" s="46">
        <f t="shared" si="1"/>
        <v>17</v>
      </c>
      <c r="H127" s="44"/>
      <c r="I127" s="44"/>
      <c r="J127" s="45"/>
      <c r="K127" s="46">
        <f t="shared" si="2"/>
        <v>0</v>
      </c>
      <c r="L127" s="44"/>
      <c r="M127" s="44"/>
      <c r="N127" s="44"/>
      <c r="O127" s="46">
        <f t="shared" si="3"/>
        <v>0</v>
      </c>
      <c r="P127" s="32"/>
      <c r="Q127" s="32"/>
      <c r="R127" s="44"/>
      <c r="S127" s="46">
        <f t="shared" si="4"/>
        <v>0</v>
      </c>
      <c r="T127" s="32"/>
      <c r="U127" s="32"/>
      <c r="V127" s="44"/>
      <c r="W127" s="46">
        <f t="shared" si="5"/>
        <v>0</v>
      </c>
      <c r="X127" s="28"/>
      <c r="Y127" s="54"/>
      <c r="Z127" s="22"/>
      <c r="AA127" s="48"/>
      <c r="AO127" s="55"/>
      <c r="AP127" s="3"/>
      <c r="AQ127" s="3"/>
      <c r="AR127" s="14"/>
    </row>
    <row r="128" ht="16.5" customHeight="1">
      <c r="A128" s="41">
        <v>124.0</v>
      </c>
      <c r="B128" s="42"/>
      <c r="C128" s="43"/>
      <c r="D128" s="53">
        <v>25.0</v>
      </c>
      <c r="E128" s="53">
        <v>18.0</v>
      </c>
      <c r="F128" s="45"/>
      <c r="G128" s="46">
        <f t="shared" si="1"/>
        <v>17</v>
      </c>
      <c r="H128" s="44"/>
      <c r="I128" s="44"/>
      <c r="J128" s="45"/>
      <c r="K128" s="46">
        <f t="shared" si="2"/>
        <v>0</v>
      </c>
      <c r="L128" s="44"/>
      <c r="M128" s="44"/>
      <c r="N128" s="44"/>
      <c r="O128" s="46">
        <f t="shared" si="3"/>
        <v>0</v>
      </c>
      <c r="P128" s="32"/>
      <c r="Q128" s="32"/>
      <c r="R128" s="44"/>
      <c r="S128" s="46">
        <f t="shared" si="4"/>
        <v>0</v>
      </c>
      <c r="T128" s="32"/>
      <c r="U128" s="32"/>
      <c r="V128" s="44"/>
      <c r="W128" s="46">
        <f t="shared" si="5"/>
        <v>0</v>
      </c>
      <c r="X128" s="28"/>
      <c r="Y128" s="54"/>
      <c r="Z128" s="22"/>
      <c r="AA128" s="48"/>
      <c r="AO128" s="55"/>
      <c r="AP128" s="3"/>
      <c r="AQ128" s="3"/>
      <c r="AR128" s="14"/>
    </row>
    <row r="129" ht="16.5" customHeight="1">
      <c r="A129" s="41">
        <v>125.0</v>
      </c>
      <c r="B129" s="42"/>
      <c r="C129" s="43"/>
      <c r="D129" s="53">
        <v>25.0</v>
      </c>
      <c r="E129" s="53">
        <v>18.0</v>
      </c>
      <c r="F129" s="45"/>
      <c r="G129" s="46">
        <f t="shared" si="1"/>
        <v>17</v>
      </c>
      <c r="H129" s="44"/>
      <c r="I129" s="44"/>
      <c r="J129" s="45"/>
      <c r="K129" s="46">
        <f t="shared" si="2"/>
        <v>0</v>
      </c>
      <c r="L129" s="44"/>
      <c r="M129" s="44"/>
      <c r="N129" s="44"/>
      <c r="O129" s="46">
        <f t="shared" si="3"/>
        <v>0</v>
      </c>
      <c r="P129" s="32"/>
      <c r="Q129" s="32"/>
      <c r="R129" s="44"/>
      <c r="S129" s="46">
        <f t="shared" si="4"/>
        <v>0</v>
      </c>
      <c r="T129" s="32"/>
      <c r="U129" s="32"/>
      <c r="V129" s="44"/>
      <c r="W129" s="46">
        <f t="shared" si="5"/>
        <v>0</v>
      </c>
      <c r="X129" s="28"/>
      <c r="Y129" s="54"/>
      <c r="Z129" s="22"/>
      <c r="AA129" s="48"/>
      <c r="AO129" s="55"/>
      <c r="AP129" s="3"/>
      <c r="AQ129" s="3"/>
      <c r="AR129" s="14"/>
    </row>
    <row r="130" ht="16.5" customHeight="1">
      <c r="A130" s="41">
        <v>126.0</v>
      </c>
      <c r="B130" s="42"/>
      <c r="C130" s="43"/>
      <c r="D130" s="53">
        <v>25.0</v>
      </c>
      <c r="E130" s="53">
        <v>18.0</v>
      </c>
      <c r="F130" s="45"/>
      <c r="G130" s="46">
        <f t="shared" si="1"/>
        <v>17</v>
      </c>
      <c r="H130" s="44"/>
      <c r="I130" s="44"/>
      <c r="J130" s="45"/>
      <c r="K130" s="46">
        <f t="shared" si="2"/>
        <v>0</v>
      </c>
      <c r="L130" s="44"/>
      <c r="M130" s="44"/>
      <c r="N130" s="44"/>
      <c r="O130" s="46">
        <f t="shared" si="3"/>
        <v>0</v>
      </c>
      <c r="P130" s="32"/>
      <c r="Q130" s="32"/>
      <c r="R130" s="44"/>
      <c r="S130" s="46">
        <f t="shared" si="4"/>
        <v>0</v>
      </c>
      <c r="T130" s="32"/>
      <c r="U130" s="32"/>
      <c r="V130" s="44"/>
      <c r="W130" s="46">
        <f t="shared" si="5"/>
        <v>0</v>
      </c>
      <c r="X130" s="28"/>
      <c r="Y130" s="54"/>
      <c r="Z130" s="22"/>
      <c r="AA130" s="48"/>
      <c r="AO130" s="55"/>
      <c r="AP130" s="3"/>
      <c r="AQ130" s="3"/>
      <c r="AR130" s="14"/>
    </row>
    <row r="131" ht="16.5" customHeight="1">
      <c r="A131" s="41">
        <v>127.0</v>
      </c>
      <c r="B131" s="42"/>
      <c r="C131" s="43"/>
      <c r="D131" s="53">
        <v>25.0</v>
      </c>
      <c r="E131" s="53">
        <v>18.0</v>
      </c>
      <c r="F131" s="45"/>
      <c r="G131" s="46">
        <f t="shared" si="1"/>
        <v>17</v>
      </c>
      <c r="H131" s="44"/>
      <c r="I131" s="44"/>
      <c r="J131" s="45"/>
      <c r="K131" s="46">
        <f t="shared" si="2"/>
        <v>0</v>
      </c>
      <c r="L131" s="44"/>
      <c r="M131" s="44"/>
      <c r="N131" s="44"/>
      <c r="O131" s="46">
        <f t="shared" si="3"/>
        <v>0</v>
      </c>
      <c r="P131" s="32"/>
      <c r="Q131" s="32"/>
      <c r="R131" s="44"/>
      <c r="S131" s="46">
        <f t="shared" si="4"/>
        <v>0</v>
      </c>
      <c r="T131" s="32"/>
      <c r="U131" s="32"/>
      <c r="V131" s="44"/>
      <c r="W131" s="46">
        <f t="shared" si="5"/>
        <v>0</v>
      </c>
      <c r="X131" s="28"/>
      <c r="Y131" s="54"/>
      <c r="Z131" s="22"/>
      <c r="AA131" s="48"/>
      <c r="AO131" s="55"/>
      <c r="AP131" s="3"/>
      <c r="AQ131" s="3"/>
      <c r="AR131" s="14"/>
    </row>
    <row r="132" ht="16.5" customHeight="1">
      <c r="A132" s="41">
        <v>128.0</v>
      </c>
      <c r="B132" s="42"/>
      <c r="C132" s="43"/>
      <c r="D132" s="53">
        <v>25.0</v>
      </c>
      <c r="E132" s="53">
        <v>18.0</v>
      </c>
      <c r="F132" s="45"/>
      <c r="G132" s="46">
        <f t="shared" si="1"/>
        <v>17</v>
      </c>
      <c r="H132" s="44"/>
      <c r="I132" s="44"/>
      <c r="J132" s="45"/>
      <c r="K132" s="46">
        <f t="shared" si="2"/>
        <v>0</v>
      </c>
      <c r="L132" s="44"/>
      <c r="M132" s="44"/>
      <c r="N132" s="44"/>
      <c r="O132" s="46">
        <f t="shared" si="3"/>
        <v>0</v>
      </c>
      <c r="P132" s="32"/>
      <c r="Q132" s="32"/>
      <c r="R132" s="44"/>
      <c r="S132" s="46">
        <f t="shared" si="4"/>
        <v>0</v>
      </c>
      <c r="T132" s="32"/>
      <c r="U132" s="32"/>
      <c r="V132" s="44"/>
      <c r="W132" s="46">
        <f t="shared" si="5"/>
        <v>0</v>
      </c>
      <c r="X132" s="28"/>
      <c r="Y132" s="54"/>
      <c r="Z132" s="22"/>
      <c r="AA132" s="48"/>
      <c r="AO132" s="55"/>
      <c r="AP132" s="3"/>
      <c r="AQ132" s="3"/>
      <c r="AR132" s="14"/>
    </row>
    <row r="133" ht="16.5" customHeight="1">
      <c r="A133" s="41">
        <v>129.0</v>
      </c>
      <c r="B133" s="42"/>
      <c r="C133" s="43"/>
      <c r="D133" s="53">
        <v>25.0</v>
      </c>
      <c r="E133" s="53">
        <v>18.0</v>
      </c>
      <c r="F133" s="45"/>
      <c r="G133" s="46">
        <f t="shared" si="1"/>
        <v>17</v>
      </c>
      <c r="H133" s="44"/>
      <c r="I133" s="44"/>
      <c r="J133" s="45"/>
      <c r="K133" s="46">
        <f t="shared" si="2"/>
        <v>0</v>
      </c>
      <c r="L133" s="44"/>
      <c r="M133" s="44"/>
      <c r="N133" s="44"/>
      <c r="O133" s="46">
        <f t="shared" si="3"/>
        <v>0</v>
      </c>
      <c r="P133" s="32"/>
      <c r="Q133" s="32"/>
      <c r="R133" s="44"/>
      <c r="S133" s="46">
        <f t="shared" si="4"/>
        <v>0</v>
      </c>
      <c r="T133" s="32"/>
      <c r="U133" s="32"/>
      <c r="V133" s="44"/>
      <c r="W133" s="46">
        <f t="shared" si="5"/>
        <v>0</v>
      </c>
      <c r="X133" s="28"/>
      <c r="Y133" s="54"/>
      <c r="Z133" s="22"/>
      <c r="AA133" s="48"/>
      <c r="AO133" s="55"/>
      <c r="AP133" s="3"/>
      <c r="AQ133" s="3"/>
      <c r="AR133" s="14"/>
    </row>
    <row r="134" ht="16.5" customHeight="1">
      <c r="A134" s="41">
        <v>130.0</v>
      </c>
      <c r="B134" s="42"/>
      <c r="C134" s="43"/>
      <c r="D134" s="53">
        <v>25.0</v>
      </c>
      <c r="E134" s="53">
        <v>18.0</v>
      </c>
      <c r="F134" s="45"/>
      <c r="G134" s="46">
        <f t="shared" si="1"/>
        <v>17</v>
      </c>
      <c r="H134" s="44"/>
      <c r="I134" s="44"/>
      <c r="J134" s="45"/>
      <c r="K134" s="46">
        <f t="shared" si="2"/>
        <v>0</v>
      </c>
      <c r="L134" s="44"/>
      <c r="M134" s="44"/>
      <c r="N134" s="44"/>
      <c r="O134" s="46">
        <f t="shared" si="3"/>
        <v>0</v>
      </c>
      <c r="P134" s="32"/>
      <c r="Q134" s="32"/>
      <c r="R134" s="44"/>
      <c r="S134" s="46">
        <f t="shared" si="4"/>
        <v>0</v>
      </c>
      <c r="T134" s="32"/>
      <c r="U134" s="32"/>
      <c r="V134" s="44"/>
      <c r="W134" s="46">
        <f t="shared" si="5"/>
        <v>0</v>
      </c>
      <c r="X134" s="28"/>
      <c r="Y134" s="54"/>
      <c r="Z134" s="22"/>
      <c r="AA134" s="48"/>
      <c r="AO134" s="55"/>
      <c r="AP134" s="3"/>
      <c r="AQ134" s="3"/>
      <c r="AR134" s="14"/>
    </row>
    <row r="135" ht="16.5" customHeight="1">
      <c r="A135" s="41">
        <v>131.0</v>
      </c>
      <c r="B135" s="42"/>
      <c r="C135" s="43"/>
      <c r="D135" s="53">
        <v>25.0</v>
      </c>
      <c r="E135" s="53">
        <v>18.0</v>
      </c>
      <c r="F135" s="45"/>
      <c r="G135" s="46">
        <f t="shared" si="1"/>
        <v>17</v>
      </c>
      <c r="H135" s="44"/>
      <c r="I135" s="44"/>
      <c r="J135" s="45"/>
      <c r="K135" s="46">
        <f t="shared" si="2"/>
        <v>0</v>
      </c>
      <c r="L135" s="44"/>
      <c r="M135" s="44"/>
      <c r="N135" s="44"/>
      <c r="O135" s="46">
        <f t="shared" si="3"/>
        <v>0</v>
      </c>
      <c r="P135" s="32"/>
      <c r="Q135" s="32"/>
      <c r="R135" s="44"/>
      <c r="S135" s="46">
        <f t="shared" si="4"/>
        <v>0</v>
      </c>
      <c r="T135" s="32"/>
      <c r="U135" s="32"/>
      <c r="V135" s="44"/>
      <c r="W135" s="46">
        <f t="shared" si="5"/>
        <v>0</v>
      </c>
      <c r="X135" s="28"/>
      <c r="Y135" s="54"/>
      <c r="Z135" s="22"/>
      <c r="AA135" s="48"/>
      <c r="AO135" s="55"/>
      <c r="AP135" s="3"/>
      <c r="AQ135" s="3"/>
      <c r="AR135" s="14"/>
    </row>
    <row r="136" ht="16.5" customHeight="1">
      <c r="A136" s="41">
        <v>132.0</v>
      </c>
      <c r="B136" s="42"/>
      <c r="C136" s="43"/>
      <c r="D136" s="53">
        <v>25.0</v>
      </c>
      <c r="E136" s="53">
        <v>18.0</v>
      </c>
      <c r="F136" s="45"/>
      <c r="G136" s="46">
        <f t="shared" si="1"/>
        <v>17</v>
      </c>
      <c r="H136" s="44"/>
      <c r="I136" s="44"/>
      <c r="J136" s="45"/>
      <c r="K136" s="46">
        <f t="shared" si="2"/>
        <v>0</v>
      </c>
      <c r="L136" s="44"/>
      <c r="M136" s="44"/>
      <c r="N136" s="44"/>
      <c r="O136" s="46">
        <f t="shared" si="3"/>
        <v>0</v>
      </c>
      <c r="P136" s="32"/>
      <c r="Q136" s="32"/>
      <c r="R136" s="44"/>
      <c r="S136" s="46">
        <f t="shared" si="4"/>
        <v>0</v>
      </c>
      <c r="T136" s="32"/>
      <c r="U136" s="32"/>
      <c r="V136" s="44"/>
      <c r="W136" s="46">
        <f t="shared" si="5"/>
        <v>0</v>
      </c>
      <c r="X136" s="28"/>
      <c r="Y136" s="54"/>
      <c r="Z136" s="22"/>
      <c r="AA136" s="48"/>
      <c r="AO136" s="55"/>
      <c r="AP136" s="3"/>
      <c r="AQ136" s="3"/>
      <c r="AR136" s="14"/>
    </row>
    <row r="137" ht="16.5" customHeight="1">
      <c r="A137" s="41">
        <v>133.0</v>
      </c>
      <c r="B137" s="42"/>
      <c r="C137" s="43"/>
      <c r="D137" s="53">
        <v>25.0</v>
      </c>
      <c r="E137" s="53">
        <v>18.0</v>
      </c>
      <c r="F137" s="45"/>
      <c r="G137" s="46">
        <f t="shared" si="1"/>
        <v>17</v>
      </c>
      <c r="H137" s="44"/>
      <c r="I137" s="44"/>
      <c r="J137" s="45"/>
      <c r="K137" s="46">
        <f t="shared" si="2"/>
        <v>0</v>
      </c>
      <c r="L137" s="44"/>
      <c r="M137" s="44"/>
      <c r="N137" s="44"/>
      <c r="O137" s="46">
        <f t="shared" si="3"/>
        <v>0</v>
      </c>
      <c r="P137" s="32"/>
      <c r="Q137" s="32"/>
      <c r="R137" s="44"/>
      <c r="S137" s="46">
        <f t="shared" si="4"/>
        <v>0</v>
      </c>
      <c r="T137" s="32"/>
      <c r="U137" s="32"/>
      <c r="V137" s="44"/>
      <c r="W137" s="46">
        <f t="shared" si="5"/>
        <v>0</v>
      </c>
      <c r="X137" s="28"/>
      <c r="Y137" s="54"/>
      <c r="Z137" s="22"/>
      <c r="AA137" s="48"/>
      <c r="AO137" s="55"/>
      <c r="AP137" s="3"/>
      <c r="AQ137" s="3"/>
      <c r="AR137" s="14"/>
    </row>
    <row r="138" ht="16.5" customHeight="1">
      <c r="A138" s="41">
        <v>134.0</v>
      </c>
      <c r="B138" s="42"/>
      <c r="C138" s="43"/>
      <c r="D138" s="53">
        <v>25.0</v>
      </c>
      <c r="E138" s="53">
        <v>18.0</v>
      </c>
      <c r="F138" s="45"/>
      <c r="G138" s="46">
        <f t="shared" si="1"/>
        <v>17</v>
      </c>
      <c r="H138" s="44"/>
      <c r="I138" s="44"/>
      <c r="J138" s="45"/>
      <c r="K138" s="46">
        <f t="shared" si="2"/>
        <v>0</v>
      </c>
      <c r="L138" s="44"/>
      <c r="M138" s="44"/>
      <c r="N138" s="44"/>
      <c r="O138" s="46">
        <f t="shared" si="3"/>
        <v>0</v>
      </c>
      <c r="P138" s="32"/>
      <c r="Q138" s="32"/>
      <c r="R138" s="44"/>
      <c r="S138" s="46">
        <f t="shared" si="4"/>
        <v>0</v>
      </c>
      <c r="T138" s="32"/>
      <c r="U138" s="32"/>
      <c r="V138" s="44"/>
      <c r="W138" s="46">
        <f t="shared" si="5"/>
        <v>0</v>
      </c>
      <c r="X138" s="28"/>
      <c r="Y138" s="54"/>
      <c r="Z138" s="22"/>
      <c r="AA138" s="48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5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1">
        <v>135.0</v>
      </c>
      <c r="B139" s="42"/>
      <c r="C139" s="43"/>
      <c r="D139" s="53">
        <v>25.0</v>
      </c>
      <c r="E139" s="53">
        <v>18.0</v>
      </c>
      <c r="F139" s="45"/>
      <c r="G139" s="46">
        <f t="shared" si="1"/>
        <v>17</v>
      </c>
      <c r="H139" s="44"/>
      <c r="I139" s="44"/>
      <c r="J139" s="45"/>
      <c r="K139" s="46">
        <f t="shared" si="2"/>
        <v>0</v>
      </c>
      <c r="L139" s="44"/>
      <c r="M139" s="44"/>
      <c r="N139" s="44"/>
      <c r="O139" s="46">
        <f t="shared" si="3"/>
        <v>0</v>
      </c>
      <c r="P139" s="32"/>
      <c r="Q139" s="32"/>
      <c r="R139" s="44"/>
      <c r="S139" s="46">
        <f t="shared" si="4"/>
        <v>0</v>
      </c>
      <c r="T139" s="32"/>
      <c r="U139" s="32"/>
      <c r="V139" s="44"/>
      <c r="W139" s="46">
        <f t="shared" si="5"/>
        <v>0</v>
      </c>
      <c r="X139" s="28"/>
      <c r="Y139" s="54"/>
      <c r="Z139" s="22"/>
      <c r="AA139" s="48"/>
      <c r="AO139" s="55"/>
      <c r="AP139" s="3"/>
      <c r="AQ139" s="3"/>
      <c r="AR139" s="14"/>
    </row>
    <row r="140" ht="16.5" customHeight="1">
      <c r="A140" s="41">
        <v>136.0</v>
      </c>
      <c r="B140" s="42"/>
      <c r="C140" s="43"/>
      <c r="D140" s="53">
        <v>25.0</v>
      </c>
      <c r="E140" s="53">
        <v>18.0</v>
      </c>
      <c r="F140" s="45"/>
      <c r="G140" s="46">
        <f t="shared" si="1"/>
        <v>17</v>
      </c>
      <c r="H140" s="44"/>
      <c r="I140" s="44"/>
      <c r="J140" s="45"/>
      <c r="K140" s="46">
        <f t="shared" si="2"/>
        <v>0</v>
      </c>
      <c r="L140" s="44"/>
      <c r="M140" s="44"/>
      <c r="N140" s="44"/>
      <c r="O140" s="46">
        <f t="shared" si="3"/>
        <v>0</v>
      </c>
      <c r="P140" s="32"/>
      <c r="Q140" s="32"/>
      <c r="R140" s="44"/>
      <c r="S140" s="46">
        <f t="shared" si="4"/>
        <v>0</v>
      </c>
      <c r="T140" s="32"/>
      <c r="U140" s="32"/>
      <c r="V140" s="44"/>
      <c r="W140" s="46">
        <f t="shared" si="5"/>
        <v>0</v>
      </c>
      <c r="X140" s="28"/>
      <c r="Y140" s="54"/>
      <c r="Z140" s="22"/>
      <c r="AA140" s="48"/>
      <c r="AO140" s="55"/>
      <c r="AP140" s="3"/>
      <c r="AQ140" s="3"/>
      <c r="AR140" s="14"/>
    </row>
    <row r="141" ht="16.5" customHeight="1">
      <c r="A141" s="41">
        <v>137.0</v>
      </c>
      <c r="B141" s="42"/>
      <c r="C141" s="43"/>
      <c r="D141" s="53">
        <v>25.0</v>
      </c>
      <c r="E141" s="53">
        <v>18.0</v>
      </c>
      <c r="F141" s="45"/>
      <c r="G141" s="46">
        <f t="shared" si="1"/>
        <v>17</v>
      </c>
      <c r="H141" s="44"/>
      <c r="I141" s="44"/>
      <c r="J141" s="45"/>
      <c r="K141" s="46">
        <f t="shared" si="2"/>
        <v>0</v>
      </c>
      <c r="L141" s="44"/>
      <c r="M141" s="44"/>
      <c r="N141" s="44"/>
      <c r="O141" s="46">
        <f t="shared" si="3"/>
        <v>0</v>
      </c>
      <c r="P141" s="32"/>
      <c r="Q141" s="32"/>
      <c r="R141" s="44"/>
      <c r="S141" s="46">
        <f t="shared" si="4"/>
        <v>0</v>
      </c>
      <c r="T141" s="32"/>
      <c r="U141" s="32"/>
      <c r="V141" s="44"/>
      <c r="W141" s="46">
        <f t="shared" si="5"/>
        <v>0</v>
      </c>
      <c r="X141" s="28"/>
      <c r="Y141" s="54"/>
      <c r="Z141" s="22"/>
      <c r="AA141" s="48"/>
      <c r="AO141" s="55"/>
      <c r="AP141" s="3"/>
      <c r="AQ141" s="3"/>
      <c r="AR141" s="14"/>
    </row>
    <row r="142" ht="16.5" customHeight="1">
      <c r="A142" s="41"/>
      <c r="B142" s="90" t="s">
        <v>50</v>
      </c>
      <c r="C142" s="19"/>
      <c r="D142" s="102" t="s">
        <v>5</v>
      </c>
      <c r="E142" s="103"/>
      <c r="F142" s="104"/>
      <c r="G142" s="105">
        <v>55.0</v>
      </c>
      <c r="H142" s="102" t="s">
        <v>6</v>
      </c>
      <c r="I142" s="103"/>
      <c r="J142" s="104"/>
      <c r="K142" s="105">
        <v>55.0</v>
      </c>
      <c r="L142" s="102" t="s">
        <v>7</v>
      </c>
      <c r="M142" s="103"/>
      <c r="N142" s="104"/>
      <c r="O142" s="105">
        <v>55.0</v>
      </c>
      <c r="P142" s="102" t="s">
        <v>8</v>
      </c>
      <c r="Q142" s="103"/>
      <c r="R142" s="104"/>
      <c r="S142" s="105">
        <v>55.0</v>
      </c>
      <c r="T142" s="102" t="s">
        <v>9</v>
      </c>
      <c r="U142" s="103"/>
      <c r="V142" s="104"/>
      <c r="W142" s="105">
        <v>55.0</v>
      </c>
      <c r="X142" s="28"/>
      <c r="Y142" s="106" t="s">
        <v>51</v>
      </c>
      <c r="Z142" s="22"/>
      <c r="AA142" s="48"/>
      <c r="AB142" s="48"/>
      <c r="AC142" s="48"/>
      <c r="AD142" s="48"/>
      <c r="AE142" s="48"/>
      <c r="AH142" s="56"/>
      <c r="AI142" s="56"/>
      <c r="AJ142" s="57"/>
      <c r="AK142" s="58"/>
      <c r="AL142" s="58"/>
      <c r="AM142" s="58"/>
      <c r="AN142" s="58"/>
      <c r="AO142" s="55"/>
      <c r="AP142" s="3"/>
      <c r="AQ142" s="3"/>
      <c r="AR142" s="14"/>
    </row>
    <row r="143" ht="16.5" customHeight="1">
      <c r="A143" s="107"/>
      <c r="B143" s="108" t="s">
        <v>52</v>
      </c>
      <c r="C143" s="19"/>
      <c r="D143" s="109"/>
      <c r="F143" s="64"/>
      <c r="G143" s="110">
        <f>COUNTIF(G7:G141,"&gt;="&amp;G5*(G142/100))</f>
        <v>135</v>
      </c>
      <c r="H143" s="109"/>
      <c r="J143" s="64"/>
      <c r="K143" s="110">
        <f>COUNTIF(K7:K141,"&gt;="&amp;K5*(K142/100))</f>
        <v>1</v>
      </c>
      <c r="L143" s="109"/>
      <c r="N143" s="64"/>
      <c r="O143" s="110">
        <f>COUNTIF(O7:O141,"&gt;="&amp;O5*(O142/100))</f>
        <v>0</v>
      </c>
      <c r="P143" s="109"/>
      <c r="R143" s="64"/>
      <c r="S143" s="110">
        <f>COUNTIF(S7:S141,"&gt;="&amp;S5*(S142/100))</f>
        <v>1</v>
      </c>
      <c r="T143" s="109"/>
      <c r="V143" s="64"/>
      <c r="W143" s="110">
        <f>COUNTIF(W7:W141,"&gt;="&amp;W5*(W142/100))</f>
        <v>1</v>
      </c>
      <c r="X143" s="28"/>
      <c r="Y143" s="111">
        <f>COUNTA(Y7:Y141)-(COUNTIF(Y7:Y141,"=U*")+COUNTIF(Y7:Y141,"=R*")+COUNTIF(Y7:Y141,"=WH*"))</f>
        <v>0</v>
      </c>
      <c r="Z143" s="22"/>
      <c r="AA143" s="48"/>
      <c r="AB143" s="48"/>
      <c r="AD143" s="3"/>
      <c r="AE143" s="3"/>
      <c r="AF143" s="3"/>
      <c r="AG143" s="3"/>
      <c r="AH143" s="3"/>
      <c r="AI143" s="57"/>
      <c r="AJ143" s="3"/>
      <c r="AK143" s="3"/>
      <c r="AL143" s="3"/>
      <c r="AM143" s="3"/>
      <c r="AN143" s="112"/>
      <c r="AO143" s="3"/>
      <c r="AP143" s="3"/>
      <c r="AQ143" s="14"/>
    </row>
    <row r="144" ht="16.5" customHeight="1">
      <c r="A144" s="107"/>
      <c r="B144" s="93" t="s">
        <v>53</v>
      </c>
      <c r="C144" s="19"/>
      <c r="D144" s="109"/>
      <c r="F144" s="64"/>
      <c r="G144" s="113">
        <f>G143/(COUNTA(G7:G141))*100</f>
        <v>100</v>
      </c>
      <c r="H144" s="109"/>
      <c r="J144" s="64"/>
      <c r="K144" s="113">
        <f>K143/(COUNTA(K7:K141))*100</f>
        <v>0.7407407407</v>
      </c>
      <c r="L144" s="109"/>
      <c r="N144" s="64"/>
      <c r="O144" s="113">
        <f>O143/(COUNTA(O7:O141))*100</f>
        <v>0</v>
      </c>
      <c r="P144" s="109"/>
      <c r="R144" s="64"/>
      <c r="S144" s="113">
        <f>S143/(COUNTA(S7:S141))*100</f>
        <v>0.7407407407</v>
      </c>
      <c r="T144" s="109"/>
      <c r="V144" s="64"/>
      <c r="W144" s="113">
        <f>W143/(COUNTA(W7:W141))*100</f>
        <v>0.7407407407</v>
      </c>
      <c r="X144" s="28"/>
      <c r="Y144" s="114">
        <f>IFERROR(Y143/(COUNTA(Y7:Y141))*100,0)</f>
        <v>0</v>
      </c>
      <c r="Z144" s="22"/>
      <c r="AA144" s="48"/>
      <c r="AB144" s="48"/>
      <c r="AC144" s="115"/>
      <c r="AE144" s="3"/>
      <c r="AF144" s="3"/>
      <c r="AG144" s="3"/>
      <c r="AH144" s="3"/>
      <c r="AJ144" s="3"/>
      <c r="AK144" s="3"/>
      <c r="AL144" s="3"/>
      <c r="AM144" s="3"/>
      <c r="AN144" s="112"/>
      <c r="AO144" s="116"/>
    </row>
    <row r="145" ht="16.5" customHeight="1">
      <c r="A145" s="107"/>
      <c r="B145" s="93" t="s">
        <v>54</v>
      </c>
      <c r="C145" s="19"/>
      <c r="D145" s="117"/>
      <c r="E145" s="118"/>
      <c r="F145" s="119"/>
      <c r="G145" s="120">
        <f>IF(G144&gt;=$AE$17,3,(IF(G144&gt;=$AE$16,2,(IF(G144&gt;=$AE$15,1,0)))))</f>
        <v>3</v>
      </c>
      <c r="H145" s="117"/>
      <c r="I145" s="118"/>
      <c r="J145" s="119"/>
      <c r="K145" s="120">
        <f>IF(K144&gt;=$AE$17,3,(IF(K144&gt;=$AE$16,2,(IF(K144&gt;=$AE$15,1,0)))))</f>
        <v>0</v>
      </c>
      <c r="L145" s="117"/>
      <c r="M145" s="118"/>
      <c r="N145" s="119"/>
      <c r="O145" s="120">
        <f>IF(O144&gt;=$AE$17,3,(IF(O144&gt;=$AE$16,2,(IF(O144&gt;=$AE$15,1,0)))))</f>
        <v>0</v>
      </c>
      <c r="P145" s="117"/>
      <c r="Q145" s="118"/>
      <c r="R145" s="119"/>
      <c r="S145" s="120">
        <f>IF(S144&gt;=$AE$17,3,(IF(S144&gt;=$AE$16,2,(IF(S144&gt;=$AE$15,1,0)))))</f>
        <v>0</v>
      </c>
      <c r="T145" s="117"/>
      <c r="U145" s="118"/>
      <c r="V145" s="119"/>
      <c r="W145" s="120">
        <f>IF(W144&gt;=$AE$17,3,(IF(W144&gt;=$AE$16,2,(IF(W144&gt;=$AE$15,1,0)))))</f>
        <v>0</v>
      </c>
      <c r="X145" s="121"/>
      <c r="Y145" s="122">
        <f>IF(Y144&gt;=$AE$17,3,(IF(Y144&gt;=$AE$16,2,(IF(Y144&gt;=$AE$15,1,0)))))</f>
        <v>0</v>
      </c>
      <c r="Z145" s="80"/>
      <c r="AA145" s="48"/>
      <c r="AB145" s="123"/>
      <c r="AO145" s="14"/>
      <c r="AP145" s="14"/>
      <c r="AQ145" s="14"/>
    </row>
    <row r="146" ht="15.75" customHeight="1">
      <c r="A146" s="36"/>
      <c r="B146" s="124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O146" s="14"/>
      <c r="AP146" s="14"/>
      <c r="AQ146" s="14"/>
    </row>
    <row r="147" ht="24.0" customHeight="1">
      <c r="A147" s="36"/>
      <c r="P147" s="13"/>
      <c r="R147" s="13"/>
      <c r="T147" s="13"/>
      <c r="V147" s="13"/>
      <c r="X147" s="13"/>
      <c r="Y147" s="36"/>
      <c r="Z147" s="36"/>
      <c r="AA147" s="125"/>
      <c r="AB147" s="125"/>
      <c r="AC147" s="126"/>
      <c r="AP147" s="14"/>
      <c r="AQ147" s="14"/>
      <c r="AR147" s="14"/>
    </row>
    <row r="148" ht="27.0" customHeight="1">
      <c r="A148" s="36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8"/>
      <c r="T148" s="128"/>
      <c r="U148" s="128"/>
      <c r="V148" s="128"/>
      <c r="W148" s="128"/>
      <c r="X148" s="128"/>
      <c r="AB148" s="129"/>
      <c r="AC148" s="126"/>
      <c r="AP148" s="14"/>
      <c r="AQ148" s="14"/>
      <c r="AR148" s="14"/>
    </row>
    <row r="149" ht="17.25" customHeight="1">
      <c r="A149" s="36"/>
      <c r="B149" s="130"/>
      <c r="C149" s="130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36"/>
      <c r="T149" s="36"/>
      <c r="U149" s="36"/>
      <c r="V149" s="36"/>
      <c r="W149" s="36"/>
      <c r="X149" s="36"/>
      <c r="Y149" s="36"/>
      <c r="Z149" s="36"/>
      <c r="AA149" s="36"/>
      <c r="AB149" s="129"/>
      <c r="AC149" s="126"/>
      <c r="AP149" s="14"/>
      <c r="AQ149" s="14"/>
      <c r="AR149" s="14"/>
    </row>
    <row r="150" ht="15.75" customHeight="1">
      <c r="A150" s="36"/>
      <c r="P150" s="13"/>
      <c r="R150" s="13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P150" s="14"/>
      <c r="AQ150" s="14"/>
      <c r="AR150" s="14"/>
    </row>
    <row r="151" ht="15.0" customHeight="1">
      <c r="A151" s="36"/>
      <c r="P151" s="13"/>
      <c r="R151" s="13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P151" s="14"/>
      <c r="AQ151" s="14"/>
      <c r="AR151" s="14"/>
    </row>
    <row r="152" ht="15.0" customHeight="1">
      <c r="A152" s="36"/>
      <c r="P152" s="13"/>
      <c r="R152" s="13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P152" s="14"/>
      <c r="AQ152" s="14"/>
      <c r="AR152" s="14"/>
    </row>
    <row r="153" ht="15.0" customHeight="1">
      <c r="A153" s="36"/>
      <c r="P153" s="13"/>
      <c r="R153" s="13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P153" s="14"/>
      <c r="AQ153" s="14"/>
      <c r="AR153" s="14"/>
    </row>
    <row r="154" ht="15.75" customHeight="1">
      <c r="A154" s="36"/>
      <c r="P154" s="13"/>
      <c r="R154" s="13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P154" s="14"/>
      <c r="AQ154" s="14"/>
      <c r="AR154" s="14"/>
    </row>
    <row r="155" ht="15.75" customHeight="1">
      <c r="A155" s="36"/>
      <c r="B155" s="124"/>
      <c r="C155" s="36"/>
      <c r="D155" s="36"/>
      <c r="E155" s="36"/>
      <c r="F155" s="36"/>
      <c r="G155" s="36"/>
      <c r="H155" s="131"/>
      <c r="I155" s="131"/>
      <c r="J155" s="131"/>
      <c r="K155" s="35"/>
      <c r="L155" s="35"/>
      <c r="M155" s="35"/>
      <c r="N155" s="35"/>
      <c r="P155" s="13"/>
      <c r="R155" s="13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P155" s="14"/>
      <c r="AQ155" s="14"/>
      <c r="AR155" s="14"/>
    </row>
    <row r="156" ht="15.75" customHeight="1">
      <c r="A156" s="36"/>
      <c r="B156" s="132"/>
      <c r="C156" s="132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8"/>
      <c r="T156" s="128"/>
      <c r="U156" s="128"/>
      <c r="V156" s="128"/>
      <c r="W156" s="128"/>
      <c r="X156" s="128"/>
      <c r="AA156" s="133"/>
      <c r="AB156" s="128"/>
      <c r="AP156" s="14"/>
      <c r="AQ156" s="14"/>
      <c r="AR156" s="14"/>
    </row>
    <row r="157" ht="15.75" customHeight="1">
      <c r="A157" s="36"/>
      <c r="B157" s="132"/>
      <c r="C157" s="132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8"/>
      <c r="T157" s="128"/>
      <c r="U157" s="128"/>
      <c r="V157" s="128"/>
      <c r="W157" s="128"/>
      <c r="X157" s="128"/>
      <c r="AA157" s="133"/>
      <c r="AB157" s="128"/>
      <c r="AP157" s="14"/>
      <c r="AQ157" s="14"/>
      <c r="AR157" s="14"/>
    </row>
    <row r="158" ht="15.75" customHeight="1">
      <c r="A158" s="36"/>
      <c r="B158" s="132"/>
      <c r="C158" s="132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8"/>
      <c r="T158" s="128"/>
      <c r="U158" s="128"/>
      <c r="V158" s="128"/>
      <c r="W158" s="128"/>
      <c r="X158" s="128"/>
      <c r="AA158" s="133"/>
      <c r="AB158" s="128"/>
      <c r="AP158" s="14"/>
      <c r="AQ158" s="14"/>
      <c r="AR158" s="14"/>
    </row>
    <row r="159" ht="15.75" customHeight="1">
      <c r="A159" s="36"/>
      <c r="B159" s="132"/>
      <c r="C159" s="132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8"/>
      <c r="T159" s="128"/>
      <c r="U159" s="128"/>
      <c r="V159" s="128"/>
      <c r="W159" s="128"/>
      <c r="X159" s="128"/>
      <c r="AA159" s="133"/>
      <c r="AB159" s="128"/>
      <c r="AP159" s="14"/>
      <c r="AQ159" s="14"/>
      <c r="AR159" s="14"/>
    </row>
    <row r="160" ht="15.75" customHeight="1">
      <c r="A160" s="36"/>
      <c r="B160" s="132"/>
      <c r="C160" s="132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8"/>
      <c r="T160" s="128"/>
      <c r="U160" s="128"/>
      <c r="V160" s="128"/>
      <c r="W160" s="128"/>
      <c r="X160" s="128"/>
      <c r="AA160" s="133"/>
      <c r="AB160" s="128"/>
      <c r="AP160" s="14"/>
      <c r="AQ160" s="14"/>
      <c r="AR160" s="14"/>
    </row>
    <row r="161" ht="15.75" customHeight="1">
      <c r="A161" s="36"/>
      <c r="B161" s="132"/>
      <c r="C161" s="132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8"/>
      <c r="T161" s="128"/>
      <c r="U161" s="128"/>
      <c r="V161" s="128"/>
      <c r="W161" s="128"/>
      <c r="X161" s="128"/>
      <c r="AA161" s="133"/>
      <c r="AB161" s="128"/>
      <c r="AP161" s="14"/>
      <c r="AQ161" s="14"/>
      <c r="AR161" s="14"/>
    </row>
    <row r="162" ht="15.75" customHeight="1">
      <c r="A162" s="36"/>
      <c r="P162" s="13"/>
      <c r="R162" s="13"/>
      <c r="T162" s="13"/>
      <c r="V162" s="13"/>
      <c r="X162" s="13"/>
      <c r="AB162" s="128"/>
      <c r="AP162" s="14"/>
      <c r="AQ162" s="14"/>
      <c r="AR162" s="14"/>
    </row>
    <row r="163" ht="15.0" customHeight="1">
      <c r="A163" s="36"/>
      <c r="P163" s="13"/>
      <c r="R163" s="13"/>
      <c r="T163" s="13"/>
      <c r="V163" s="13"/>
      <c r="X163" s="13"/>
      <c r="AB163" s="36"/>
      <c r="AP163" s="14"/>
      <c r="AQ163" s="14"/>
      <c r="AR163" s="14"/>
    </row>
    <row r="164" ht="15.75" customHeight="1">
      <c r="A164" s="36"/>
      <c r="B164" s="134" t="s">
        <v>55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P164" s="14"/>
      <c r="AQ164" s="14"/>
      <c r="AR164" s="14"/>
    </row>
    <row r="165" ht="15.75" customHeight="1">
      <c r="A165" s="36"/>
      <c r="B165" s="124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P165" s="14"/>
      <c r="AQ165" s="14"/>
      <c r="AR165" s="14"/>
    </row>
    <row r="166" ht="15.75" customHeight="1">
      <c r="A166" s="36"/>
      <c r="B166" s="35"/>
      <c r="C166" s="35"/>
      <c r="D166" s="135"/>
      <c r="E166" s="135"/>
      <c r="F166" s="135"/>
      <c r="G166" s="135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P166" s="14"/>
      <c r="AQ166" s="14"/>
      <c r="AR166" s="14"/>
    </row>
    <row r="167" ht="15.75" customHeight="1">
      <c r="A167" s="36"/>
      <c r="B167" s="136"/>
      <c r="C167" s="136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P167" s="14"/>
      <c r="AQ167" s="14"/>
      <c r="AR167" s="14"/>
    </row>
    <row r="168" ht="15.75" customHeight="1">
      <c r="A168" s="36"/>
      <c r="B168" s="136"/>
      <c r="C168" s="136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P168" s="14"/>
      <c r="AQ168" s="14"/>
      <c r="AR168" s="14"/>
    </row>
    <row r="169" ht="15.75" customHeight="1">
      <c r="A169" s="36"/>
      <c r="B169" s="136"/>
      <c r="C169" s="136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P169" s="14"/>
      <c r="AQ169" s="14"/>
      <c r="AR169" s="14"/>
    </row>
    <row r="170" ht="15.75" customHeight="1">
      <c r="A170" s="36"/>
      <c r="B170" s="136"/>
      <c r="C170" s="136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P170" s="14"/>
      <c r="AQ170" s="14"/>
      <c r="AR170" s="14"/>
    </row>
    <row r="171" ht="15.75" customHeight="1">
      <c r="A171" s="36"/>
      <c r="B171" s="124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P171" s="14"/>
      <c r="AQ171" s="14"/>
      <c r="AR171" s="14"/>
    </row>
    <row r="172" ht="15.75" customHeight="1">
      <c r="A172" s="36"/>
      <c r="B172" s="35"/>
      <c r="C172" s="35"/>
      <c r="D172" s="135"/>
      <c r="E172" s="135"/>
      <c r="F172" s="135"/>
      <c r="G172" s="135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P172" s="14"/>
      <c r="AQ172" s="14"/>
      <c r="AR172" s="14"/>
    </row>
    <row r="173" ht="15.75" customHeight="1">
      <c r="A173" s="36"/>
      <c r="B173" s="136"/>
      <c r="C173" s="136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P173" s="14"/>
      <c r="AQ173" s="14"/>
      <c r="AR173" s="14"/>
    </row>
    <row r="174" ht="15.75" customHeight="1">
      <c r="A174" s="36"/>
      <c r="B174" s="136"/>
      <c r="C174" s="136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P174" s="14"/>
      <c r="AQ174" s="14"/>
      <c r="AR174" s="14"/>
    </row>
    <row r="175" ht="15.75" customHeight="1">
      <c r="A175" s="36"/>
      <c r="B175" s="136"/>
      <c r="C175" s="136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P175" s="14"/>
      <c r="AQ175" s="14"/>
      <c r="AR175" s="14"/>
    </row>
    <row r="176" ht="15.75" customHeight="1">
      <c r="A176" s="36"/>
      <c r="B176" s="136"/>
      <c r="C176" s="136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P176" s="14"/>
      <c r="AQ176" s="14"/>
      <c r="AR176" s="14"/>
    </row>
    <row r="177" ht="15.75" customHeight="1">
      <c r="A177" s="36"/>
      <c r="B177" s="124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P177" s="14"/>
      <c r="AQ177" s="14"/>
      <c r="AR177" s="14"/>
    </row>
    <row r="178" ht="15.75" customHeight="1">
      <c r="A178" s="36"/>
      <c r="B178" s="124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P178" s="14"/>
      <c r="AQ178" s="14"/>
      <c r="AR178" s="14"/>
    </row>
    <row r="179" ht="15.75" customHeight="1">
      <c r="A179" s="36"/>
      <c r="B179" s="124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P179" s="14"/>
      <c r="AQ179" s="14"/>
      <c r="AR179" s="14"/>
    </row>
    <row r="180" ht="15.75" customHeight="1">
      <c r="A180" s="36"/>
      <c r="B180" s="124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P180" s="14"/>
      <c r="AQ180" s="14"/>
      <c r="AR180" s="14"/>
    </row>
    <row r="181" ht="15.75" customHeight="1">
      <c r="A181" s="36"/>
      <c r="B181" s="124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P181" s="14"/>
      <c r="AQ181" s="14"/>
      <c r="AR181" s="14"/>
    </row>
    <row r="182" ht="15.75" customHeight="1">
      <c r="A182" s="36"/>
      <c r="B182" s="124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P182" s="14"/>
      <c r="AQ182" s="14"/>
      <c r="AR182" s="14"/>
    </row>
    <row r="183" ht="15.75" customHeight="1">
      <c r="A183" s="36"/>
      <c r="B183" s="124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P183" s="14"/>
      <c r="AQ183" s="14"/>
      <c r="AR183" s="14"/>
    </row>
    <row r="184" ht="15.75" customHeight="1">
      <c r="A184" s="36"/>
      <c r="B184" s="13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P184" s="14"/>
      <c r="AQ184" s="14"/>
      <c r="AR184" s="14"/>
    </row>
    <row r="185" ht="15.75" customHeight="1">
      <c r="A185" s="36"/>
      <c r="B185" s="124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P185" s="14"/>
      <c r="AQ185" s="14"/>
      <c r="AR185" s="14"/>
    </row>
    <row r="186" ht="29.25" customHeight="1">
      <c r="A186" s="36"/>
      <c r="B186" s="13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P186" s="14"/>
      <c r="AQ186" s="14"/>
      <c r="AR186" s="14"/>
    </row>
    <row r="187" ht="29.25" customHeight="1">
      <c r="A187" s="36"/>
      <c r="B187" s="5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P187" s="14"/>
      <c r="AQ187" s="14"/>
      <c r="AR187" s="14"/>
    </row>
    <row r="188" ht="30.0" customHeight="1">
      <c r="A188" s="36"/>
      <c r="B188" s="124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P188" s="14"/>
      <c r="AQ188" s="14"/>
      <c r="AR188" s="14"/>
    </row>
    <row r="189" ht="15.75" customHeight="1">
      <c r="A189" s="36"/>
      <c r="B189" s="56"/>
      <c r="C189" s="36"/>
      <c r="D189" s="125"/>
      <c r="E189" s="125"/>
      <c r="F189" s="125"/>
      <c r="G189" s="125"/>
      <c r="H189" s="125"/>
      <c r="I189" s="125"/>
      <c r="J189" s="12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P189" s="14"/>
      <c r="AQ189" s="14"/>
      <c r="AR189" s="14"/>
    </row>
    <row r="190" ht="15.75" customHeight="1">
      <c r="A190" s="13"/>
      <c r="B190" s="13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8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8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8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8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8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8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8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8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8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8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8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8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8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8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8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8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8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8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8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8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8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8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8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8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8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8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8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8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8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8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8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8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8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8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8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8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8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8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8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8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8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8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8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8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8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8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8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8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8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8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8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8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8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8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8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8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8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8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8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8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8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8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8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8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8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8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8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8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8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8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8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8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8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8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8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8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8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8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8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8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8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8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8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8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8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8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8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8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8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8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8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8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8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8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8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8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8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8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8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8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8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8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8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8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8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8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8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8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8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8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8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8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8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8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8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8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8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8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8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8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8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8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8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8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8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8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8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8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8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8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8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8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8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8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8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8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8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8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8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8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8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8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8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8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8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8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8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8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8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8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8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8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8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8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8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8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8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8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8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8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8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8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8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8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8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8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8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8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8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8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8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8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8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8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8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8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8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8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8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8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8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8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8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8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8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8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8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8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8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8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8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8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8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8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8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8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8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8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8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8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8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8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8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8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8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8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8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8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8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8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8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8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8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8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8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8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8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8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8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8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8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8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8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8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8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8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8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8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8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8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8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8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8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8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8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8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8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8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8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8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8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8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8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8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8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8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8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8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8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8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8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8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8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8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8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8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8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8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8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8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8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8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8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8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8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8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8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8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8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8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8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8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8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8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8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8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8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8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8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8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8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8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8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8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8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8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8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8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8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8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8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8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8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8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8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8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8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8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8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8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8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8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8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8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8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8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8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8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8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8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8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8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8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8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8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8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8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8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8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8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8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8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8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8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8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8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8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8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8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8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8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8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8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8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8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8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8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8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8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8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8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8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8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8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8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8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8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8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8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8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8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8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8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8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8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8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8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8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8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8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8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8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8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8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8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8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8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8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8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8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8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8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8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8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8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8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8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8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8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8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8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8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8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8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8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8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8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8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8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8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8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8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8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8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8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8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8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8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8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8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8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8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8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8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8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8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8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8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8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8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8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8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8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8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8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8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8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8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8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8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8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8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8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8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8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8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8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8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8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8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8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8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8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8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8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8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8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8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8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8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8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8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8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8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8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8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8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8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8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8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8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8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8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8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8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8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8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8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8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8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8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8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8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8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8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8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8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8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8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8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8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8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8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8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8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8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8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8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8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8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8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8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8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8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8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8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8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8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8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8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8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8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8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8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8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8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8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8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8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8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8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8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8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8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8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8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8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8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8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8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8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8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8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8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8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8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8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8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8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8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8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8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8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8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8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8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8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8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8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8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8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8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8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8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8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8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8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8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8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8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8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8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8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8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8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8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8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8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8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8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8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8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8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8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8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8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8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8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8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8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8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8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8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8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8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8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8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8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8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8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8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8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8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8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8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8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8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8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8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8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8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8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8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8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8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8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8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8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8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8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8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8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8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8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8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8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8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8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8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8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8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8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8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8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8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8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8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8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8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8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8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8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8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8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8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8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8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8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8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8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8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8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8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8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8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8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8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8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8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8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8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8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8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8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8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8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8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8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8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8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8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8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8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8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8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8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8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8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8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8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8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8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8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8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8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8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8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8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8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8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8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8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8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8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8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8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8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8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8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8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8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8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8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8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8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8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8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8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8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8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8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8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8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8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8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8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8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8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8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8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8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8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8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8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8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8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8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8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8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8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8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8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8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8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8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8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8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8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8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8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8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8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8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8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8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8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8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8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8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8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8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8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8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8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8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8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8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8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8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8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8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8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8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8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8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8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8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8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8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8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8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8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8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8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8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8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8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8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8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8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8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8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8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8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8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8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8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8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8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8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8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8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8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8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8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8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8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8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8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8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8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8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8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8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8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8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8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8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8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8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8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8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8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8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8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8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8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8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8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8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8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8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8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8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8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8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8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8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8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8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8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8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8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8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8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8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8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8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8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8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8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8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8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8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8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8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8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8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8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8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8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8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8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8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8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8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8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8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8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8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8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8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8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8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8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8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8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8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8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8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8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8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8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8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8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8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8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8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8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8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8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8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8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8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8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8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8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8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8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8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8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8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8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8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8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8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8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8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8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8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8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8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8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8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8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8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8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8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8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8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8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8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8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8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8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8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8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8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8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8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8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8"/>
      <c r="P1083" s="13"/>
      <c r="R1083" s="13"/>
      <c r="T1083" s="13"/>
      <c r="V1083" s="13"/>
      <c r="X1083" s="13"/>
      <c r="AP1083" s="14"/>
      <c r="AQ1083" s="14"/>
      <c r="AR1083" s="14"/>
    </row>
  </sheetData>
  <mergeCells count="47">
    <mergeCell ref="A5:C5"/>
    <mergeCell ref="B142:C142"/>
    <mergeCell ref="L142:N145"/>
    <mergeCell ref="P142:R145"/>
    <mergeCell ref="B164:G164"/>
    <mergeCell ref="T142:V145"/>
    <mergeCell ref="B143:C143"/>
    <mergeCell ref="B144:C144"/>
    <mergeCell ref="B145:C145"/>
    <mergeCell ref="A2:C3"/>
    <mergeCell ref="D2:Y2"/>
    <mergeCell ref="Z2:Z145"/>
    <mergeCell ref="D3:W3"/>
    <mergeCell ref="X3:X145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142:F145"/>
    <mergeCell ref="H142:J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