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definedNames/>
  <calcPr/>
  <extLst>
    <ext uri="GoogleSheetsCustomDataVersion2">
      <go:sheetsCustomData xmlns:go="http://customooxmlschemas.google.com/" r:id="rId5" roundtripDataChecksum="pujiSVpKYJU/us3uaERi0parrNqAmXggOFbXX88N2H0="/>
    </ext>
  </extLst>
</workbook>
</file>

<file path=xl/sharedStrings.xml><?xml version="1.0" encoding="utf-8"?>
<sst xmlns="http://schemas.openxmlformats.org/spreadsheetml/2006/main" count="210" uniqueCount="126">
  <si>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</si>
  <si>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</si>
  <si>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</si>
  <si>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</si>
  <si>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</si>
  <si>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</si>
  <si>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</si>
  <si>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</si>
  <si>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</si>
  <si>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</si>
  <si>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</si>
  <si>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</si>
  <si>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</si>
  <si>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</si>
  <si>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</si>
  <si>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</si>
  <si>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MODEL</t>
  </si>
  <si>
    <t>TOTAL (Normalized Score 20%)</t>
  </si>
  <si>
    <t>IA2</t>
  </si>
  <si>
    <t>UNIVERSITY GRADE</t>
  </si>
  <si>
    <t>KGiSL  INSTITUTE OF TECHNOLOGY, COIMBATORE - 641035</t>
  </si>
  <si>
    <t>ADITHYA R</t>
  </si>
  <si>
    <t>B+</t>
  </si>
  <si>
    <t>Course Code :</t>
  </si>
  <si>
    <t>C211 (CS8491)</t>
  </si>
  <si>
    <t>AGALYA R</t>
  </si>
  <si>
    <t>Course  Name :</t>
  </si>
  <si>
    <t>COMPUTER ARCHITECTURE</t>
  </si>
  <si>
    <t>AKSHAN T</t>
  </si>
  <si>
    <t>A</t>
  </si>
  <si>
    <t>Faculty Name :</t>
  </si>
  <si>
    <t xml:space="preserve">M.ANANTHI </t>
  </si>
  <si>
    <t>ANAND KUMAR S</t>
  </si>
  <si>
    <t>B</t>
  </si>
  <si>
    <t>Academic Year :</t>
  </si>
  <si>
    <t xml:space="preserve">2020 - 2021 (EVEN)   </t>
  </si>
  <si>
    <t>ANUSUYA G</t>
  </si>
  <si>
    <t>Class :</t>
  </si>
  <si>
    <t>B.TECH - IT (II YEAR)</t>
  </si>
  <si>
    <t>ARAVINTH L</t>
  </si>
  <si>
    <t>U</t>
  </si>
  <si>
    <t>Regulation :</t>
  </si>
  <si>
    <t>R2017 - AUC</t>
  </si>
  <si>
    <t>ARCHITHA A</t>
  </si>
  <si>
    <t>Department :</t>
  </si>
  <si>
    <t>INFORMATION TECHNOLOGY</t>
  </si>
  <si>
    <t>ARTHIKA V S</t>
  </si>
  <si>
    <t>BALASURYA S S</t>
  </si>
  <si>
    <t>ATTAINMENT LEVEL</t>
  </si>
  <si>
    <t>% of students scoring the expected marks</t>
  </si>
  <si>
    <t>BAVADHARNI T</t>
  </si>
  <si>
    <t>A+</t>
  </si>
  <si>
    <t>DEEPAK N</t>
  </si>
  <si>
    <t>DHANUSRI R</t>
  </si>
  <si>
    <t>Weightage</t>
  </si>
  <si>
    <t>OVERALL WEIGHTAGE IN CO'S</t>
  </si>
  <si>
    <t>DHARMARAJ G</t>
  </si>
  <si>
    <t>DINESH S</t>
  </si>
  <si>
    <t>GOKILA K</t>
  </si>
  <si>
    <t>Course End Survey</t>
  </si>
  <si>
    <t>GOKUL M S</t>
  </si>
  <si>
    <t>GOWTHAMRAJ V P</t>
  </si>
  <si>
    <t>CO NO</t>
  </si>
  <si>
    <t>ATT LEVEL</t>
  </si>
  <si>
    <t>HARI PRIYA C</t>
  </si>
  <si>
    <t>HARIPRIYA R</t>
  </si>
  <si>
    <t>C211.1</t>
  </si>
  <si>
    <t>INDHU R</t>
  </si>
  <si>
    <t>C211.2</t>
  </si>
  <si>
    <t>JEEVA H</t>
  </si>
  <si>
    <t>C211.3</t>
  </si>
  <si>
    <t>KANAGAPRIYA S</t>
  </si>
  <si>
    <t>C211.4</t>
  </si>
  <si>
    <t>KEERTHANA M</t>
  </si>
  <si>
    <t>C211.5</t>
  </si>
  <si>
    <t>KEERTHANA P</t>
  </si>
  <si>
    <t>KIRTHIK A</t>
  </si>
  <si>
    <t>KUBERA PRIJESH D</t>
  </si>
  <si>
    <t>LEODAS L</t>
  </si>
  <si>
    <t>MANOJ N</t>
  </si>
  <si>
    <t>NAREN KRISHNA N A G</t>
  </si>
  <si>
    <t>NISHA T</t>
  </si>
  <si>
    <t>NISSAN NAWAZ S A</t>
  </si>
  <si>
    <t>Indirect Tools</t>
  </si>
  <si>
    <t>NIZAR R</t>
  </si>
  <si>
    <t xml:space="preserve"> CO'S </t>
  </si>
  <si>
    <t>NOEL MATHEW CHERIAN</t>
  </si>
  <si>
    <t>Expected Proficiency Level</t>
  </si>
  <si>
    <t>PRAVIN KUMAR P</t>
  </si>
  <si>
    <t>No of Students Exp Prof Level</t>
  </si>
  <si>
    <t>PREM KUMAR A</t>
  </si>
  <si>
    <t>CO attainment  in %</t>
  </si>
  <si>
    <t>PUVIYARASU P</t>
  </si>
  <si>
    <t>CO attainment in levels</t>
  </si>
  <si>
    <t>RAGHUNATH N</t>
  </si>
  <si>
    <t>Indirect Attainment data is derived from the IQAC-issued Course End Survey, verified by the IQAC, and approved by the Principal.
The collected student survey data is consolidated and verified by the IQAC cell.</t>
  </si>
  <si>
    <t>RAHU RAM KRISHNA U</t>
  </si>
  <si>
    <t>RANJITH B</t>
  </si>
  <si>
    <t>RONESH CHRISTOPHER L</t>
  </si>
  <si>
    <t>SAKTHI SUDHARSINI S</t>
  </si>
  <si>
    <t>SAKTHIVEL S</t>
  </si>
  <si>
    <t>SAMUEL V</t>
  </si>
  <si>
    <t>SANTHIYA S</t>
  </si>
  <si>
    <t>SARAN S</t>
  </si>
  <si>
    <t>SARANYA S</t>
  </si>
  <si>
    <t>SATHISHKUMAR K</t>
  </si>
  <si>
    <t>SNEGHA SRI.R</t>
  </si>
  <si>
    <t>SNEHA C</t>
  </si>
  <si>
    <t>SNEHA NS</t>
  </si>
  <si>
    <t>SRINITHI A</t>
  </si>
  <si>
    <t>SRI RANGANATH M</t>
  </si>
  <si>
    <t>SRI SHREYA S</t>
  </si>
  <si>
    <t>SUDHAKAR N</t>
  </si>
  <si>
    <t>TAMILARASU V</t>
  </si>
  <si>
    <t>VAHINI G</t>
  </si>
  <si>
    <t>VENKATESH M</t>
  </si>
  <si>
    <t>VINITHA V</t>
  </si>
  <si>
    <t>VINOTHINI J</t>
  </si>
  <si>
    <t>VISHNU PRIYA C</t>
  </si>
  <si>
    <t>ARJUN B</t>
  </si>
  <si>
    <t>SIBIRAJ S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</si>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</sst>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color theme="1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  <font/>
    <font>
      <b/>
      <sz val="11.0"/>
      <color rgb="FF000000"/>
      <name val="Times New Roman"/>
    </font>
    <font>
      <sz val="11.0"/>
      <color theme="1"/>
      <name val="Times New Roman"/>
    </font>
    <font>
      <b/>
      <sz val="14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b/>
      <sz val="9.0"/>
      <color rgb="FF000000"/>
      <name val="Times New Roman"/>
    </font>
    <font>
      <sz val="12.0"/>
      <color rgb="FF000000"/>
      <name val="Times New Roman"/>
    </font>
    <font>
      <b/>
      <sz val="11.0"/>
      <color rgb="FFC00000"/>
      <name val="Times New Roman"/>
    </font>
    <font>
      <b/>
      <sz val="11.0"/>
      <color rgb="FF0070C0"/>
      <name val="Times New Roman"/>
    </font>
    <font>
      <b/>
      <sz val="12.0"/>
      <color rgb="FF0070C0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i/>
      <sz val="11.0"/>
      <color theme="1"/>
      <name val="Times New Roman"/>
    </font>
    <font>
      <sz val="12.0"/>
      <color theme="1"/>
      <name val="Times New Roman"/>
    </font>
    <font>
      <sz val="11.0"/>
      <color rgb="FFFF0000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2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4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Font="1"/>
    <xf borderId="0" fillId="0" fontId="6" numFmtId="0" xfId="0" applyAlignment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4" fillId="5" fontId="5" numFmtId="0" xfId="0" applyAlignment="1" applyBorder="1" applyFill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11" fillId="5" fontId="5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0" fillId="0" fontId="7" numFmtId="0" xfId="0" applyAlignment="1" applyFont="1">
      <alignment horizontal="center" vertical="center"/>
    </xf>
    <xf borderId="4" fillId="5" fontId="2" numFmtId="0" xfId="0" applyAlignment="1" applyBorder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11" fillId="6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vertical="center"/>
    </xf>
    <xf borderId="11" fillId="8" fontId="5" numFmtId="0" xfId="0" applyAlignment="1" applyBorder="1" applyFill="1" applyFont="1">
      <alignment horizontal="center" vertical="center"/>
    </xf>
    <xf borderId="11" fillId="9" fontId="5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9" numFmtId="0" xfId="0" applyFont="1"/>
    <xf borderId="11" fillId="0" fontId="2" numFmtId="0" xfId="0" applyAlignment="1" applyBorder="1" applyFont="1">
      <alignment horizontal="center" vertical="center"/>
    </xf>
    <xf borderId="11" fillId="10" fontId="2" numFmtId="0" xfId="0" applyAlignment="1" applyBorder="1" applyFill="1" applyFont="1">
      <alignment horizontal="center" shrinkToFit="0" textRotation="90" vertical="center" wrapText="1"/>
    </xf>
    <xf borderId="11" fillId="7" fontId="10" numFmtId="0" xfId="0" applyAlignment="1" applyBorder="1" applyFont="1">
      <alignment horizontal="center" shrinkToFit="0" textRotation="90" vertical="center" wrapText="1"/>
    </xf>
    <xf borderId="11" fillId="1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right" vertical="center"/>
    </xf>
    <xf borderId="11" fillId="0" fontId="3" numFmtId="0" xfId="0" applyAlignment="1" applyBorder="1" applyFont="1">
      <alignment horizontal="center" vertical="center"/>
    </xf>
    <xf borderId="11" fillId="0" fontId="11" numFmtId="1" xfId="0" applyAlignment="1" applyBorder="1" applyFont="1" applyNumberFormat="1">
      <alignment horizontal="center" shrinkToFit="0" vertical="center" wrapText="1"/>
    </xf>
    <xf borderId="11" fillId="0" fontId="11" numFmtId="0" xfId="0" applyAlignment="1" applyBorder="1" applyFont="1">
      <alignment horizontal="left" shrinkToFit="0" vertical="center" wrapText="1"/>
    </xf>
    <xf borderId="11" fillId="8" fontId="8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1" fillId="0" fontId="5" numFmtId="1" xfId="0" applyAlignment="1" applyBorder="1" applyFont="1" applyNumberFormat="1">
      <alignment horizontal="center" vertical="center"/>
    </xf>
    <xf borderId="0" fillId="0" fontId="9" numFmtId="1" xfId="0" applyAlignment="1" applyFont="1" applyNumberFormat="1">
      <alignment horizontal="center" vertical="center"/>
    </xf>
    <xf borderId="0" fillId="0" fontId="12" numFmtId="0" xfId="0" applyAlignment="1" applyFont="1">
      <alignment horizontal="right"/>
    </xf>
    <xf borderId="13" fillId="4" fontId="13" numFmtId="0" xfId="0" applyAlignment="1" applyBorder="1" applyFont="1">
      <alignment horizontal="left"/>
    </xf>
    <xf borderId="13" fillId="4" fontId="13" numFmtId="0" xfId="0" applyAlignment="1" applyBorder="1" applyFont="1">
      <alignment horizontal="left" readingOrder="0"/>
    </xf>
    <xf borderId="14" fillId="4" fontId="13" numFmtId="0" xfId="0" applyAlignment="1" applyBorder="1" applyFont="1">
      <alignment horizontal="left"/>
    </xf>
    <xf borderId="15" fillId="4" fontId="13" numFmtId="0" xfId="0" applyAlignment="1" applyBorder="1" applyFont="1">
      <alignment horizontal="left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0" numFmtId="0" xfId="0" applyFont="1"/>
    <xf borderId="16" fillId="11" fontId="14" numFmtId="0" xfId="0" applyAlignment="1" applyBorder="1" applyFill="1" applyFont="1">
      <alignment vertical="bottom"/>
    </xf>
    <xf borderId="16" fillId="11" fontId="15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17" fillId="12" fontId="5" numFmtId="1" xfId="0" applyAlignment="1" applyBorder="1" applyFill="1" applyFont="1" applyNumberFormat="1">
      <alignment vertical="center"/>
    </xf>
    <xf borderId="18" fillId="12" fontId="5" numFmtId="0" xfId="0" applyAlignment="1" applyBorder="1" applyFont="1">
      <alignment horizontal="left" vertical="center"/>
    </xf>
    <xf borderId="19" fillId="0" fontId="4" numFmtId="0" xfId="0" applyBorder="1" applyFont="1"/>
    <xf borderId="20" fillId="0" fontId="4" numFmtId="0" xfId="0" applyBorder="1" applyFont="1"/>
    <xf borderId="4" fillId="13" fontId="5" numFmtId="0" xfId="0" applyAlignment="1" applyBorder="1" applyFill="1" applyFont="1">
      <alignment horizontal="center" shrinkToFit="0" vertical="center" wrapText="1"/>
    </xf>
    <xf borderId="21" fillId="0" fontId="4" numFmtId="0" xfId="0" applyBorder="1" applyFont="1"/>
    <xf borderId="4" fillId="4" fontId="5" numFmtId="0" xfId="0" applyAlignment="1" applyBorder="1" applyFont="1">
      <alignment horizontal="center" shrinkToFit="0" vertical="center" wrapText="1"/>
    </xf>
    <xf borderId="17" fillId="8" fontId="5" numFmtId="9" xfId="0" applyAlignment="1" applyBorder="1" applyFont="1" applyNumberFormat="1">
      <alignment horizontal="center" vertical="center"/>
    </xf>
    <xf borderId="1" fillId="8" fontId="5" numFmtId="9" xfId="0" applyAlignment="1" applyBorder="1" applyFont="1" applyNumberForma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8" fontId="5" numFmtId="9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7" fillId="0" fontId="5" numFmtId="0" xfId="0" applyAlignment="1" applyBorder="1" applyFont="1">
      <alignment horizontal="center" shrinkToFit="0" vertical="center" wrapText="1"/>
    </xf>
    <xf borderId="0" fillId="0" fontId="6" numFmtId="2" xfId="0" applyAlignment="1" applyFont="1" applyNumberFormat="1">
      <alignment horizontal="center"/>
    </xf>
    <xf borderId="22" fillId="0" fontId="4" numFmtId="0" xfId="0" applyBorder="1" applyFont="1"/>
    <xf borderId="22" fillId="0" fontId="9" numFmtId="0" xfId="0" applyAlignment="1" applyBorder="1" applyFont="1">
      <alignment horizontal="center" vertical="center"/>
    </xf>
    <xf borderId="23" fillId="14" fontId="9" numFmtId="2" xfId="0" applyAlignment="1" applyBorder="1" applyFill="1" applyFont="1" applyNumberFormat="1">
      <alignment horizontal="center" vertical="center"/>
    </xf>
    <xf borderId="11" fillId="14" fontId="9" numFmtId="2" xfId="0" applyAlignment="1" applyBorder="1" applyFont="1" applyNumberFormat="1">
      <alignment horizontal="center" vertical="center"/>
    </xf>
    <xf borderId="11" fillId="14" fontId="6" numFmtId="2" xfId="0" applyAlignment="1" applyBorder="1" applyFont="1" applyNumberFormat="1">
      <alignment horizontal="center"/>
    </xf>
    <xf borderId="4" fillId="2" fontId="8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11" fillId="10" fontId="5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shrinkToFit="0" vertical="center" wrapText="1"/>
    </xf>
    <xf borderId="6" fillId="0" fontId="6" numFmtId="1" xfId="0" applyAlignment="1" applyBorder="1" applyFont="1" applyNumberFormat="1">
      <alignment horizontal="center" vertical="center"/>
    </xf>
    <xf borderId="24" fillId="10" fontId="5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6" fillId="0" fontId="4" numFmtId="0" xfId="0" applyBorder="1" applyFont="1"/>
    <xf borderId="27" fillId="14" fontId="9" numFmtId="1" xfId="0" applyAlignment="1" applyBorder="1" applyFont="1" applyNumberFormat="1">
      <alignment horizontal="center" vertical="center"/>
    </xf>
    <xf borderId="28" fillId="14" fontId="9" numFmtId="1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shrinkToFit="0" vertical="center" wrapText="1"/>
    </xf>
    <xf borderId="1" fillId="15" fontId="8" numFmtId="0" xfId="0" applyAlignment="1" applyBorder="1" applyFill="1" applyFont="1">
      <alignment horizontal="center" vertical="center"/>
    </xf>
    <xf borderId="11" fillId="7" fontId="5" numFmtId="1" xfId="0" applyAlignment="1" applyBorder="1" applyFont="1" applyNumberFormat="1">
      <alignment horizontal="center" vertical="center"/>
    </xf>
    <xf borderId="11" fillId="7" fontId="8" numFmtId="0" xfId="0" applyAlignment="1" applyBorder="1" applyFont="1">
      <alignment horizontal="center" shrinkToFit="0" vertical="center" wrapText="1"/>
    </xf>
    <xf borderId="11" fillId="5" fontId="9" numFmtId="1" xfId="0" applyAlignment="1" applyBorder="1" applyFont="1" applyNumberFormat="1">
      <alignment horizontal="center" vertical="center"/>
    </xf>
    <xf borderId="16" fillId="11" fontId="18" numFmtId="0" xfId="0" applyAlignment="1" applyBorder="1" applyFont="1">
      <alignment horizontal="center" vertical="center"/>
    </xf>
    <xf borderId="11" fillId="16" fontId="9" numFmtId="1" xfId="0" applyAlignment="1" applyBorder="1" applyFill="1" applyFont="1" applyNumberFormat="1">
      <alignment horizontal="center" vertical="center"/>
    </xf>
    <xf borderId="0" fillId="0" fontId="16" numFmtId="0" xfId="0" applyAlignment="1" applyFont="1">
      <alignment vertical="center"/>
    </xf>
    <xf borderId="0" fillId="0" fontId="16" numFmtId="0" xfId="0" applyFont="1"/>
    <xf borderId="11" fillId="14" fontId="9" numFmtId="1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6" numFmtId="0" xfId="0" applyAlignment="1" applyFont="1">
      <alignment vertical="top"/>
    </xf>
    <xf borderId="0" fillId="0" fontId="11" numFmtId="0" xfId="0" applyFont="1"/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shrinkToFit="0" wrapText="1"/>
    </xf>
    <xf borderId="0" fillId="0" fontId="6" numFmtId="1" xfId="0" applyAlignment="1" applyFont="1" applyNumberFormat="1">
      <alignment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left"/>
    </xf>
    <xf borderId="0" fillId="0" fontId="19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C211 -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'!$AB$25:$AB$29</c:f>
            </c:strRef>
          </c:cat>
          <c:val>
            <c:numRef>
              <c:f>'Theory Assessment '!$AC$25:$AC$29</c:f>
              <c:numCache/>
            </c:numRef>
          </c:val>
        </c:ser>
        <c:ser>
          <c:idx val="1"/>
          <c:order val="1"/>
          <c:cat>
            <c:strRef>
              <c:f>'Theory Assessment '!$AB$25:$AB$29</c:f>
            </c:strRef>
          </c:cat>
          <c:val>
            <c:numRef>
              <c:f>'Theory Assessment '!$AD$22:$AD$23</c:f>
              <c:numCache/>
            </c:numRef>
          </c:val>
        </c:ser>
        <c:ser>
          <c:idx val="2"/>
          <c:order val="2"/>
          <c:cat>
            <c:strRef>
              <c:f>'Theory Assessment '!$AB$25:$AB$29</c:f>
            </c:strRef>
          </c:cat>
          <c:val>
            <c:numRef>
              <c:f>'Theory Assessment '!$AE$22:$AE$23</c:f>
              <c:numCache/>
            </c:numRef>
          </c:val>
        </c:ser>
        <c:overlap val="100"/>
        <c:axId val="1842875373"/>
        <c:axId val="1126720891"/>
      </c:barChart>
      <c:catAx>
        <c:axId val="1842875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6720891"/>
      </c:catAx>
      <c:valAx>
        <c:axId val="112672089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4287537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209245584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3" width="4.71"/>
    <col customWidth="1" hidden="1" min="14" max="14" width="4.71"/>
    <col customWidth="1" min="15" max="17" width="4.71"/>
    <col customWidth="1" hidden="1" min="18" max="18" width="4.71"/>
    <col customWidth="1" min="19" max="20" width="4.71"/>
    <col customWidth="1" hidden="1" min="21" max="22" width="4.71"/>
    <col customWidth="1" min="23" max="24" width="4.71"/>
    <col customWidth="1" min="25" max="25" width="15.71"/>
    <col customWidth="1" min="26" max="27" width="4.71"/>
    <col customWidth="1" min="28" max="28" width="7.71"/>
    <col customWidth="1" min="29" max="29" width="9.0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4"/>
      <c r="AR1" s="5"/>
      <c r="AS1" s="1"/>
      <c r="AT1" s="1"/>
      <c r="AU1" s="1"/>
      <c r="AV1" s="1"/>
      <c r="AW1" s="1"/>
      <c r="AX1" s="1"/>
      <c r="AY1" s="1"/>
      <c r="AZ1" s="1"/>
    </row>
    <row r="2" ht="19.5" customHeight="1">
      <c r="A2" s="6" t="s">
        <v>0</v>
      </c>
      <c r="B2" s="7"/>
      <c r="C2" s="8"/>
      <c r="D2" s="9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/>
      <c r="Z2" s="12"/>
      <c r="AA2" s="13"/>
      <c r="AB2" s="13"/>
      <c r="AC2" s="1"/>
      <c r="AD2" s="14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5"/>
      <c r="AQ2" s="15"/>
      <c r="AR2" s="15"/>
      <c r="AS2" s="1"/>
      <c r="AT2" s="1"/>
      <c r="AU2" s="1"/>
      <c r="AV2" s="1"/>
      <c r="AW2" s="1"/>
      <c r="AX2" s="1"/>
      <c r="AY2" s="1"/>
      <c r="AZ2" s="1"/>
    </row>
    <row r="3" ht="30.0" customHeight="1">
      <c r="A3" s="16"/>
      <c r="B3" s="17"/>
      <c r="C3" s="18"/>
      <c r="D3" s="19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  <c r="X3" s="20"/>
      <c r="Y3" s="21" t="s">
        <v>3</v>
      </c>
      <c r="Z3" s="22"/>
      <c r="AA3" s="13"/>
      <c r="AB3" s="23"/>
      <c r="AR3" s="15"/>
      <c r="AS3" s="1"/>
      <c r="AT3" s="1"/>
      <c r="AU3" s="1"/>
      <c r="AV3" s="1"/>
      <c r="AW3" s="1"/>
      <c r="AX3" s="1"/>
      <c r="AY3" s="1"/>
      <c r="AZ3" s="1"/>
    </row>
    <row r="4" ht="15.0" customHeight="1">
      <c r="A4" s="24" t="s">
        <v>4</v>
      </c>
      <c r="B4" s="10"/>
      <c r="C4" s="11"/>
      <c r="D4" s="25" t="s">
        <v>5</v>
      </c>
      <c r="E4" s="10"/>
      <c r="F4" s="10"/>
      <c r="G4" s="11"/>
      <c r="H4" s="25" t="s">
        <v>6</v>
      </c>
      <c r="I4" s="10"/>
      <c r="J4" s="10"/>
      <c r="K4" s="11"/>
      <c r="L4" s="25" t="s">
        <v>7</v>
      </c>
      <c r="M4" s="10"/>
      <c r="N4" s="10"/>
      <c r="O4" s="11"/>
      <c r="P4" s="25" t="s">
        <v>8</v>
      </c>
      <c r="Q4" s="10"/>
      <c r="R4" s="10"/>
      <c r="S4" s="11"/>
      <c r="T4" s="25" t="s">
        <v>9</v>
      </c>
      <c r="U4" s="10"/>
      <c r="V4" s="10"/>
      <c r="W4" s="11"/>
      <c r="X4" s="22"/>
      <c r="Y4" s="26" t="s">
        <v>10</v>
      </c>
      <c r="Z4" s="22"/>
      <c r="AA4" s="13"/>
      <c r="AB4" s="27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ht="17.25" customHeight="1">
      <c r="A5" s="28" t="s">
        <v>11</v>
      </c>
      <c r="B5" s="10"/>
      <c r="C5" s="11"/>
      <c r="D5" s="29">
        <v>30.0</v>
      </c>
      <c r="E5" s="29">
        <v>17.0</v>
      </c>
      <c r="F5" s="29"/>
      <c r="G5" s="30">
        <v>20.0</v>
      </c>
      <c r="H5" s="29">
        <v>20.0</v>
      </c>
      <c r="I5" s="29">
        <v>17.0</v>
      </c>
      <c r="J5" s="29"/>
      <c r="K5" s="30">
        <v>20.0</v>
      </c>
      <c r="L5" s="29">
        <v>30.0</v>
      </c>
      <c r="M5" s="29">
        <v>17.0</v>
      </c>
      <c r="N5" s="29"/>
      <c r="O5" s="30">
        <v>20.0</v>
      </c>
      <c r="P5" s="29">
        <v>20.0</v>
      </c>
      <c r="Q5" s="29">
        <v>17.0</v>
      </c>
      <c r="R5" s="29"/>
      <c r="S5" s="30">
        <v>20.0</v>
      </c>
      <c r="T5" s="29">
        <v>32.0</v>
      </c>
      <c r="U5" s="29"/>
      <c r="V5" s="29"/>
      <c r="W5" s="30">
        <v>20.0</v>
      </c>
      <c r="X5" s="22"/>
      <c r="Y5" s="29">
        <v>100.0</v>
      </c>
      <c r="Z5" s="22"/>
      <c r="AA5" s="13"/>
      <c r="AB5" s="1"/>
      <c r="AC5" s="1"/>
      <c r="AD5" s="1"/>
      <c r="AE5" s="1"/>
      <c r="AF5" s="1"/>
      <c r="AG5" s="31"/>
      <c r="AH5" s="31"/>
      <c r="AI5" s="31"/>
      <c r="AJ5" s="32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ht="91.5" customHeight="1">
      <c r="A6" s="33" t="s">
        <v>12</v>
      </c>
      <c r="B6" s="33" t="s">
        <v>13</v>
      </c>
      <c r="C6" s="33" t="s">
        <v>14</v>
      </c>
      <c r="D6" s="34" t="s">
        <v>15</v>
      </c>
      <c r="E6" s="34" t="s">
        <v>16</v>
      </c>
      <c r="F6" s="34"/>
      <c r="G6" s="35" t="s">
        <v>17</v>
      </c>
      <c r="H6" s="34" t="s">
        <v>15</v>
      </c>
      <c r="I6" s="34" t="s">
        <v>16</v>
      </c>
      <c r="J6" s="34"/>
      <c r="K6" s="35" t="s">
        <v>17</v>
      </c>
      <c r="L6" s="34" t="s">
        <v>18</v>
      </c>
      <c r="M6" s="34" t="s">
        <v>16</v>
      </c>
      <c r="N6" s="34"/>
      <c r="O6" s="35" t="s">
        <v>17</v>
      </c>
      <c r="P6" s="34" t="s">
        <v>18</v>
      </c>
      <c r="Q6" s="34" t="s">
        <v>16</v>
      </c>
      <c r="R6" s="34"/>
      <c r="S6" s="35" t="s">
        <v>17</v>
      </c>
      <c r="T6" s="34" t="s">
        <v>16</v>
      </c>
      <c r="U6" s="34"/>
      <c r="V6" s="34"/>
      <c r="W6" s="35" t="s">
        <v>17</v>
      </c>
      <c r="X6" s="22"/>
      <c r="Y6" s="36" t="s">
        <v>19</v>
      </c>
      <c r="Z6" s="22"/>
      <c r="AA6" s="31"/>
      <c r="AB6" s="37" t="s">
        <v>20</v>
      </c>
      <c r="AR6" s="1"/>
      <c r="AS6" s="1"/>
      <c r="AT6" s="1"/>
      <c r="AU6" s="1"/>
      <c r="AV6" s="1"/>
      <c r="AW6" s="1"/>
      <c r="AX6" s="1"/>
      <c r="AY6" s="1"/>
      <c r="AZ6" s="1"/>
    </row>
    <row r="7" ht="16.5" customHeight="1">
      <c r="A7" s="38">
        <v>1.0</v>
      </c>
      <c r="B7" s="39">
        <v>7.11719205002E11</v>
      </c>
      <c r="C7" s="40" t="s">
        <v>21</v>
      </c>
      <c r="D7" s="41">
        <v>26.0</v>
      </c>
      <c r="E7" s="41">
        <v>17.0</v>
      </c>
      <c r="F7" s="42"/>
      <c r="G7" s="43">
        <f t="shared" ref="G7:G68" si="1">IFERROR(ROUND((SUM(D7:F7)/SUM(D$5:F$5))*G$5,0),0)</f>
        <v>18</v>
      </c>
      <c r="H7" s="41">
        <v>12.0</v>
      </c>
      <c r="I7" s="41">
        <v>15.0</v>
      </c>
      <c r="J7" s="42"/>
      <c r="K7" s="43">
        <f t="shared" ref="K7:K68" si="2">IFERROR(ROUND((SUM(H7:J7)/SUM(H$5:J$5))*K$5,0),0)</f>
        <v>15</v>
      </c>
      <c r="L7" s="41">
        <v>18.0</v>
      </c>
      <c r="M7" s="41">
        <v>17.0</v>
      </c>
      <c r="N7" s="41"/>
      <c r="O7" s="43">
        <f t="shared" ref="O7:O68" si="3">IFERROR(ROUND((SUM(L7:N7)/SUM(L$5:N$5))*O$5,0),0)</f>
        <v>15</v>
      </c>
      <c r="P7" s="29">
        <v>14.0</v>
      </c>
      <c r="Q7" s="29">
        <v>14.0</v>
      </c>
      <c r="R7" s="41"/>
      <c r="S7" s="43">
        <f t="shared" ref="S7:S68" si="4">IFERROR(ROUND((SUM(P7:R7)/SUM(P$5:R$5))*S$5,0),0)</f>
        <v>15</v>
      </c>
      <c r="T7" s="29">
        <v>27.0</v>
      </c>
      <c r="U7" s="29"/>
      <c r="V7" s="41"/>
      <c r="W7" s="43">
        <f t="shared" ref="W7:W68" si="5">IFERROR(ROUND((SUM(T7:V7)/SUM(T$5:V$5))*W$5,0),0)</f>
        <v>17</v>
      </c>
      <c r="X7" s="22"/>
      <c r="Y7" s="41" t="s">
        <v>22</v>
      </c>
      <c r="Z7" s="22"/>
      <c r="AA7" s="44"/>
      <c r="AB7" s="14"/>
      <c r="AC7" s="45" t="s">
        <v>23</v>
      </c>
      <c r="AD7" s="46"/>
      <c r="AE7" s="47" t="s">
        <v>24</v>
      </c>
      <c r="AF7" s="48"/>
      <c r="AG7" s="48"/>
      <c r="AH7" s="48"/>
      <c r="AI7" s="49"/>
      <c r="AJ7" s="14"/>
      <c r="AK7" s="14"/>
      <c r="AL7" s="14"/>
      <c r="AM7" s="14"/>
      <c r="AN7" s="14"/>
      <c r="AO7" s="50"/>
      <c r="AP7" s="51"/>
      <c r="AQ7" s="32"/>
      <c r="AR7" s="32"/>
      <c r="AS7" s="32"/>
      <c r="AT7" s="32"/>
      <c r="AU7" s="32"/>
      <c r="AV7" s="32"/>
      <c r="AW7" s="32"/>
      <c r="AX7" s="32"/>
      <c r="AY7" s="32"/>
      <c r="AZ7" s="32"/>
    </row>
    <row r="8" ht="16.5" customHeight="1">
      <c r="A8" s="38">
        <v>2.0</v>
      </c>
      <c r="B8" s="39">
        <v>7.11719205003E11</v>
      </c>
      <c r="C8" s="40" t="s">
        <v>25</v>
      </c>
      <c r="D8" s="41">
        <v>25.0</v>
      </c>
      <c r="E8" s="41">
        <v>14.0</v>
      </c>
      <c r="F8" s="42"/>
      <c r="G8" s="43">
        <f t="shared" si="1"/>
        <v>17</v>
      </c>
      <c r="H8" s="41">
        <v>20.0</v>
      </c>
      <c r="I8" s="41">
        <v>16.0</v>
      </c>
      <c r="J8" s="42"/>
      <c r="K8" s="43">
        <f t="shared" si="2"/>
        <v>19</v>
      </c>
      <c r="L8" s="41">
        <v>28.0</v>
      </c>
      <c r="M8" s="41">
        <v>14.0</v>
      </c>
      <c r="N8" s="41"/>
      <c r="O8" s="43">
        <f t="shared" si="3"/>
        <v>18</v>
      </c>
      <c r="P8" s="29">
        <v>4.0</v>
      </c>
      <c r="Q8" s="29">
        <v>13.0</v>
      </c>
      <c r="R8" s="41"/>
      <c r="S8" s="43">
        <f t="shared" si="4"/>
        <v>9</v>
      </c>
      <c r="T8" s="29">
        <v>27.0</v>
      </c>
      <c r="U8" s="29"/>
      <c r="V8" s="41"/>
      <c r="W8" s="43">
        <f t="shared" si="5"/>
        <v>17</v>
      </c>
      <c r="X8" s="22"/>
      <c r="Y8" s="41" t="s">
        <v>22</v>
      </c>
      <c r="Z8" s="22"/>
      <c r="AA8" s="44"/>
      <c r="AB8" s="14"/>
      <c r="AC8" s="45" t="s">
        <v>26</v>
      </c>
      <c r="AD8" s="46"/>
      <c r="AE8" s="46" t="s">
        <v>27</v>
      </c>
      <c r="AF8" s="48"/>
      <c r="AG8" s="48"/>
      <c r="AH8" s="48"/>
      <c r="AI8" s="48"/>
      <c r="AJ8" s="49"/>
      <c r="AK8" s="14"/>
      <c r="AL8" s="14"/>
      <c r="AM8" s="14"/>
      <c r="AN8" s="14"/>
      <c r="AO8" s="14"/>
      <c r="AP8" s="14"/>
      <c r="AQ8" s="14"/>
      <c r="AR8" s="1"/>
      <c r="AS8" s="1"/>
      <c r="AT8" s="1"/>
      <c r="AU8" s="1"/>
      <c r="AV8" s="1"/>
      <c r="AW8" s="1"/>
      <c r="AX8" s="1"/>
      <c r="AY8" s="1"/>
      <c r="AZ8" s="1"/>
    </row>
    <row r="9" ht="16.5" customHeight="1">
      <c r="A9" s="38">
        <v>3.0</v>
      </c>
      <c r="B9" s="39">
        <v>7.11719205004E11</v>
      </c>
      <c r="C9" s="40" t="s">
        <v>28</v>
      </c>
      <c r="D9" s="41">
        <v>30.0</v>
      </c>
      <c r="E9" s="41">
        <v>12.0</v>
      </c>
      <c r="F9" s="42"/>
      <c r="G9" s="43">
        <f t="shared" si="1"/>
        <v>18</v>
      </c>
      <c r="H9" s="41">
        <v>20.0</v>
      </c>
      <c r="I9" s="41">
        <v>15.0</v>
      </c>
      <c r="J9" s="42"/>
      <c r="K9" s="43">
        <f t="shared" si="2"/>
        <v>19</v>
      </c>
      <c r="L9" s="41">
        <v>29.0</v>
      </c>
      <c r="M9" s="41">
        <v>17.0</v>
      </c>
      <c r="N9" s="41"/>
      <c r="O9" s="43">
        <f t="shared" si="3"/>
        <v>20</v>
      </c>
      <c r="P9" s="29">
        <v>7.0</v>
      </c>
      <c r="Q9" s="29">
        <v>16.0</v>
      </c>
      <c r="R9" s="41"/>
      <c r="S9" s="43">
        <f t="shared" si="4"/>
        <v>12</v>
      </c>
      <c r="T9" s="29">
        <v>18.0</v>
      </c>
      <c r="U9" s="29"/>
      <c r="V9" s="41"/>
      <c r="W9" s="43">
        <f t="shared" si="5"/>
        <v>11</v>
      </c>
      <c r="X9" s="22"/>
      <c r="Y9" s="41" t="s">
        <v>29</v>
      </c>
      <c r="Z9" s="22"/>
      <c r="AA9" s="44"/>
      <c r="AB9" s="14"/>
      <c r="AC9" s="45" t="s">
        <v>30</v>
      </c>
      <c r="AD9" s="52"/>
      <c r="AE9" s="46" t="s">
        <v>31</v>
      </c>
      <c r="AF9" s="48"/>
      <c r="AG9" s="48"/>
      <c r="AH9" s="49"/>
      <c r="AI9" s="14"/>
      <c r="AJ9" s="14"/>
      <c r="AK9" s="14"/>
      <c r="AL9" s="14"/>
      <c r="AM9" s="14"/>
      <c r="AN9" s="14"/>
      <c r="AO9" s="14"/>
      <c r="AP9" s="14"/>
      <c r="AQ9" s="14"/>
      <c r="AR9" s="1"/>
      <c r="AS9" s="1"/>
      <c r="AT9" s="1"/>
      <c r="AU9" s="1"/>
      <c r="AV9" s="1"/>
      <c r="AW9" s="1"/>
      <c r="AX9" s="1"/>
      <c r="AY9" s="1"/>
      <c r="AZ9" s="1"/>
    </row>
    <row r="10" ht="16.5" customHeight="1">
      <c r="A10" s="38">
        <v>4.0</v>
      </c>
      <c r="B10" s="39">
        <v>7.11719205005E11</v>
      </c>
      <c r="C10" s="40" t="s">
        <v>32</v>
      </c>
      <c r="D10" s="41">
        <v>22.0</v>
      </c>
      <c r="E10" s="41">
        <v>12.0</v>
      </c>
      <c r="F10" s="42"/>
      <c r="G10" s="43">
        <f t="shared" si="1"/>
        <v>14</v>
      </c>
      <c r="H10" s="41">
        <v>12.0</v>
      </c>
      <c r="I10" s="41">
        <v>11.0</v>
      </c>
      <c r="J10" s="42"/>
      <c r="K10" s="43">
        <f t="shared" si="2"/>
        <v>12</v>
      </c>
      <c r="L10" s="41">
        <v>11.0</v>
      </c>
      <c r="M10" s="41">
        <v>9.0</v>
      </c>
      <c r="N10" s="41"/>
      <c r="O10" s="43">
        <f t="shared" si="3"/>
        <v>9</v>
      </c>
      <c r="P10" s="29">
        <v>14.0</v>
      </c>
      <c r="Q10" s="29">
        <v>13.0</v>
      </c>
      <c r="R10" s="41"/>
      <c r="S10" s="43">
        <f t="shared" si="4"/>
        <v>15</v>
      </c>
      <c r="T10" s="29">
        <v>25.0</v>
      </c>
      <c r="U10" s="29"/>
      <c r="V10" s="41"/>
      <c r="W10" s="43">
        <f t="shared" si="5"/>
        <v>16</v>
      </c>
      <c r="X10" s="22"/>
      <c r="Y10" s="41" t="s">
        <v>33</v>
      </c>
      <c r="Z10" s="22"/>
      <c r="AA10" s="44"/>
      <c r="AB10" s="14"/>
      <c r="AC10" s="45" t="s">
        <v>34</v>
      </c>
      <c r="AD10" s="52"/>
      <c r="AE10" s="53" t="s">
        <v>35</v>
      </c>
      <c r="AF10" s="48"/>
      <c r="AG10" s="48"/>
      <c r="AH10" s="49"/>
      <c r="AI10" s="14"/>
      <c r="AJ10" s="14"/>
      <c r="AK10" s="14"/>
      <c r="AL10" s="14"/>
      <c r="AM10" s="14"/>
      <c r="AN10" s="14"/>
      <c r="AO10" s="14"/>
      <c r="AP10" s="14"/>
      <c r="AQ10" s="14"/>
      <c r="AR10" s="1"/>
      <c r="AS10" s="1"/>
      <c r="AT10" s="1"/>
      <c r="AU10" s="1"/>
      <c r="AV10" s="1"/>
      <c r="AW10" s="1"/>
      <c r="AX10" s="1"/>
      <c r="AY10" s="1"/>
      <c r="AZ10" s="1"/>
    </row>
    <row r="11" ht="16.5" customHeight="1">
      <c r="A11" s="38">
        <v>5.0</v>
      </c>
      <c r="B11" s="39">
        <v>7.11719205006E11</v>
      </c>
      <c r="C11" s="40" t="s">
        <v>36</v>
      </c>
      <c r="D11" s="41">
        <v>27.0</v>
      </c>
      <c r="E11" s="41">
        <v>16.0</v>
      </c>
      <c r="F11" s="42"/>
      <c r="G11" s="43">
        <f t="shared" si="1"/>
        <v>18</v>
      </c>
      <c r="H11" s="41">
        <v>12.0</v>
      </c>
      <c r="I11" s="41">
        <v>13.0</v>
      </c>
      <c r="J11" s="42"/>
      <c r="K11" s="43">
        <f t="shared" si="2"/>
        <v>14</v>
      </c>
      <c r="L11" s="41">
        <v>30.0</v>
      </c>
      <c r="M11" s="41">
        <v>17.0</v>
      </c>
      <c r="N11" s="41"/>
      <c r="O11" s="43">
        <f t="shared" si="3"/>
        <v>20</v>
      </c>
      <c r="P11" s="29">
        <v>6.0</v>
      </c>
      <c r="Q11" s="29">
        <v>16.0</v>
      </c>
      <c r="R11" s="41"/>
      <c r="S11" s="43">
        <f t="shared" si="4"/>
        <v>12</v>
      </c>
      <c r="T11" s="29">
        <v>30.0</v>
      </c>
      <c r="U11" s="29"/>
      <c r="V11" s="41"/>
      <c r="W11" s="43">
        <f t="shared" si="5"/>
        <v>19</v>
      </c>
      <c r="X11" s="22"/>
      <c r="Y11" s="41" t="s">
        <v>29</v>
      </c>
      <c r="Z11" s="22"/>
      <c r="AA11" s="44"/>
      <c r="AB11" s="14"/>
      <c r="AC11" s="45" t="s">
        <v>37</v>
      </c>
      <c r="AD11" s="52"/>
      <c r="AE11" s="53" t="s">
        <v>38</v>
      </c>
      <c r="AF11" s="48"/>
      <c r="AG11" s="48"/>
      <c r="AH11" s="48"/>
      <c r="AI11" s="49"/>
      <c r="AJ11" s="14"/>
      <c r="AK11" s="14"/>
      <c r="AL11" s="14"/>
      <c r="AM11" s="14"/>
      <c r="AN11" s="14"/>
      <c r="AO11" s="14"/>
      <c r="AP11" s="14"/>
      <c r="AQ11" s="14"/>
      <c r="AR11" s="1"/>
      <c r="AS11" s="1"/>
      <c r="AT11" s="1"/>
      <c r="AU11" s="1"/>
      <c r="AV11" s="1"/>
      <c r="AW11" s="1"/>
      <c r="AX11" s="1"/>
      <c r="AY11" s="1"/>
      <c r="AZ11" s="1"/>
    </row>
    <row r="12" ht="16.5" customHeight="1">
      <c r="A12" s="38">
        <v>6.0</v>
      </c>
      <c r="B12" s="39">
        <v>7.11719205007E11</v>
      </c>
      <c r="C12" s="40" t="s">
        <v>39</v>
      </c>
      <c r="D12" s="41">
        <v>26.0</v>
      </c>
      <c r="E12" s="41">
        <v>11.0</v>
      </c>
      <c r="F12" s="42"/>
      <c r="G12" s="43">
        <f t="shared" si="1"/>
        <v>16</v>
      </c>
      <c r="H12" s="41">
        <v>9.0</v>
      </c>
      <c r="I12" s="41">
        <v>9.0</v>
      </c>
      <c r="J12" s="42"/>
      <c r="K12" s="43">
        <f t="shared" si="2"/>
        <v>10</v>
      </c>
      <c r="L12" s="41">
        <v>15.0</v>
      </c>
      <c r="M12" s="41">
        <v>13.0</v>
      </c>
      <c r="N12" s="41"/>
      <c r="O12" s="43">
        <f t="shared" si="3"/>
        <v>12</v>
      </c>
      <c r="P12" s="29">
        <v>10.0</v>
      </c>
      <c r="Q12" s="29">
        <v>10.0</v>
      </c>
      <c r="R12" s="41"/>
      <c r="S12" s="43">
        <f t="shared" si="4"/>
        <v>11</v>
      </c>
      <c r="T12" s="29">
        <v>27.0</v>
      </c>
      <c r="U12" s="29"/>
      <c r="V12" s="41"/>
      <c r="W12" s="43">
        <f t="shared" si="5"/>
        <v>17</v>
      </c>
      <c r="X12" s="22"/>
      <c r="Y12" s="41" t="s">
        <v>40</v>
      </c>
      <c r="Z12" s="22"/>
      <c r="AA12" s="44"/>
      <c r="AB12" s="14"/>
      <c r="AC12" s="45" t="s">
        <v>41</v>
      </c>
      <c r="AD12" s="52"/>
      <c r="AE12" s="53" t="s">
        <v>42</v>
      </c>
      <c r="AF12" s="48"/>
      <c r="AG12" s="48"/>
      <c r="AH12" s="49"/>
      <c r="AI12" s="14"/>
      <c r="AJ12" s="14"/>
      <c r="AK12" s="14"/>
      <c r="AL12" s="14"/>
      <c r="AM12" s="14"/>
      <c r="AN12" s="14"/>
      <c r="AO12" s="54"/>
      <c r="AP12" s="4"/>
      <c r="AQ12" s="4"/>
      <c r="AR12" s="15"/>
      <c r="AS12" s="1"/>
      <c r="AT12" s="1"/>
      <c r="AU12" s="1"/>
      <c r="AV12" s="1"/>
      <c r="AW12" s="1"/>
      <c r="AX12" s="1"/>
      <c r="AY12" s="1"/>
      <c r="AZ12" s="1"/>
    </row>
    <row r="13" ht="16.5" customHeight="1">
      <c r="A13" s="38">
        <v>7.0</v>
      </c>
      <c r="B13" s="39">
        <v>7.11719205008E11</v>
      </c>
      <c r="C13" s="40" t="s">
        <v>43</v>
      </c>
      <c r="D13" s="41">
        <v>21.0</v>
      </c>
      <c r="E13" s="41">
        <v>10.0</v>
      </c>
      <c r="F13" s="42"/>
      <c r="G13" s="43">
        <f t="shared" si="1"/>
        <v>13</v>
      </c>
      <c r="H13" s="41">
        <v>15.0</v>
      </c>
      <c r="I13" s="41">
        <v>16.0</v>
      </c>
      <c r="J13" s="42"/>
      <c r="K13" s="43">
        <f t="shared" si="2"/>
        <v>17</v>
      </c>
      <c r="L13" s="41">
        <v>17.0</v>
      </c>
      <c r="M13" s="41">
        <v>16.0</v>
      </c>
      <c r="N13" s="41"/>
      <c r="O13" s="43">
        <f t="shared" si="3"/>
        <v>14</v>
      </c>
      <c r="P13" s="29">
        <v>17.0</v>
      </c>
      <c r="Q13" s="29">
        <v>11.0</v>
      </c>
      <c r="R13" s="41"/>
      <c r="S13" s="43">
        <f t="shared" si="4"/>
        <v>15</v>
      </c>
      <c r="T13" s="29">
        <v>27.0</v>
      </c>
      <c r="U13" s="29"/>
      <c r="V13" s="41"/>
      <c r="W13" s="43">
        <f t="shared" si="5"/>
        <v>17</v>
      </c>
      <c r="X13" s="22"/>
      <c r="Y13" s="41" t="s">
        <v>29</v>
      </c>
      <c r="Z13" s="22"/>
      <c r="AA13" s="44"/>
      <c r="AB13" s="14"/>
      <c r="AC13" s="45" t="s">
        <v>44</v>
      </c>
      <c r="AD13" s="52"/>
      <c r="AE13" s="53" t="s">
        <v>45</v>
      </c>
      <c r="AF13" s="48"/>
      <c r="AG13" s="48"/>
      <c r="AH13" s="49"/>
      <c r="AI13" s="14"/>
      <c r="AJ13" s="14"/>
      <c r="AK13" s="14"/>
      <c r="AL13" s="14"/>
      <c r="AM13" s="14"/>
      <c r="AN13" s="14"/>
      <c r="AO13" s="54"/>
      <c r="AP13" s="4"/>
      <c r="AQ13" s="4"/>
      <c r="AR13" s="15"/>
      <c r="AS13" s="1"/>
      <c r="AT13" s="1"/>
      <c r="AU13" s="1"/>
      <c r="AV13" s="1"/>
      <c r="AW13" s="1"/>
      <c r="AX13" s="1"/>
      <c r="AY13" s="1"/>
      <c r="AZ13" s="1"/>
    </row>
    <row r="14" ht="16.5" customHeight="1">
      <c r="A14" s="38">
        <v>8.0</v>
      </c>
      <c r="B14" s="39">
        <v>7.11719205009E11</v>
      </c>
      <c r="C14" s="40" t="s">
        <v>46</v>
      </c>
      <c r="D14" s="41">
        <v>25.0</v>
      </c>
      <c r="E14" s="41">
        <v>11.0</v>
      </c>
      <c r="F14" s="42"/>
      <c r="G14" s="43">
        <f t="shared" si="1"/>
        <v>15</v>
      </c>
      <c r="H14" s="41">
        <v>19.0</v>
      </c>
      <c r="I14" s="41">
        <v>11.0</v>
      </c>
      <c r="J14" s="42"/>
      <c r="K14" s="43">
        <f t="shared" si="2"/>
        <v>16</v>
      </c>
      <c r="L14" s="41">
        <v>26.0</v>
      </c>
      <c r="M14" s="41">
        <v>17.0</v>
      </c>
      <c r="N14" s="41"/>
      <c r="O14" s="43">
        <f t="shared" si="3"/>
        <v>18</v>
      </c>
      <c r="P14" s="29">
        <v>9.0</v>
      </c>
      <c r="Q14" s="29">
        <v>12.0</v>
      </c>
      <c r="R14" s="41"/>
      <c r="S14" s="43">
        <f t="shared" si="4"/>
        <v>11</v>
      </c>
      <c r="T14" s="29">
        <v>29.0</v>
      </c>
      <c r="U14" s="29"/>
      <c r="V14" s="41"/>
      <c r="W14" s="43">
        <f t="shared" si="5"/>
        <v>18</v>
      </c>
      <c r="X14" s="22"/>
      <c r="Y14" s="41" t="s">
        <v>29</v>
      </c>
      <c r="Z14" s="22"/>
      <c r="AA14" s="44"/>
      <c r="AB14" s="44"/>
      <c r="AC14" s="44"/>
      <c r="AD14" s="44"/>
      <c r="AE14" s="44"/>
      <c r="AF14" s="14"/>
      <c r="AG14" s="14"/>
      <c r="AH14" s="55"/>
      <c r="AI14" s="55"/>
      <c r="AJ14" s="56"/>
      <c r="AK14" s="57"/>
      <c r="AL14" s="57"/>
      <c r="AM14" s="57"/>
      <c r="AN14" s="57"/>
      <c r="AO14" s="54"/>
      <c r="AP14" s="4"/>
      <c r="AQ14" s="4"/>
      <c r="AR14" s="15"/>
      <c r="AS14" s="1"/>
      <c r="AT14" s="1"/>
      <c r="AU14" s="1"/>
      <c r="AV14" s="1"/>
      <c r="AW14" s="1"/>
      <c r="AX14" s="1"/>
      <c r="AY14" s="1"/>
      <c r="AZ14" s="1"/>
    </row>
    <row r="15" ht="16.5" customHeight="1">
      <c r="A15" s="38">
        <v>9.0</v>
      </c>
      <c r="B15" s="39">
        <v>7.1171920501E11</v>
      </c>
      <c r="C15" s="40" t="s">
        <v>47</v>
      </c>
      <c r="D15" s="41">
        <v>18.0</v>
      </c>
      <c r="E15" s="41">
        <v>14.0</v>
      </c>
      <c r="F15" s="42"/>
      <c r="G15" s="43">
        <f t="shared" si="1"/>
        <v>14</v>
      </c>
      <c r="H15" s="41">
        <v>18.0</v>
      </c>
      <c r="I15" s="41">
        <v>17.0</v>
      </c>
      <c r="J15" s="42"/>
      <c r="K15" s="43">
        <f t="shared" si="2"/>
        <v>19</v>
      </c>
      <c r="L15" s="41">
        <v>16.0</v>
      </c>
      <c r="M15" s="41">
        <v>15.0</v>
      </c>
      <c r="N15" s="41"/>
      <c r="O15" s="43">
        <f t="shared" si="3"/>
        <v>13</v>
      </c>
      <c r="P15" s="29">
        <v>17.0</v>
      </c>
      <c r="Q15" s="29">
        <v>13.0</v>
      </c>
      <c r="R15" s="41"/>
      <c r="S15" s="43">
        <f t="shared" si="4"/>
        <v>16</v>
      </c>
      <c r="T15" s="29">
        <v>17.0</v>
      </c>
      <c r="U15" s="29"/>
      <c r="V15" s="41"/>
      <c r="W15" s="43">
        <f t="shared" si="5"/>
        <v>11</v>
      </c>
      <c r="X15" s="22"/>
      <c r="Y15" s="41" t="s">
        <v>22</v>
      </c>
      <c r="Z15" s="22"/>
      <c r="AA15" s="44"/>
      <c r="AB15" s="58" t="s">
        <v>48</v>
      </c>
      <c r="AC15" s="8"/>
      <c r="AD15" s="59">
        <v>1.0</v>
      </c>
      <c r="AE15" s="60">
        <v>50.0</v>
      </c>
      <c r="AF15" s="61" t="s">
        <v>49</v>
      </c>
      <c r="AG15" s="10"/>
      <c r="AH15" s="10"/>
      <c r="AI15" s="10"/>
      <c r="AJ15" s="10"/>
      <c r="AK15" s="10"/>
      <c r="AL15" s="10"/>
      <c r="AM15" s="10"/>
      <c r="AN15" s="10"/>
      <c r="AO15" s="11"/>
      <c r="AP15" s="4"/>
      <c r="AQ15" s="4"/>
      <c r="AR15" s="15"/>
      <c r="AS15" s="1"/>
      <c r="AT15" s="1"/>
      <c r="AU15" s="1"/>
      <c r="AV15" s="1"/>
      <c r="AW15" s="1"/>
      <c r="AX15" s="1"/>
      <c r="AY15" s="1"/>
      <c r="AZ15" s="1"/>
    </row>
    <row r="16" ht="16.5" customHeight="1">
      <c r="A16" s="38">
        <v>10.0</v>
      </c>
      <c r="B16" s="39">
        <v>7.11719205011E11</v>
      </c>
      <c r="C16" s="40" t="s">
        <v>50</v>
      </c>
      <c r="D16" s="41">
        <v>30.0</v>
      </c>
      <c r="E16" s="41">
        <v>16.0</v>
      </c>
      <c r="F16" s="42"/>
      <c r="G16" s="43">
        <f t="shared" si="1"/>
        <v>20</v>
      </c>
      <c r="H16" s="41">
        <v>20.0</v>
      </c>
      <c r="I16" s="41">
        <v>13.0</v>
      </c>
      <c r="J16" s="42"/>
      <c r="K16" s="43">
        <f t="shared" si="2"/>
        <v>18</v>
      </c>
      <c r="L16" s="41">
        <v>19.0</v>
      </c>
      <c r="M16" s="41">
        <v>13.0</v>
      </c>
      <c r="N16" s="41"/>
      <c r="O16" s="43">
        <f t="shared" si="3"/>
        <v>14</v>
      </c>
      <c r="P16" s="29">
        <v>18.0</v>
      </c>
      <c r="Q16" s="29">
        <v>14.0</v>
      </c>
      <c r="R16" s="41"/>
      <c r="S16" s="43">
        <f t="shared" si="4"/>
        <v>17</v>
      </c>
      <c r="T16" s="29">
        <v>26.0</v>
      </c>
      <c r="U16" s="29"/>
      <c r="V16" s="41"/>
      <c r="W16" s="43">
        <f t="shared" si="5"/>
        <v>16</v>
      </c>
      <c r="X16" s="22"/>
      <c r="Y16" s="41" t="s">
        <v>51</v>
      </c>
      <c r="Z16" s="22"/>
      <c r="AA16" s="44"/>
      <c r="AB16" s="62"/>
      <c r="AC16" s="63"/>
      <c r="AD16" s="59">
        <v>2.0</v>
      </c>
      <c r="AE16" s="60">
        <v>60.0</v>
      </c>
      <c r="AF16" s="61" t="s">
        <v>49</v>
      </c>
      <c r="AG16" s="10"/>
      <c r="AH16" s="10"/>
      <c r="AI16" s="10"/>
      <c r="AJ16" s="10"/>
      <c r="AK16" s="10"/>
      <c r="AL16" s="10"/>
      <c r="AM16" s="10"/>
      <c r="AN16" s="10"/>
      <c r="AO16" s="11"/>
      <c r="AP16" s="4"/>
      <c r="AQ16" s="4"/>
      <c r="AR16" s="15"/>
      <c r="AS16" s="1"/>
      <c r="AT16" s="1"/>
      <c r="AU16" s="1"/>
      <c r="AV16" s="1"/>
      <c r="AW16" s="1"/>
      <c r="AX16" s="1"/>
      <c r="AY16" s="1"/>
      <c r="AZ16" s="1"/>
    </row>
    <row r="17" ht="16.5" customHeight="1">
      <c r="A17" s="38">
        <v>11.0</v>
      </c>
      <c r="B17" s="39">
        <v>7.11719205012E11</v>
      </c>
      <c r="C17" s="40" t="s">
        <v>52</v>
      </c>
      <c r="D17" s="41">
        <v>20.0</v>
      </c>
      <c r="E17" s="41">
        <v>15.0</v>
      </c>
      <c r="F17" s="42"/>
      <c r="G17" s="43">
        <f t="shared" si="1"/>
        <v>15</v>
      </c>
      <c r="H17" s="41">
        <v>13.0</v>
      </c>
      <c r="I17" s="41">
        <v>11.0</v>
      </c>
      <c r="J17" s="42"/>
      <c r="K17" s="43">
        <f t="shared" si="2"/>
        <v>13</v>
      </c>
      <c r="L17" s="41">
        <v>15.0</v>
      </c>
      <c r="M17" s="41">
        <v>11.0</v>
      </c>
      <c r="N17" s="41"/>
      <c r="O17" s="43">
        <f t="shared" si="3"/>
        <v>11</v>
      </c>
      <c r="P17" s="29">
        <v>11.0</v>
      </c>
      <c r="Q17" s="29">
        <v>14.0</v>
      </c>
      <c r="R17" s="41"/>
      <c r="S17" s="43">
        <f t="shared" si="4"/>
        <v>14</v>
      </c>
      <c r="T17" s="29">
        <v>25.0</v>
      </c>
      <c r="U17" s="29"/>
      <c r="V17" s="41"/>
      <c r="W17" s="43">
        <f t="shared" si="5"/>
        <v>16</v>
      </c>
      <c r="X17" s="22"/>
      <c r="Y17" s="41" t="s">
        <v>29</v>
      </c>
      <c r="Z17" s="22"/>
      <c r="AA17" s="44"/>
      <c r="AB17" s="16"/>
      <c r="AC17" s="18"/>
      <c r="AD17" s="59">
        <v>3.0</v>
      </c>
      <c r="AE17" s="60">
        <v>70.0</v>
      </c>
      <c r="AF17" s="61" t="s">
        <v>49</v>
      </c>
      <c r="AG17" s="10"/>
      <c r="AH17" s="10"/>
      <c r="AI17" s="10"/>
      <c r="AJ17" s="10"/>
      <c r="AK17" s="10"/>
      <c r="AL17" s="10"/>
      <c r="AM17" s="10"/>
      <c r="AN17" s="10"/>
      <c r="AO17" s="11"/>
      <c r="AP17" s="4"/>
      <c r="AQ17" s="4"/>
      <c r="AR17" s="15"/>
      <c r="AS17" s="1"/>
      <c r="AT17" s="1"/>
      <c r="AU17" s="1"/>
      <c r="AV17" s="1"/>
      <c r="AW17" s="1"/>
      <c r="AX17" s="1"/>
      <c r="AY17" s="1"/>
      <c r="AZ17" s="1"/>
    </row>
    <row r="18" ht="16.5" customHeight="1">
      <c r="A18" s="38">
        <v>12.0</v>
      </c>
      <c r="B18" s="39">
        <v>7.11719205013E11</v>
      </c>
      <c r="C18" s="40" t="s">
        <v>53</v>
      </c>
      <c r="D18" s="41">
        <v>19.0</v>
      </c>
      <c r="E18" s="41">
        <v>17.0</v>
      </c>
      <c r="F18" s="42"/>
      <c r="G18" s="43">
        <f t="shared" si="1"/>
        <v>15</v>
      </c>
      <c r="H18" s="41">
        <v>13.0</v>
      </c>
      <c r="I18" s="41">
        <v>13.0</v>
      </c>
      <c r="J18" s="42"/>
      <c r="K18" s="43">
        <f t="shared" si="2"/>
        <v>14</v>
      </c>
      <c r="L18" s="41">
        <v>15.0</v>
      </c>
      <c r="M18" s="41">
        <v>15.0</v>
      </c>
      <c r="N18" s="41"/>
      <c r="O18" s="43">
        <f t="shared" si="3"/>
        <v>13</v>
      </c>
      <c r="P18" s="29">
        <v>19.0</v>
      </c>
      <c r="Q18" s="29">
        <v>14.0</v>
      </c>
      <c r="R18" s="41"/>
      <c r="S18" s="43">
        <f t="shared" si="4"/>
        <v>18</v>
      </c>
      <c r="T18" s="29">
        <v>27.0</v>
      </c>
      <c r="U18" s="29"/>
      <c r="V18" s="41"/>
      <c r="W18" s="43">
        <f t="shared" si="5"/>
        <v>17</v>
      </c>
      <c r="X18" s="22"/>
      <c r="Y18" s="41" t="s">
        <v>29</v>
      </c>
      <c r="Z18" s="22"/>
      <c r="AA18" s="44"/>
      <c r="AB18" s="64" t="s">
        <v>54</v>
      </c>
      <c r="AC18" s="10"/>
      <c r="AD18" s="10"/>
      <c r="AE18" s="10"/>
      <c r="AF18" s="10"/>
      <c r="AG18" s="10"/>
      <c r="AH18" s="10"/>
      <c r="AI18" s="65"/>
      <c r="AJ18" s="19" t="s">
        <v>55</v>
      </c>
      <c r="AK18" s="10"/>
      <c r="AL18" s="10"/>
      <c r="AM18" s="10"/>
      <c r="AN18" s="10"/>
      <c r="AO18" s="11"/>
      <c r="AP18" s="4"/>
      <c r="AQ18" s="4"/>
      <c r="AR18" s="15"/>
      <c r="AS18" s="1"/>
      <c r="AT18" s="1"/>
      <c r="AU18" s="1"/>
      <c r="AV18" s="1"/>
      <c r="AW18" s="1"/>
      <c r="AX18" s="1"/>
      <c r="AY18" s="1"/>
      <c r="AZ18" s="1"/>
    </row>
    <row r="19" ht="16.5" customHeight="1">
      <c r="A19" s="38">
        <v>13.0</v>
      </c>
      <c r="B19" s="39">
        <v>7.11719205014E11</v>
      </c>
      <c r="C19" s="40" t="s">
        <v>56</v>
      </c>
      <c r="D19" s="41">
        <v>25.0</v>
      </c>
      <c r="E19" s="41">
        <v>14.0</v>
      </c>
      <c r="F19" s="42"/>
      <c r="G19" s="43">
        <f t="shared" si="1"/>
        <v>17</v>
      </c>
      <c r="H19" s="41">
        <v>15.0</v>
      </c>
      <c r="I19" s="41">
        <v>13.0</v>
      </c>
      <c r="J19" s="42"/>
      <c r="K19" s="43">
        <f t="shared" si="2"/>
        <v>15</v>
      </c>
      <c r="L19" s="41">
        <v>18.0</v>
      </c>
      <c r="M19" s="41">
        <v>15.0</v>
      </c>
      <c r="N19" s="41"/>
      <c r="O19" s="43">
        <f t="shared" si="3"/>
        <v>14</v>
      </c>
      <c r="P19" s="29">
        <v>17.0</v>
      </c>
      <c r="Q19" s="29">
        <v>10.0</v>
      </c>
      <c r="R19" s="41"/>
      <c r="S19" s="43">
        <f t="shared" si="4"/>
        <v>15</v>
      </c>
      <c r="T19" s="29">
        <v>28.0</v>
      </c>
      <c r="U19" s="29"/>
      <c r="V19" s="41"/>
      <c r="W19" s="43">
        <f t="shared" si="5"/>
        <v>18</v>
      </c>
      <c r="X19" s="22"/>
      <c r="Y19" s="41" t="s">
        <v>29</v>
      </c>
      <c r="Z19" s="22"/>
      <c r="AA19" s="44"/>
      <c r="AB19" s="66" t="s">
        <v>2</v>
      </c>
      <c r="AC19" s="10"/>
      <c r="AD19" s="10"/>
      <c r="AE19" s="10"/>
      <c r="AF19" s="10"/>
      <c r="AG19" s="10"/>
      <c r="AH19" s="11"/>
      <c r="AI19" s="67">
        <v>0.2</v>
      </c>
      <c r="AJ19" s="68">
        <v>0.9</v>
      </c>
      <c r="AK19" s="7"/>
      <c r="AL19" s="7"/>
      <c r="AM19" s="7"/>
      <c r="AN19" s="7"/>
      <c r="AO19" s="8"/>
      <c r="AP19" s="4"/>
      <c r="AQ19" s="4"/>
      <c r="AR19" s="15"/>
      <c r="AS19" s="1"/>
      <c r="AT19" s="1"/>
      <c r="AU19" s="1"/>
      <c r="AV19" s="1"/>
      <c r="AW19" s="1"/>
      <c r="AX19" s="1"/>
      <c r="AY19" s="1"/>
      <c r="AZ19" s="1"/>
    </row>
    <row r="20" ht="16.5" customHeight="1">
      <c r="A20" s="38">
        <v>14.0</v>
      </c>
      <c r="B20" s="39">
        <v>7.11719205015E11</v>
      </c>
      <c r="C20" s="40" t="s">
        <v>57</v>
      </c>
      <c r="D20" s="41">
        <v>14.0</v>
      </c>
      <c r="E20" s="41">
        <v>17.0</v>
      </c>
      <c r="F20" s="42"/>
      <c r="G20" s="43">
        <f t="shared" si="1"/>
        <v>13</v>
      </c>
      <c r="H20" s="41">
        <v>19.0</v>
      </c>
      <c r="I20" s="41">
        <v>15.0</v>
      </c>
      <c r="J20" s="42"/>
      <c r="K20" s="43">
        <f t="shared" si="2"/>
        <v>18</v>
      </c>
      <c r="L20" s="41">
        <v>20.0</v>
      </c>
      <c r="M20" s="41">
        <v>16.0</v>
      </c>
      <c r="N20" s="41"/>
      <c r="O20" s="43">
        <f t="shared" si="3"/>
        <v>15</v>
      </c>
      <c r="P20" s="29">
        <v>8.0</v>
      </c>
      <c r="Q20" s="29">
        <v>17.0</v>
      </c>
      <c r="R20" s="41"/>
      <c r="S20" s="43">
        <f t="shared" si="4"/>
        <v>14</v>
      </c>
      <c r="T20" s="29">
        <v>23.0</v>
      </c>
      <c r="U20" s="29"/>
      <c r="V20" s="41"/>
      <c r="W20" s="43">
        <f t="shared" si="5"/>
        <v>14</v>
      </c>
      <c r="X20" s="22"/>
      <c r="Y20" s="41" t="s">
        <v>29</v>
      </c>
      <c r="Z20" s="22"/>
      <c r="AA20" s="44"/>
      <c r="AB20" s="66" t="s">
        <v>3</v>
      </c>
      <c r="AC20" s="10"/>
      <c r="AD20" s="10"/>
      <c r="AE20" s="10"/>
      <c r="AF20" s="10"/>
      <c r="AG20" s="10"/>
      <c r="AH20" s="11"/>
      <c r="AI20" s="67">
        <v>0.8</v>
      </c>
      <c r="AJ20" s="16"/>
      <c r="AK20" s="17"/>
      <c r="AL20" s="17"/>
      <c r="AM20" s="17"/>
      <c r="AN20" s="17"/>
      <c r="AO20" s="18"/>
      <c r="AP20" s="4"/>
      <c r="AQ20" s="4"/>
      <c r="AR20" s="15"/>
      <c r="AS20" s="1"/>
      <c r="AT20" s="1"/>
      <c r="AU20" s="1"/>
      <c r="AV20" s="1"/>
      <c r="AW20" s="1"/>
      <c r="AX20" s="1"/>
      <c r="AY20" s="1"/>
      <c r="AZ20" s="1"/>
    </row>
    <row r="21" ht="16.5" customHeight="1">
      <c r="A21" s="38">
        <v>15.0</v>
      </c>
      <c r="B21" s="39">
        <v>7.11719205016E11</v>
      </c>
      <c r="C21" s="40" t="s">
        <v>58</v>
      </c>
      <c r="D21" s="41">
        <v>18.0</v>
      </c>
      <c r="E21" s="41">
        <v>13.0</v>
      </c>
      <c r="F21" s="42"/>
      <c r="G21" s="43">
        <f t="shared" si="1"/>
        <v>13</v>
      </c>
      <c r="H21" s="41">
        <v>19.0</v>
      </c>
      <c r="I21" s="41">
        <v>15.0</v>
      </c>
      <c r="J21" s="42"/>
      <c r="K21" s="43">
        <f t="shared" si="2"/>
        <v>18</v>
      </c>
      <c r="L21" s="41">
        <v>12.0</v>
      </c>
      <c r="M21" s="41">
        <v>12.0</v>
      </c>
      <c r="N21" s="41"/>
      <c r="O21" s="43">
        <f t="shared" si="3"/>
        <v>10</v>
      </c>
      <c r="P21" s="29">
        <v>18.0</v>
      </c>
      <c r="Q21" s="29">
        <v>14.0</v>
      </c>
      <c r="R21" s="41"/>
      <c r="S21" s="43">
        <f t="shared" si="4"/>
        <v>17</v>
      </c>
      <c r="T21" s="29">
        <v>26.0</v>
      </c>
      <c r="U21" s="29"/>
      <c r="V21" s="41"/>
      <c r="W21" s="43">
        <f t="shared" si="5"/>
        <v>16</v>
      </c>
      <c r="X21" s="22"/>
      <c r="Y21" s="41" t="s">
        <v>22</v>
      </c>
      <c r="Z21" s="22"/>
      <c r="AA21" s="44"/>
      <c r="AB21" s="69" t="s">
        <v>59</v>
      </c>
      <c r="AC21" s="10"/>
      <c r="AD21" s="10"/>
      <c r="AE21" s="10"/>
      <c r="AF21" s="10"/>
      <c r="AG21" s="10"/>
      <c r="AH21" s="10"/>
      <c r="AI21" s="65"/>
      <c r="AJ21" s="70">
        <v>0.1</v>
      </c>
      <c r="AK21" s="10"/>
      <c r="AL21" s="10"/>
      <c r="AM21" s="10"/>
      <c r="AN21" s="10"/>
      <c r="AO21" s="11"/>
      <c r="AP21" s="4"/>
      <c r="AQ21" s="4"/>
      <c r="AR21" s="15"/>
      <c r="AS21" s="1"/>
      <c r="AT21" s="1"/>
      <c r="AU21" s="1"/>
      <c r="AV21" s="1"/>
      <c r="AW21" s="1"/>
      <c r="AX21" s="1"/>
      <c r="AY21" s="1"/>
      <c r="AZ21" s="1"/>
    </row>
    <row r="22" ht="16.5" customHeight="1">
      <c r="A22" s="38">
        <v>16.0</v>
      </c>
      <c r="B22" s="39">
        <v>7.11719205017E11</v>
      </c>
      <c r="C22" s="40" t="s">
        <v>60</v>
      </c>
      <c r="D22" s="41">
        <v>24.0</v>
      </c>
      <c r="E22" s="41">
        <v>17.0</v>
      </c>
      <c r="F22" s="42"/>
      <c r="G22" s="43">
        <f t="shared" si="1"/>
        <v>17</v>
      </c>
      <c r="H22" s="41">
        <v>9.0</v>
      </c>
      <c r="I22" s="41">
        <v>13.0</v>
      </c>
      <c r="J22" s="42"/>
      <c r="K22" s="43">
        <f t="shared" si="2"/>
        <v>12</v>
      </c>
      <c r="L22" s="41">
        <v>13.0</v>
      </c>
      <c r="M22" s="41">
        <v>17.0</v>
      </c>
      <c r="N22" s="41"/>
      <c r="O22" s="43">
        <f t="shared" si="3"/>
        <v>13</v>
      </c>
      <c r="P22" s="29">
        <v>20.0</v>
      </c>
      <c r="Q22" s="29">
        <v>13.0</v>
      </c>
      <c r="R22" s="41"/>
      <c r="S22" s="43">
        <f t="shared" si="4"/>
        <v>18</v>
      </c>
      <c r="T22" s="29">
        <v>26.0</v>
      </c>
      <c r="U22" s="29"/>
      <c r="V22" s="41"/>
      <c r="W22" s="43">
        <f t="shared" si="5"/>
        <v>16</v>
      </c>
      <c r="X22" s="22"/>
      <c r="Y22" s="41" t="s">
        <v>29</v>
      </c>
      <c r="Z22" s="22"/>
      <c r="AA22" s="44"/>
      <c r="AB22" s="14"/>
      <c r="AC22" s="14"/>
      <c r="AD22" s="71"/>
      <c r="AE22" s="71"/>
      <c r="AF22" s="14"/>
      <c r="AG22" s="71"/>
      <c r="AH22" s="71"/>
      <c r="AI22" s="71"/>
      <c r="AJ22" s="50"/>
      <c r="AK22" s="32"/>
      <c r="AL22" s="32"/>
      <c r="AM22" s="32"/>
      <c r="AN22" s="14"/>
      <c r="AO22" s="54"/>
      <c r="AP22" s="4"/>
      <c r="AQ22" s="4"/>
      <c r="AR22" s="15"/>
      <c r="AS22" s="1"/>
      <c r="AT22" s="1"/>
      <c r="AU22" s="1"/>
      <c r="AV22" s="1"/>
      <c r="AW22" s="1"/>
      <c r="AX22" s="1"/>
      <c r="AY22" s="1"/>
      <c r="AZ22" s="1"/>
    </row>
    <row r="23" ht="16.5" customHeight="1">
      <c r="A23" s="38">
        <v>17.0</v>
      </c>
      <c r="B23" s="39">
        <v>7.11719205018E11</v>
      </c>
      <c r="C23" s="40" t="s">
        <v>61</v>
      </c>
      <c r="D23" s="41">
        <v>26.0</v>
      </c>
      <c r="E23" s="41">
        <v>17.0</v>
      </c>
      <c r="F23" s="42"/>
      <c r="G23" s="43">
        <f t="shared" si="1"/>
        <v>18</v>
      </c>
      <c r="H23" s="41">
        <v>9.0</v>
      </c>
      <c r="I23" s="41">
        <v>13.0</v>
      </c>
      <c r="J23" s="42"/>
      <c r="K23" s="43">
        <f t="shared" si="2"/>
        <v>12</v>
      </c>
      <c r="L23" s="41">
        <v>19.0</v>
      </c>
      <c r="M23" s="41">
        <v>15.0</v>
      </c>
      <c r="N23" s="41"/>
      <c r="O23" s="43">
        <f t="shared" si="3"/>
        <v>14</v>
      </c>
      <c r="P23" s="29">
        <v>6.0</v>
      </c>
      <c r="Q23" s="29">
        <v>15.0</v>
      </c>
      <c r="R23" s="41"/>
      <c r="S23" s="43">
        <f t="shared" si="4"/>
        <v>11</v>
      </c>
      <c r="T23" s="29">
        <v>24.0</v>
      </c>
      <c r="U23" s="29"/>
      <c r="V23" s="41"/>
      <c r="W23" s="43">
        <f t="shared" si="5"/>
        <v>15</v>
      </c>
      <c r="X23" s="22"/>
      <c r="Y23" s="41" t="s">
        <v>22</v>
      </c>
      <c r="Z23" s="22"/>
      <c r="AA23" s="44"/>
      <c r="AB23" s="72" t="s">
        <v>62</v>
      </c>
      <c r="AC23" s="72" t="s">
        <v>63</v>
      </c>
      <c r="AD23" s="73"/>
      <c r="AE23" s="73"/>
      <c r="AF23" s="14"/>
      <c r="AG23" s="73"/>
      <c r="AH23" s="73"/>
      <c r="AI23" s="73"/>
      <c r="AJ23" s="50"/>
      <c r="AK23" s="32"/>
      <c r="AL23" s="32"/>
      <c r="AM23" s="32"/>
      <c r="AN23" s="14"/>
      <c r="AO23" s="54"/>
      <c r="AP23" s="4"/>
      <c r="AQ23" s="4"/>
      <c r="AR23" s="15"/>
      <c r="AS23" s="1"/>
      <c r="AT23" s="1"/>
      <c r="AU23" s="1"/>
      <c r="AV23" s="1"/>
      <c r="AW23" s="1"/>
      <c r="AX23" s="1"/>
      <c r="AY23" s="1"/>
      <c r="AZ23" s="1"/>
    </row>
    <row r="24" ht="16.5" customHeight="1">
      <c r="A24" s="38">
        <v>18.0</v>
      </c>
      <c r="B24" s="39">
        <v>7.11719205019E11</v>
      </c>
      <c r="C24" s="40" t="s">
        <v>64</v>
      </c>
      <c r="D24" s="41">
        <v>14.0</v>
      </c>
      <c r="E24" s="41">
        <v>9.0</v>
      </c>
      <c r="F24" s="42"/>
      <c r="G24" s="43">
        <f t="shared" si="1"/>
        <v>10</v>
      </c>
      <c r="H24" s="41">
        <v>19.0</v>
      </c>
      <c r="I24" s="41">
        <v>11.0</v>
      </c>
      <c r="J24" s="42"/>
      <c r="K24" s="43">
        <f t="shared" si="2"/>
        <v>16</v>
      </c>
      <c r="L24" s="41">
        <v>15.0</v>
      </c>
      <c r="M24" s="41">
        <v>10.0</v>
      </c>
      <c r="N24" s="41"/>
      <c r="O24" s="43">
        <f t="shared" si="3"/>
        <v>11</v>
      </c>
      <c r="P24" s="29">
        <v>18.0</v>
      </c>
      <c r="Q24" s="29">
        <v>17.0</v>
      </c>
      <c r="R24" s="41"/>
      <c r="S24" s="43">
        <f t="shared" si="4"/>
        <v>19</v>
      </c>
      <c r="T24" s="29">
        <v>29.0</v>
      </c>
      <c r="U24" s="29"/>
      <c r="V24" s="41"/>
      <c r="W24" s="43">
        <f t="shared" si="5"/>
        <v>18</v>
      </c>
      <c r="X24" s="22"/>
      <c r="Y24" s="41" t="s">
        <v>22</v>
      </c>
      <c r="Z24" s="22"/>
      <c r="AA24" s="44"/>
      <c r="AB24" s="74"/>
      <c r="AC24" s="74"/>
      <c r="AD24" s="32"/>
      <c r="AE24" s="32"/>
      <c r="AF24" s="32"/>
      <c r="AG24" s="71"/>
      <c r="AH24" s="71"/>
      <c r="AI24" s="71"/>
      <c r="AJ24" s="32"/>
      <c r="AK24" s="32"/>
      <c r="AL24" s="32"/>
      <c r="AM24" s="32"/>
      <c r="AN24" s="14"/>
      <c r="AO24" s="54"/>
      <c r="AP24" s="4"/>
      <c r="AQ24" s="4"/>
      <c r="AR24" s="15"/>
      <c r="AS24" s="1"/>
      <c r="AT24" s="1"/>
      <c r="AU24" s="1"/>
      <c r="AV24" s="1"/>
      <c r="AW24" s="1"/>
      <c r="AX24" s="1"/>
      <c r="AY24" s="1"/>
      <c r="AZ24" s="1"/>
    </row>
    <row r="25" ht="16.5" customHeight="1">
      <c r="A25" s="38">
        <v>19.0</v>
      </c>
      <c r="B25" s="39">
        <v>7.1171920502E11</v>
      </c>
      <c r="C25" s="40" t="s">
        <v>65</v>
      </c>
      <c r="D25" s="41">
        <v>20.0</v>
      </c>
      <c r="E25" s="41">
        <v>11.0</v>
      </c>
      <c r="F25" s="42"/>
      <c r="G25" s="43">
        <f t="shared" si="1"/>
        <v>13</v>
      </c>
      <c r="H25" s="41">
        <v>14.0</v>
      </c>
      <c r="I25" s="41">
        <v>16.0</v>
      </c>
      <c r="J25" s="42"/>
      <c r="K25" s="43">
        <f t="shared" si="2"/>
        <v>16</v>
      </c>
      <c r="L25" s="41">
        <v>10.0</v>
      </c>
      <c r="M25" s="41">
        <v>13.0</v>
      </c>
      <c r="N25" s="41"/>
      <c r="O25" s="43">
        <f t="shared" si="3"/>
        <v>10</v>
      </c>
      <c r="P25" s="29">
        <v>18.0</v>
      </c>
      <c r="Q25" s="29">
        <v>14.0</v>
      </c>
      <c r="R25" s="41"/>
      <c r="S25" s="43">
        <f t="shared" si="4"/>
        <v>17</v>
      </c>
      <c r="T25" s="29">
        <v>24.0</v>
      </c>
      <c r="U25" s="29"/>
      <c r="V25" s="41"/>
      <c r="W25" s="43">
        <f t="shared" si="5"/>
        <v>15</v>
      </c>
      <c r="X25" s="22"/>
      <c r="Y25" s="41" t="s">
        <v>22</v>
      </c>
      <c r="Z25" s="22"/>
      <c r="AA25" s="44"/>
      <c r="AB25" s="75" t="s">
        <v>66</v>
      </c>
      <c r="AC25" s="76">
        <f>(((G72*AI19)+(Y72*AI20)) * AJ19) + (AH42*AJ21)</f>
        <v>3</v>
      </c>
      <c r="AD25" s="44"/>
      <c r="AE25" s="44"/>
      <c r="AF25" s="14"/>
      <c r="AG25" s="14"/>
      <c r="AH25" s="55"/>
      <c r="AI25" s="55"/>
      <c r="AJ25" s="56"/>
      <c r="AK25" s="57"/>
      <c r="AL25" s="57"/>
      <c r="AM25" s="57"/>
      <c r="AN25" s="57"/>
      <c r="AO25" s="54"/>
      <c r="AP25" s="4"/>
      <c r="AQ25" s="4"/>
      <c r="AR25" s="15"/>
      <c r="AS25" s="1"/>
      <c r="AT25" s="1"/>
      <c r="AU25" s="1"/>
      <c r="AV25" s="1"/>
      <c r="AW25" s="1"/>
      <c r="AX25" s="1"/>
      <c r="AY25" s="1"/>
      <c r="AZ25" s="1"/>
    </row>
    <row r="26" ht="16.5" customHeight="1">
      <c r="A26" s="38">
        <v>20.0</v>
      </c>
      <c r="B26" s="39">
        <v>7.11719205021E11</v>
      </c>
      <c r="C26" s="40" t="s">
        <v>67</v>
      </c>
      <c r="D26" s="41">
        <v>28.0</v>
      </c>
      <c r="E26" s="41">
        <v>14.0</v>
      </c>
      <c r="F26" s="42"/>
      <c r="G26" s="43">
        <f t="shared" si="1"/>
        <v>18</v>
      </c>
      <c r="H26" s="41">
        <v>12.0</v>
      </c>
      <c r="I26" s="41">
        <v>13.0</v>
      </c>
      <c r="J26" s="42"/>
      <c r="K26" s="43">
        <f t="shared" si="2"/>
        <v>14</v>
      </c>
      <c r="L26" s="41">
        <v>23.0</v>
      </c>
      <c r="M26" s="41">
        <v>13.0</v>
      </c>
      <c r="N26" s="41"/>
      <c r="O26" s="43">
        <f t="shared" si="3"/>
        <v>15</v>
      </c>
      <c r="P26" s="29">
        <v>14.0</v>
      </c>
      <c r="Q26" s="29">
        <v>16.0</v>
      </c>
      <c r="R26" s="41"/>
      <c r="S26" s="43">
        <f t="shared" si="4"/>
        <v>16</v>
      </c>
      <c r="T26" s="29">
        <v>26.0</v>
      </c>
      <c r="U26" s="29"/>
      <c r="V26" s="41"/>
      <c r="W26" s="43">
        <f t="shared" si="5"/>
        <v>16</v>
      </c>
      <c r="X26" s="22"/>
      <c r="Y26" s="41" t="s">
        <v>51</v>
      </c>
      <c r="Z26" s="22"/>
      <c r="AA26" s="44"/>
      <c r="AB26" s="75" t="s">
        <v>68</v>
      </c>
      <c r="AC26" s="77">
        <f>(((K72*AI19)+(Y72*AI20)) * AJ19) + (AI42*AJ21)</f>
        <v>3</v>
      </c>
      <c r="AD26" s="44"/>
      <c r="AE26" s="44"/>
      <c r="AF26" s="14"/>
      <c r="AG26" s="14"/>
      <c r="AH26" s="55"/>
      <c r="AI26" s="55"/>
      <c r="AJ26" s="56"/>
      <c r="AK26" s="57"/>
      <c r="AL26" s="57"/>
      <c r="AM26" s="57"/>
      <c r="AN26" s="57"/>
      <c r="AO26" s="54"/>
      <c r="AP26" s="4"/>
      <c r="AQ26" s="4"/>
      <c r="AR26" s="15"/>
      <c r="AS26" s="1"/>
      <c r="AT26" s="1"/>
      <c r="AU26" s="1"/>
      <c r="AV26" s="1"/>
      <c r="AW26" s="1"/>
      <c r="AX26" s="1"/>
      <c r="AY26" s="1"/>
      <c r="AZ26" s="1"/>
    </row>
    <row r="27" ht="16.5" customHeight="1">
      <c r="A27" s="38">
        <v>21.0</v>
      </c>
      <c r="B27" s="39">
        <v>7.11719205022E11</v>
      </c>
      <c r="C27" s="40" t="s">
        <v>69</v>
      </c>
      <c r="D27" s="41">
        <v>28.0</v>
      </c>
      <c r="E27" s="41">
        <v>16.0</v>
      </c>
      <c r="F27" s="42"/>
      <c r="G27" s="43">
        <f t="shared" si="1"/>
        <v>19</v>
      </c>
      <c r="H27" s="41">
        <v>18.0</v>
      </c>
      <c r="I27" s="41">
        <v>16.0</v>
      </c>
      <c r="J27" s="42"/>
      <c r="K27" s="43">
        <f t="shared" si="2"/>
        <v>18</v>
      </c>
      <c r="L27" s="41">
        <v>25.0</v>
      </c>
      <c r="M27" s="41">
        <v>16.0</v>
      </c>
      <c r="N27" s="41"/>
      <c r="O27" s="43">
        <f t="shared" si="3"/>
        <v>17</v>
      </c>
      <c r="P27" s="29">
        <v>7.0</v>
      </c>
      <c r="Q27" s="29">
        <v>14.0</v>
      </c>
      <c r="R27" s="41"/>
      <c r="S27" s="43">
        <f t="shared" si="4"/>
        <v>11</v>
      </c>
      <c r="T27" s="29">
        <v>28.0</v>
      </c>
      <c r="U27" s="29"/>
      <c r="V27" s="41"/>
      <c r="W27" s="43">
        <f t="shared" si="5"/>
        <v>18</v>
      </c>
      <c r="X27" s="22"/>
      <c r="Y27" s="41" t="s">
        <v>22</v>
      </c>
      <c r="Z27" s="22"/>
      <c r="AA27" s="44"/>
      <c r="AB27" s="75" t="s">
        <v>70</v>
      </c>
      <c r="AC27" s="77">
        <f>(((O72*AI19)+(Y72*AI20)) * AJ19) + (AJ42*AJ21)</f>
        <v>3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54"/>
      <c r="AP27" s="4"/>
      <c r="AQ27" s="4"/>
      <c r="AR27" s="15"/>
      <c r="AS27" s="1"/>
      <c r="AT27" s="1"/>
      <c r="AU27" s="1"/>
      <c r="AV27" s="1"/>
      <c r="AW27" s="1"/>
      <c r="AX27" s="1"/>
      <c r="AY27" s="1"/>
      <c r="AZ27" s="1"/>
    </row>
    <row r="28" ht="16.5" customHeight="1">
      <c r="A28" s="38">
        <v>22.0</v>
      </c>
      <c r="B28" s="39">
        <v>7.11719205023E11</v>
      </c>
      <c r="C28" s="40" t="s">
        <v>71</v>
      </c>
      <c r="D28" s="41">
        <v>21.0</v>
      </c>
      <c r="E28" s="41">
        <v>15.0</v>
      </c>
      <c r="F28" s="42"/>
      <c r="G28" s="43">
        <f t="shared" si="1"/>
        <v>15</v>
      </c>
      <c r="H28" s="41">
        <v>19.0</v>
      </c>
      <c r="I28" s="41">
        <v>16.0</v>
      </c>
      <c r="J28" s="42"/>
      <c r="K28" s="43">
        <f t="shared" si="2"/>
        <v>19</v>
      </c>
      <c r="L28" s="41">
        <v>17.0</v>
      </c>
      <c r="M28" s="41">
        <v>14.0</v>
      </c>
      <c r="N28" s="41"/>
      <c r="O28" s="43">
        <f t="shared" si="3"/>
        <v>13</v>
      </c>
      <c r="P28" s="29">
        <v>11.0</v>
      </c>
      <c r="Q28" s="29">
        <v>13.0</v>
      </c>
      <c r="R28" s="41"/>
      <c r="S28" s="43">
        <f t="shared" si="4"/>
        <v>13</v>
      </c>
      <c r="T28" s="29">
        <v>24.0</v>
      </c>
      <c r="U28" s="29"/>
      <c r="V28" s="41"/>
      <c r="W28" s="43">
        <f t="shared" si="5"/>
        <v>15</v>
      </c>
      <c r="X28" s="22"/>
      <c r="Y28" s="41" t="s">
        <v>29</v>
      </c>
      <c r="Z28" s="22"/>
      <c r="AA28" s="44"/>
      <c r="AB28" s="75" t="s">
        <v>72</v>
      </c>
      <c r="AC28" s="77">
        <f>(((S72*AI19)+(Y72*AI20)) * AJ19) + (AK42*AJ21)</f>
        <v>3</v>
      </c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54"/>
      <c r="AP28" s="4"/>
      <c r="AQ28" s="4"/>
      <c r="AR28" s="15"/>
      <c r="AS28" s="1"/>
      <c r="AT28" s="1"/>
      <c r="AU28" s="1"/>
      <c r="AV28" s="1"/>
      <c r="AW28" s="1"/>
      <c r="AX28" s="1"/>
      <c r="AY28" s="1"/>
      <c r="AZ28" s="1"/>
    </row>
    <row r="29" ht="16.5" customHeight="1">
      <c r="A29" s="38">
        <v>23.0</v>
      </c>
      <c r="B29" s="39">
        <v>7.11719205025E11</v>
      </c>
      <c r="C29" s="40" t="s">
        <v>73</v>
      </c>
      <c r="D29" s="41">
        <v>20.0</v>
      </c>
      <c r="E29" s="41">
        <v>16.0</v>
      </c>
      <c r="F29" s="42"/>
      <c r="G29" s="43">
        <f t="shared" si="1"/>
        <v>15</v>
      </c>
      <c r="H29" s="41">
        <v>15.0</v>
      </c>
      <c r="I29" s="41">
        <v>13.0</v>
      </c>
      <c r="J29" s="42"/>
      <c r="K29" s="43">
        <f t="shared" si="2"/>
        <v>15</v>
      </c>
      <c r="L29" s="41">
        <v>26.0</v>
      </c>
      <c r="M29" s="41">
        <v>16.0</v>
      </c>
      <c r="N29" s="41"/>
      <c r="O29" s="43">
        <f t="shared" si="3"/>
        <v>18</v>
      </c>
      <c r="P29" s="29">
        <v>12.0</v>
      </c>
      <c r="Q29" s="29">
        <v>17.0</v>
      </c>
      <c r="R29" s="41"/>
      <c r="S29" s="43">
        <f t="shared" si="4"/>
        <v>16</v>
      </c>
      <c r="T29" s="29">
        <v>30.0</v>
      </c>
      <c r="U29" s="29"/>
      <c r="V29" s="41"/>
      <c r="W29" s="43">
        <f t="shared" si="5"/>
        <v>19</v>
      </c>
      <c r="X29" s="22"/>
      <c r="Y29" s="41" t="s">
        <v>29</v>
      </c>
      <c r="Z29" s="22"/>
      <c r="AA29" s="44"/>
      <c r="AB29" s="75" t="s">
        <v>74</v>
      </c>
      <c r="AC29" s="78">
        <f>(((W72*AI19)+(Y72*AI20)) * AJ19) + (AL42*AJ21)</f>
        <v>3</v>
      </c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54"/>
      <c r="AP29" s="4"/>
      <c r="AQ29" s="4"/>
      <c r="AR29" s="15"/>
      <c r="AS29" s="1"/>
      <c r="AT29" s="1"/>
      <c r="AU29" s="1"/>
      <c r="AV29" s="1"/>
      <c r="AW29" s="1"/>
      <c r="AX29" s="1"/>
      <c r="AY29" s="1"/>
      <c r="AZ29" s="1"/>
    </row>
    <row r="30" ht="16.5" customHeight="1">
      <c r="A30" s="38">
        <v>24.0</v>
      </c>
      <c r="B30" s="39">
        <v>7.11719205026E11</v>
      </c>
      <c r="C30" s="40" t="s">
        <v>75</v>
      </c>
      <c r="D30" s="41">
        <v>15.0</v>
      </c>
      <c r="E30" s="41">
        <v>17.0</v>
      </c>
      <c r="F30" s="42"/>
      <c r="G30" s="43">
        <f t="shared" si="1"/>
        <v>14</v>
      </c>
      <c r="H30" s="41">
        <v>20.0</v>
      </c>
      <c r="I30" s="41">
        <v>14.0</v>
      </c>
      <c r="J30" s="42"/>
      <c r="K30" s="43">
        <f t="shared" si="2"/>
        <v>18</v>
      </c>
      <c r="L30" s="41">
        <v>17.0</v>
      </c>
      <c r="M30" s="41">
        <v>14.0</v>
      </c>
      <c r="N30" s="41"/>
      <c r="O30" s="43">
        <f t="shared" si="3"/>
        <v>13</v>
      </c>
      <c r="P30" s="29">
        <v>13.0</v>
      </c>
      <c r="Q30" s="29">
        <v>16.0</v>
      </c>
      <c r="R30" s="41"/>
      <c r="S30" s="43">
        <f t="shared" si="4"/>
        <v>16</v>
      </c>
      <c r="T30" s="29">
        <v>27.0</v>
      </c>
      <c r="U30" s="29"/>
      <c r="V30" s="41"/>
      <c r="W30" s="43">
        <f t="shared" si="5"/>
        <v>17</v>
      </c>
      <c r="X30" s="22"/>
      <c r="Y30" s="41" t="s">
        <v>29</v>
      </c>
      <c r="Z30" s="22"/>
      <c r="AA30" s="4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54"/>
      <c r="AP30" s="4"/>
      <c r="AQ30" s="4"/>
      <c r="AR30" s="15"/>
      <c r="AS30" s="1"/>
      <c r="AT30" s="1"/>
      <c r="AU30" s="1"/>
      <c r="AV30" s="1"/>
      <c r="AW30" s="1"/>
      <c r="AX30" s="1"/>
      <c r="AY30" s="1"/>
      <c r="AZ30" s="1"/>
    </row>
    <row r="31" ht="16.5" customHeight="1">
      <c r="A31" s="38">
        <v>25.0</v>
      </c>
      <c r="B31" s="39">
        <v>7.11719205027E11</v>
      </c>
      <c r="C31" s="40" t="s">
        <v>76</v>
      </c>
      <c r="D31" s="41">
        <v>26.0</v>
      </c>
      <c r="E31" s="41">
        <v>15.0</v>
      </c>
      <c r="F31" s="42"/>
      <c r="G31" s="43">
        <f t="shared" si="1"/>
        <v>17</v>
      </c>
      <c r="H31" s="41">
        <v>18.0</v>
      </c>
      <c r="I31" s="41">
        <v>13.0</v>
      </c>
      <c r="J31" s="42"/>
      <c r="K31" s="43">
        <f t="shared" si="2"/>
        <v>17</v>
      </c>
      <c r="L31" s="41">
        <v>9.0</v>
      </c>
      <c r="M31" s="41">
        <v>13.0</v>
      </c>
      <c r="N31" s="41"/>
      <c r="O31" s="43">
        <f t="shared" si="3"/>
        <v>9</v>
      </c>
      <c r="P31" s="29">
        <v>18.0</v>
      </c>
      <c r="Q31" s="29">
        <v>13.0</v>
      </c>
      <c r="R31" s="41"/>
      <c r="S31" s="43">
        <f t="shared" si="4"/>
        <v>17</v>
      </c>
      <c r="T31" s="29">
        <v>28.0</v>
      </c>
      <c r="U31" s="29"/>
      <c r="V31" s="41"/>
      <c r="W31" s="43">
        <f t="shared" si="5"/>
        <v>18</v>
      </c>
      <c r="X31" s="22"/>
      <c r="Y31" s="41" t="s">
        <v>29</v>
      </c>
      <c r="Z31" s="22"/>
      <c r="AA31" s="4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54"/>
      <c r="AP31" s="4"/>
      <c r="AQ31" s="4"/>
      <c r="AR31" s="15"/>
      <c r="AS31" s="1"/>
      <c r="AT31" s="1"/>
      <c r="AU31" s="1"/>
      <c r="AV31" s="1"/>
      <c r="AW31" s="1"/>
      <c r="AX31" s="1"/>
      <c r="AY31" s="1"/>
      <c r="AZ31" s="1"/>
    </row>
    <row r="32" ht="16.5" customHeight="1">
      <c r="A32" s="38">
        <v>26.0</v>
      </c>
      <c r="B32" s="39">
        <v>7.11719205028E11</v>
      </c>
      <c r="C32" s="40" t="s">
        <v>77</v>
      </c>
      <c r="D32" s="41">
        <v>24.0</v>
      </c>
      <c r="E32" s="41">
        <v>15.0</v>
      </c>
      <c r="F32" s="42"/>
      <c r="G32" s="43">
        <f t="shared" si="1"/>
        <v>17</v>
      </c>
      <c r="H32" s="41">
        <v>19.0</v>
      </c>
      <c r="I32" s="41">
        <v>13.0</v>
      </c>
      <c r="J32" s="42"/>
      <c r="K32" s="43">
        <f t="shared" si="2"/>
        <v>17</v>
      </c>
      <c r="L32" s="41">
        <v>15.0</v>
      </c>
      <c r="M32" s="41">
        <v>13.0</v>
      </c>
      <c r="N32" s="41"/>
      <c r="O32" s="43">
        <f t="shared" si="3"/>
        <v>12</v>
      </c>
      <c r="P32" s="29">
        <v>19.0</v>
      </c>
      <c r="Q32" s="29">
        <v>10.0</v>
      </c>
      <c r="R32" s="41"/>
      <c r="S32" s="43">
        <f t="shared" si="4"/>
        <v>16</v>
      </c>
      <c r="T32" s="29">
        <v>27.0</v>
      </c>
      <c r="U32" s="29"/>
      <c r="V32" s="41"/>
      <c r="W32" s="43">
        <f t="shared" si="5"/>
        <v>17</v>
      </c>
      <c r="X32" s="22"/>
      <c r="Y32" s="41" t="s">
        <v>33</v>
      </c>
      <c r="Z32" s="22"/>
      <c r="AA32" s="4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54"/>
      <c r="AP32" s="4"/>
      <c r="AQ32" s="4"/>
      <c r="AR32" s="15"/>
      <c r="AS32" s="1"/>
      <c r="AT32" s="1"/>
      <c r="AU32" s="1"/>
      <c r="AV32" s="1"/>
      <c r="AW32" s="1"/>
      <c r="AX32" s="1"/>
      <c r="AY32" s="1"/>
      <c r="AZ32" s="1"/>
    </row>
    <row r="33" ht="16.5" customHeight="1">
      <c r="A33" s="38">
        <v>27.0</v>
      </c>
      <c r="B33" s="39">
        <v>7.11719205029E11</v>
      </c>
      <c r="C33" s="40" t="s">
        <v>78</v>
      </c>
      <c r="D33" s="41">
        <v>15.0</v>
      </c>
      <c r="E33" s="41">
        <v>15.0</v>
      </c>
      <c r="F33" s="42"/>
      <c r="G33" s="43">
        <f t="shared" si="1"/>
        <v>13</v>
      </c>
      <c r="H33" s="41">
        <v>18.0</v>
      </c>
      <c r="I33" s="41">
        <v>13.0</v>
      </c>
      <c r="J33" s="42"/>
      <c r="K33" s="43">
        <f t="shared" si="2"/>
        <v>17</v>
      </c>
      <c r="L33" s="41">
        <v>24.0</v>
      </c>
      <c r="M33" s="41">
        <v>15.0</v>
      </c>
      <c r="N33" s="41"/>
      <c r="O33" s="43">
        <f t="shared" si="3"/>
        <v>17</v>
      </c>
      <c r="P33" s="29">
        <v>10.0</v>
      </c>
      <c r="Q33" s="29">
        <v>12.0</v>
      </c>
      <c r="R33" s="41"/>
      <c r="S33" s="43">
        <f t="shared" si="4"/>
        <v>12</v>
      </c>
      <c r="T33" s="29">
        <v>25.0</v>
      </c>
      <c r="U33" s="29"/>
      <c r="V33" s="41"/>
      <c r="W33" s="43">
        <f t="shared" si="5"/>
        <v>16</v>
      </c>
      <c r="X33" s="22"/>
      <c r="Y33" s="41" t="s">
        <v>29</v>
      </c>
      <c r="Z33" s="22"/>
      <c r="AA33" s="4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54"/>
      <c r="AP33" s="4"/>
      <c r="AQ33" s="4"/>
      <c r="AR33" s="15"/>
      <c r="AS33" s="1"/>
      <c r="AT33" s="1"/>
      <c r="AU33" s="1"/>
      <c r="AV33" s="1"/>
      <c r="AW33" s="1"/>
      <c r="AX33" s="1"/>
      <c r="AY33" s="1"/>
      <c r="AZ33" s="1"/>
    </row>
    <row r="34" ht="16.5" customHeight="1">
      <c r="A34" s="38">
        <v>28.0</v>
      </c>
      <c r="B34" s="39">
        <v>7.1171920503E11</v>
      </c>
      <c r="C34" s="40" t="s">
        <v>79</v>
      </c>
      <c r="D34" s="41">
        <v>26.0</v>
      </c>
      <c r="E34" s="41">
        <v>16.0</v>
      </c>
      <c r="F34" s="42"/>
      <c r="G34" s="43">
        <f t="shared" si="1"/>
        <v>18</v>
      </c>
      <c r="H34" s="41">
        <v>19.0</v>
      </c>
      <c r="I34" s="41">
        <v>16.0</v>
      </c>
      <c r="J34" s="42"/>
      <c r="K34" s="43">
        <f t="shared" si="2"/>
        <v>19</v>
      </c>
      <c r="L34" s="41">
        <v>11.0</v>
      </c>
      <c r="M34" s="41">
        <v>15.0</v>
      </c>
      <c r="N34" s="41"/>
      <c r="O34" s="43">
        <f t="shared" si="3"/>
        <v>11</v>
      </c>
      <c r="P34" s="29">
        <v>14.0</v>
      </c>
      <c r="Q34" s="29">
        <v>14.0</v>
      </c>
      <c r="R34" s="41"/>
      <c r="S34" s="43">
        <f t="shared" si="4"/>
        <v>15</v>
      </c>
      <c r="T34" s="29">
        <v>27.0</v>
      </c>
      <c r="U34" s="29"/>
      <c r="V34" s="41"/>
      <c r="W34" s="43">
        <f t="shared" si="5"/>
        <v>17</v>
      </c>
      <c r="X34" s="22"/>
      <c r="Y34" s="41" t="s">
        <v>29</v>
      </c>
      <c r="Z34" s="22"/>
      <c r="AA34" s="4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54"/>
      <c r="AP34" s="4"/>
      <c r="AQ34" s="4"/>
      <c r="AR34" s="15"/>
      <c r="AS34" s="1"/>
      <c r="AT34" s="1"/>
      <c r="AU34" s="1"/>
      <c r="AV34" s="1"/>
      <c r="AW34" s="1"/>
      <c r="AX34" s="1"/>
      <c r="AY34" s="1"/>
      <c r="AZ34" s="1"/>
    </row>
    <row r="35" ht="16.5" customHeight="1">
      <c r="A35" s="38">
        <v>29.0</v>
      </c>
      <c r="B35" s="39">
        <v>7.11719205031E11</v>
      </c>
      <c r="C35" s="40" t="s">
        <v>80</v>
      </c>
      <c r="D35" s="41">
        <v>21.0</v>
      </c>
      <c r="E35" s="41">
        <v>15.0</v>
      </c>
      <c r="F35" s="42"/>
      <c r="G35" s="43">
        <f t="shared" si="1"/>
        <v>15</v>
      </c>
      <c r="H35" s="41">
        <v>19.0</v>
      </c>
      <c r="I35" s="41">
        <v>15.0</v>
      </c>
      <c r="J35" s="42"/>
      <c r="K35" s="43">
        <f t="shared" si="2"/>
        <v>18</v>
      </c>
      <c r="L35" s="41">
        <v>16.0</v>
      </c>
      <c r="M35" s="41">
        <v>15.0</v>
      </c>
      <c r="N35" s="41"/>
      <c r="O35" s="43">
        <f t="shared" si="3"/>
        <v>13</v>
      </c>
      <c r="P35" s="29">
        <v>16.0</v>
      </c>
      <c r="Q35" s="29">
        <v>13.0</v>
      </c>
      <c r="R35" s="41"/>
      <c r="S35" s="43">
        <f t="shared" si="4"/>
        <v>16</v>
      </c>
      <c r="T35" s="29">
        <v>28.0</v>
      </c>
      <c r="U35" s="29"/>
      <c r="V35" s="41"/>
      <c r="W35" s="43">
        <f t="shared" si="5"/>
        <v>18</v>
      </c>
      <c r="X35" s="22"/>
      <c r="Y35" s="41" t="s">
        <v>33</v>
      </c>
      <c r="Z35" s="22"/>
      <c r="AA35" s="4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54"/>
      <c r="AP35" s="4"/>
      <c r="AQ35" s="4"/>
      <c r="AR35" s="15"/>
      <c r="AS35" s="1"/>
      <c r="AT35" s="1"/>
      <c r="AU35" s="1"/>
      <c r="AV35" s="1"/>
      <c r="AW35" s="1"/>
      <c r="AX35" s="1"/>
      <c r="AY35" s="1"/>
      <c r="AZ35" s="1"/>
    </row>
    <row r="36" ht="16.5" customHeight="1">
      <c r="A36" s="38">
        <v>30.0</v>
      </c>
      <c r="B36" s="39">
        <v>7.11719205032E11</v>
      </c>
      <c r="C36" s="40" t="s">
        <v>81</v>
      </c>
      <c r="D36" s="41">
        <v>30.0</v>
      </c>
      <c r="E36" s="41">
        <v>17.0</v>
      </c>
      <c r="F36" s="42"/>
      <c r="G36" s="43">
        <f t="shared" si="1"/>
        <v>20</v>
      </c>
      <c r="H36" s="41">
        <v>20.0</v>
      </c>
      <c r="I36" s="41">
        <v>14.0</v>
      </c>
      <c r="J36" s="42"/>
      <c r="K36" s="43">
        <f t="shared" si="2"/>
        <v>18</v>
      </c>
      <c r="L36" s="41">
        <v>15.0</v>
      </c>
      <c r="M36" s="41">
        <v>14.0</v>
      </c>
      <c r="N36" s="41"/>
      <c r="O36" s="43">
        <f t="shared" si="3"/>
        <v>12</v>
      </c>
      <c r="P36" s="29">
        <v>15.0</v>
      </c>
      <c r="Q36" s="29">
        <v>14.0</v>
      </c>
      <c r="R36" s="41"/>
      <c r="S36" s="43">
        <f t="shared" si="4"/>
        <v>16</v>
      </c>
      <c r="T36" s="29">
        <v>23.0</v>
      </c>
      <c r="U36" s="29"/>
      <c r="V36" s="41"/>
      <c r="W36" s="43">
        <f t="shared" si="5"/>
        <v>14</v>
      </c>
      <c r="X36" s="22"/>
      <c r="Y36" s="41" t="s">
        <v>51</v>
      </c>
      <c r="Z36" s="22"/>
      <c r="AA36" s="44"/>
      <c r="AB36" s="14"/>
      <c r="AC36" s="79" t="s">
        <v>0</v>
      </c>
      <c r="AD36" s="10"/>
      <c r="AE36" s="10"/>
      <c r="AF36" s="10"/>
      <c r="AG36" s="10"/>
      <c r="AH36" s="10"/>
      <c r="AI36" s="10"/>
      <c r="AJ36" s="10"/>
      <c r="AK36" s="10"/>
      <c r="AL36" s="11"/>
      <c r="AM36" s="14"/>
      <c r="AN36" s="14"/>
      <c r="AO36" s="54"/>
      <c r="AP36" s="4"/>
      <c r="AQ36" s="4"/>
      <c r="AR36" s="15"/>
      <c r="AS36" s="1"/>
      <c r="AT36" s="1"/>
      <c r="AU36" s="1"/>
      <c r="AV36" s="1"/>
      <c r="AW36" s="1"/>
      <c r="AX36" s="1"/>
      <c r="AY36" s="1"/>
      <c r="AZ36" s="1"/>
    </row>
    <row r="37" ht="16.5" customHeight="1">
      <c r="A37" s="38">
        <v>31.0</v>
      </c>
      <c r="B37" s="39">
        <v>7.11719205033E11</v>
      </c>
      <c r="C37" s="40" t="s">
        <v>82</v>
      </c>
      <c r="D37" s="41">
        <v>21.0</v>
      </c>
      <c r="E37" s="41">
        <v>11.0</v>
      </c>
      <c r="F37" s="42"/>
      <c r="G37" s="43">
        <f t="shared" si="1"/>
        <v>14</v>
      </c>
      <c r="H37" s="41">
        <v>12.0</v>
      </c>
      <c r="I37" s="41">
        <v>16.0</v>
      </c>
      <c r="J37" s="42"/>
      <c r="K37" s="43">
        <f t="shared" si="2"/>
        <v>15</v>
      </c>
      <c r="L37" s="41">
        <v>25.0</v>
      </c>
      <c r="M37" s="41">
        <v>10.0</v>
      </c>
      <c r="N37" s="41"/>
      <c r="O37" s="43">
        <f t="shared" si="3"/>
        <v>15</v>
      </c>
      <c r="P37" s="29">
        <v>8.0</v>
      </c>
      <c r="Q37" s="29">
        <v>10.0</v>
      </c>
      <c r="R37" s="41"/>
      <c r="S37" s="43">
        <f t="shared" si="4"/>
        <v>10</v>
      </c>
      <c r="T37" s="29">
        <v>23.0</v>
      </c>
      <c r="U37" s="29"/>
      <c r="V37" s="41"/>
      <c r="W37" s="43">
        <f t="shared" si="5"/>
        <v>14</v>
      </c>
      <c r="X37" s="22"/>
      <c r="Y37" s="41" t="s">
        <v>33</v>
      </c>
      <c r="Z37" s="22"/>
      <c r="AA37" s="44"/>
      <c r="AB37" s="14"/>
      <c r="AC37" s="80" t="s">
        <v>83</v>
      </c>
      <c r="AD37" s="10"/>
      <c r="AE37" s="10"/>
      <c r="AF37" s="10"/>
      <c r="AG37" s="11"/>
      <c r="AH37" s="81" t="s">
        <v>59</v>
      </c>
      <c r="AI37" s="10"/>
      <c r="AJ37" s="10"/>
      <c r="AK37" s="10"/>
      <c r="AL37" s="11"/>
      <c r="AM37" s="14"/>
      <c r="AN37" s="14"/>
      <c r="AO37" s="54"/>
      <c r="AP37" s="4"/>
      <c r="AQ37" s="4"/>
      <c r="AR37" s="15"/>
      <c r="AS37" s="1"/>
      <c r="AT37" s="1"/>
      <c r="AU37" s="1"/>
      <c r="AV37" s="1"/>
      <c r="AW37" s="1"/>
      <c r="AX37" s="1"/>
      <c r="AY37" s="1"/>
      <c r="AZ37" s="1"/>
    </row>
    <row r="38" ht="16.5" customHeight="1">
      <c r="A38" s="38">
        <v>32.0</v>
      </c>
      <c r="B38" s="39">
        <v>7.11719205034E11</v>
      </c>
      <c r="C38" s="40" t="s">
        <v>84</v>
      </c>
      <c r="D38" s="41">
        <v>26.0</v>
      </c>
      <c r="E38" s="41">
        <v>14.0</v>
      </c>
      <c r="F38" s="42"/>
      <c r="G38" s="43">
        <f t="shared" si="1"/>
        <v>17</v>
      </c>
      <c r="H38" s="41">
        <v>8.0</v>
      </c>
      <c r="I38" s="41">
        <v>10.0</v>
      </c>
      <c r="J38" s="42"/>
      <c r="K38" s="43">
        <f t="shared" si="2"/>
        <v>10</v>
      </c>
      <c r="L38" s="41">
        <v>27.0</v>
      </c>
      <c r="M38" s="41">
        <v>11.0</v>
      </c>
      <c r="N38" s="41"/>
      <c r="O38" s="43">
        <f t="shared" si="3"/>
        <v>16</v>
      </c>
      <c r="P38" s="29">
        <v>7.0</v>
      </c>
      <c r="Q38" s="29">
        <v>9.0</v>
      </c>
      <c r="R38" s="41"/>
      <c r="S38" s="43">
        <f t="shared" si="4"/>
        <v>9</v>
      </c>
      <c r="T38" s="29">
        <v>20.0</v>
      </c>
      <c r="U38" s="29"/>
      <c r="V38" s="41"/>
      <c r="W38" s="43">
        <f t="shared" si="5"/>
        <v>13</v>
      </c>
      <c r="X38" s="22"/>
      <c r="Y38" s="41" t="s">
        <v>29</v>
      </c>
      <c r="Z38" s="22"/>
      <c r="AA38" s="44"/>
      <c r="AB38" s="14"/>
      <c r="AC38" s="25" t="s">
        <v>85</v>
      </c>
      <c r="AD38" s="10"/>
      <c r="AE38" s="10"/>
      <c r="AF38" s="10"/>
      <c r="AG38" s="11"/>
      <c r="AH38" s="82" t="s">
        <v>5</v>
      </c>
      <c r="AI38" s="82" t="s">
        <v>6</v>
      </c>
      <c r="AJ38" s="82" t="s">
        <v>7</v>
      </c>
      <c r="AK38" s="82" t="s">
        <v>8</v>
      </c>
      <c r="AL38" s="82" t="s">
        <v>9</v>
      </c>
      <c r="AM38" s="14"/>
      <c r="AN38" s="14"/>
      <c r="AO38" s="54"/>
      <c r="AP38" s="4"/>
      <c r="AQ38" s="4"/>
      <c r="AR38" s="15"/>
      <c r="AS38" s="1"/>
      <c r="AT38" s="1"/>
      <c r="AU38" s="1"/>
      <c r="AV38" s="1"/>
      <c r="AW38" s="1"/>
      <c r="AX38" s="1"/>
      <c r="AY38" s="1"/>
      <c r="AZ38" s="1"/>
    </row>
    <row r="39" ht="16.5" customHeight="1">
      <c r="A39" s="38">
        <v>33.0</v>
      </c>
      <c r="B39" s="39">
        <v>7.11719205035E11</v>
      </c>
      <c r="C39" s="40" t="s">
        <v>86</v>
      </c>
      <c r="D39" s="41">
        <v>23.0</v>
      </c>
      <c r="E39" s="41">
        <v>16.0</v>
      </c>
      <c r="F39" s="42"/>
      <c r="G39" s="43">
        <f t="shared" si="1"/>
        <v>17</v>
      </c>
      <c r="H39" s="41">
        <v>10.0</v>
      </c>
      <c r="I39" s="41">
        <v>10.0</v>
      </c>
      <c r="J39" s="42"/>
      <c r="K39" s="43">
        <f t="shared" si="2"/>
        <v>11</v>
      </c>
      <c r="L39" s="41">
        <v>18.0</v>
      </c>
      <c r="M39" s="41">
        <v>14.0</v>
      </c>
      <c r="N39" s="41"/>
      <c r="O39" s="43">
        <f t="shared" si="3"/>
        <v>14</v>
      </c>
      <c r="P39" s="29">
        <v>14.0</v>
      </c>
      <c r="Q39" s="29">
        <v>15.0</v>
      </c>
      <c r="R39" s="41"/>
      <c r="S39" s="43">
        <f t="shared" si="4"/>
        <v>16</v>
      </c>
      <c r="T39" s="29">
        <v>25.0</v>
      </c>
      <c r="U39" s="29"/>
      <c r="V39" s="41"/>
      <c r="W39" s="43">
        <f t="shared" si="5"/>
        <v>16</v>
      </c>
      <c r="X39" s="22"/>
      <c r="Y39" s="41" t="s">
        <v>29</v>
      </c>
      <c r="Z39" s="22"/>
      <c r="AA39" s="44"/>
      <c r="AB39" s="14"/>
      <c r="AC39" s="83" t="s">
        <v>87</v>
      </c>
      <c r="AD39" s="10"/>
      <c r="AE39" s="10"/>
      <c r="AF39" s="10"/>
      <c r="AG39" s="11"/>
      <c r="AH39" s="84">
        <v>3.0</v>
      </c>
      <c r="AI39" s="84">
        <v>3.0</v>
      </c>
      <c r="AJ39" s="84">
        <v>3.0</v>
      </c>
      <c r="AK39" s="84">
        <v>3.0</v>
      </c>
      <c r="AL39" s="84">
        <v>3.0</v>
      </c>
      <c r="AM39" s="14"/>
      <c r="AN39" s="14"/>
      <c r="AO39" s="54"/>
      <c r="AP39" s="4"/>
      <c r="AQ39" s="4"/>
      <c r="AR39" s="15"/>
      <c r="AS39" s="1"/>
      <c r="AT39" s="1"/>
      <c r="AU39" s="1"/>
      <c r="AV39" s="1"/>
      <c r="AW39" s="1"/>
      <c r="AX39" s="1"/>
      <c r="AY39" s="1"/>
      <c r="AZ39" s="1"/>
    </row>
    <row r="40" ht="16.5" customHeight="1">
      <c r="A40" s="38">
        <v>34.0</v>
      </c>
      <c r="B40" s="39">
        <v>7.11719205036E11</v>
      </c>
      <c r="C40" s="40" t="s">
        <v>88</v>
      </c>
      <c r="D40" s="41">
        <v>14.0</v>
      </c>
      <c r="E40" s="41">
        <v>9.0</v>
      </c>
      <c r="F40" s="42"/>
      <c r="G40" s="43">
        <f t="shared" si="1"/>
        <v>10</v>
      </c>
      <c r="H40" s="41">
        <v>16.0</v>
      </c>
      <c r="I40" s="41">
        <v>9.0</v>
      </c>
      <c r="J40" s="42"/>
      <c r="K40" s="43">
        <f t="shared" si="2"/>
        <v>14</v>
      </c>
      <c r="L40" s="41">
        <v>19.0</v>
      </c>
      <c r="M40" s="41">
        <v>14.0</v>
      </c>
      <c r="N40" s="41"/>
      <c r="O40" s="43">
        <f t="shared" si="3"/>
        <v>14</v>
      </c>
      <c r="P40" s="29">
        <v>11.0</v>
      </c>
      <c r="Q40" s="29">
        <v>10.0</v>
      </c>
      <c r="R40" s="41"/>
      <c r="S40" s="43">
        <f t="shared" si="4"/>
        <v>11</v>
      </c>
      <c r="T40" s="29">
        <v>28.0</v>
      </c>
      <c r="U40" s="29"/>
      <c r="V40" s="41"/>
      <c r="W40" s="43">
        <f t="shared" si="5"/>
        <v>18</v>
      </c>
      <c r="X40" s="22"/>
      <c r="Y40" s="41" t="s">
        <v>33</v>
      </c>
      <c r="Z40" s="22"/>
      <c r="AA40" s="44"/>
      <c r="AB40" s="14"/>
      <c r="AC40" s="83" t="s">
        <v>89</v>
      </c>
      <c r="AD40" s="10"/>
      <c r="AE40" s="10"/>
      <c r="AF40" s="10"/>
      <c r="AG40" s="11"/>
      <c r="AH40" s="84">
        <v>58.0</v>
      </c>
      <c r="AI40" s="84">
        <v>62.0</v>
      </c>
      <c r="AJ40" s="84">
        <v>62.0</v>
      </c>
      <c r="AK40" s="84">
        <v>60.0</v>
      </c>
      <c r="AL40" s="84">
        <v>62.0</v>
      </c>
      <c r="AM40" s="14"/>
      <c r="AN40" s="14"/>
      <c r="AO40" s="54"/>
      <c r="AP40" s="4"/>
      <c r="AQ40" s="4"/>
      <c r="AR40" s="15"/>
      <c r="AS40" s="1"/>
      <c r="AT40" s="1"/>
      <c r="AU40" s="1"/>
      <c r="AV40" s="1"/>
      <c r="AW40" s="1"/>
      <c r="AX40" s="1"/>
      <c r="AY40" s="1"/>
      <c r="AZ40" s="1"/>
    </row>
    <row r="41" ht="16.5" customHeight="1">
      <c r="A41" s="38">
        <v>35.0</v>
      </c>
      <c r="B41" s="39">
        <v>7.11719205037E11</v>
      </c>
      <c r="C41" s="40" t="s">
        <v>90</v>
      </c>
      <c r="D41" s="41">
        <v>26.0</v>
      </c>
      <c r="E41" s="41">
        <v>11.0</v>
      </c>
      <c r="F41" s="42"/>
      <c r="G41" s="43">
        <f t="shared" si="1"/>
        <v>16</v>
      </c>
      <c r="H41" s="41">
        <v>4.0</v>
      </c>
      <c r="I41" s="41">
        <v>7.0</v>
      </c>
      <c r="J41" s="42"/>
      <c r="K41" s="43">
        <f t="shared" si="2"/>
        <v>6</v>
      </c>
      <c r="L41" s="41">
        <v>18.0</v>
      </c>
      <c r="M41" s="41">
        <v>5.0</v>
      </c>
      <c r="N41" s="41"/>
      <c r="O41" s="43">
        <f t="shared" si="3"/>
        <v>10</v>
      </c>
      <c r="P41" s="29">
        <v>9.0</v>
      </c>
      <c r="Q41" s="29">
        <v>8.0</v>
      </c>
      <c r="R41" s="41"/>
      <c r="S41" s="43">
        <f t="shared" si="4"/>
        <v>9</v>
      </c>
      <c r="T41" s="29">
        <v>19.0</v>
      </c>
      <c r="U41" s="29"/>
      <c r="V41" s="41"/>
      <c r="W41" s="43">
        <f t="shared" si="5"/>
        <v>12</v>
      </c>
      <c r="X41" s="22"/>
      <c r="Y41" s="41" t="s">
        <v>33</v>
      </c>
      <c r="Z41" s="22"/>
      <c r="AA41" s="44"/>
      <c r="AB41" s="14"/>
      <c r="AC41" s="85" t="s">
        <v>91</v>
      </c>
      <c r="AD41" s="10"/>
      <c r="AE41" s="10"/>
      <c r="AF41" s="10"/>
      <c r="AG41" s="11"/>
      <c r="AH41" s="86">
        <f t="shared" ref="AH41:AL41" si="6">AH40/62*100</f>
        <v>93.5483871</v>
      </c>
      <c r="AI41" s="86">
        <f t="shared" si="6"/>
        <v>100</v>
      </c>
      <c r="AJ41" s="86">
        <f t="shared" si="6"/>
        <v>100</v>
      </c>
      <c r="AK41" s="86">
        <f t="shared" si="6"/>
        <v>96.77419355</v>
      </c>
      <c r="AL41" s="86">
        <f t="shared" si="6"/>
        <v>100</v>
      </c>
      <c r="AM41" s="14"/>
      <c r="AN41" s="14"/>
      <c r="AO41" s="54"/>
      <c r="AP41" s="4"/>
      <c r="AQ41" s="4"/>
      <c r="AR41" s="15"/>
      <c r="AS41" s="1"/>
      <c r="AT41" s="1"/>
      <c r="AU41" s="1"/>
      <c r="AV41" s="1"/>
      <c r="AW41" s="1"/>
      <c r="AX41" s="1"/>
      <c r="AY41" s="1"/>
      <c r="AZ41" s="1"/>
    </row>
    <row r="42" ht="16.5" customHeight="1">
      <c r="A42" s="38">
        <v>36.0</v>
      </c>
      <c r="B42" s="39">
        <v>7.11719205038E11</v>
      </c>
      <c r="C42" s="40" t="s">
        <v>92</v>
      </c>
      <c r="D42" s="41">
        <v>21.0</v>
      </c>
      <c r="E42" s="41">
        <v>14.0</v>
      </c>
      <c r="F42" s="42"/>
      <c r="G42" s="43">
        <f t="shared" si="1"/>
        <v>15</v>
      </c>
      <c r="H42" s="41">
        <v>12.0</v>
      </c>
      <c r="I42" s="41">
        <v>10.0</v>
      </c>
      <c r="J42" s="42"/>
      <c r="K42" s="43">
        <f t="shared" si="2"/>
        <v>12</v>
      </c>
      <c r="L42" s="41">
        <v>14.0</v>
      </c>
      <c r="M42" s="41">
        <v>10.0</v>
      </c>
      <c r="N42" s="41"/>
      <c r="O42" s="43">
        <f t="shared" si="3"/>
        <v>10</v>
      </c>
      <c r="P42" s="29">
        <v>16.0</v>
      </c>
      <c r="Q42" s="29">
        <v>15.0</v>
      </c>
      <c r="R42" s="41"/>
      <c r="S42" s="43">
        <f t="shared" si="4"/>
        <v>17</v>
      </c>
      <c r="T42" s="29">
        <v>31.0</v>
      </c>
      <c r="U42" s="29"/>
      <c r="V42" s="41"/>
      <c r="W42" s="43">
        <f t="shared" si="5"/>
        <v>19</v>
      </c>
      <c r="X42" s="22"/>
      <c r="Y42" s="41" t="s">
        <v>22</v>
      </c>
      <c r="Z42" s="22"/>
      <c r="AA42" s="44"/>
      <c r="AB42" s="14"/>
      <c r="AC42" s="87" t="s">
        <v>93</v>
      </c>
      <c r="AD42" s="88"/>
      <c r="AE42" s="88"/>
      <c r="AF42" s="88"/>
      <c r="AG42" s="89"/>
      <c r="AH42" s="90">
        <f t="shared" ref="AH42:AL42" si="7">IF(AH41&gt;$AE$17,3,(IF(AH41&gt;=$AE$16,2,(IF(AH41&gt;$AE$15,1,0)))))</f>
        <v>3</v>
      </c>
      <c r="AI42" s="91">
        <f t="shared" si="7"/>
        <v>3</v>
      </c>
      <c r="AJ42" s="91">
        <f t="shared" si="7"/>
        <v>3</v>
      </c>
      <c r="AK42" s="91">
        <f t="shared" si="7"/>
        <v>3</v>
      </c>
      <c r="AL42" s="91">
        <f t="shared" si="7"/>
        <v>3</v>
      </c>
      <c r="AM42" s="14"/>
      <c r="AN42" s="14"/>
      <c r="AO42" s="54"/>
      <c r="AP42" s="4"/>
      <c r="AQ42" s="4"/>
      <c r="AR42" s="15"/>
      <c r="AS42" s="1"/>
      <c r="AT42" s="1"/>
      <c r="AU42" s="1"/>
      <c r="AV42" s="1"/>
      <c r="AW42" s="1"/>
      <c r="AX42" s="1"/>
      <c r="AY42" s="1"/>
      <c r="AZ42" s="1"/>
    </row>
    <row r="43" ht="16.5" customHeight="1">
      <c r="A43" s="38">
        <v>37.0</v>
      </c>
      <c r="B43" s="39">
        <v>7.11719205039E11</v>
      </c>
      <c r="C43" s="40" t="s">
        <v>94</v>
      </c>
      <c r="D43" s="41">
        <v>14.0</v>
      </c>
      <c r="E43" s="41">
        <v>11.0</v>
      </c>
      <c r="F43" s="42"/>
      <c r="G43" s="43">
        <f t="shared" si="1"/>
        <v>11</v>
      </c>
      <c r="H43" s="41">
        <v>20.0</v>
      </c>
      <c r="I43" s="41">
        <v>11.0</v>
      </c>
      <c r="J43" s="42"/>
      <c r="K43" s="43">
        <f t="shared" si="2"/>
        <v>17</v>
      </c>
      <c r="L43" s="41">
        <v>21.0</v>
      </c>
      <c r="M43" s="41">
        <v>12.0</v>
      </c>
      <c r="N43" s="41"/>
      <c r="O43" s="43">
        <f t="shared" si="3"/>
        <v>14</v>
      </c>
      <c r="P43" s="29">
        <v>16.0</v>
      </c>
      <c r="Q43" s="29">
        <v>15.0</v>
      </c>
      <c r="R43" s="41"/>
      <c r="S43" s="43">
        <f t="shared" si="4"/>
        <v>17</v>
      </c>
      <c r="T43" s="29">
        <v>31.0</v>
      </c>
      <c r="U43" s="29"/>
      <c r="V43" s="41"/>
      <c r="W43" s="43">
        <f t="shared" si="5"/>
        <v>19</v>
      </c>
      <c r="X43" s="22"/>
      <c r="Y43" s="41" t="s">
        <v>29</v>
      </c>
      <c r="Z43" s="22"/>
      <c r="AA43" s="44"/>
      <c r="AB43" s="14"/>
      <c r="AC43" s="92" t="s">
        <v>95</v>
      </c>
      <c r="AD43" s="7"/>
      <c r="AE43" s="7"/>
      <c r="AF43" s="7"/>
      <c r="AG43" s="7"/>
      <c r="AH43" s="7"/>
      <c r="AI43" s="7"/>
      <c r="AJ43" s="7"/>
      <c r="AK43" s="7"/>
      <c r="AL43" s="8"/>
      <c r="AM43" s="14"/>
      <c r="AN43" s="14"/>
      <c r="AO43" s="54"/>
      <c r="AP43" s="4"/>
      <c r="AQ43" s="4"/>
      <c r="AR43" s="15"/>
      <c r="AS43" s="1"/>
      <c r="AT43" s="1"/>
      <c r="AU43" s="1"/>
      <c r="AV43" s="1"/>
      <c r="AW43" s="1"/>
      <c r="AX43" s="1"/>
      <c r="AY43" s="1"/>
      <c r="AZ43" s="1"/>
    </row>
    <row r="44" ht="16.5" customHeight="1">
      <c r="A44" s="38">
        <v>38.0</v>
      </c>
      <c r="B44" s="39">
        <v>7.1171920504E11</v>
      </c>
      <c r="C44" s="40" t="s">
        <v>96</v>
      </c>
      <c r="D44" s="41">
        <v>17.0</v>
      </c>
      <c r="E44" s="41">
        <v>10.0</v>
      </c>
      <c r="F44" s="42"/>
      <c r="G44" s="43">
        <f t="shared" si="1"/>
        <v>11</v>
      </c>
      <c r="H44" s="41">
        <v>20.0</v>
      </c>
      <c r="I44" s="41">
        <v>17.0</v>
      </c>
      <c r="J44" s="42"/>
      <c r="K44" s="43">
        <f t="shared" si="2"/>
        <v>20</v>
      </c>
      <c r="L44" s="41">
        <v>21.0</v>
      </c>
      <c r="M44" s="41">
        <v>12.0</v>
      </c>
      <c r="N44" s="41"/>
      <c r="O44" s="43">
        <f t="shared" si="3"/>
        <v>14</v>
      </c>
      <c r="P44" s="29">
        <v>14.0</v>
      </c>
      <c r="Q44" s="29">
        <v>14.0</v>
      </c>
      <c r="R44" s="41"/>
      <c r="S44" s="43">
        <f t="shared" si="4"/>
        <v>15</v>
      </c>
      <c r="T44" s="29">
        <v>23.0</v>
      </c>
      <c r="U44" s="29"/>
      <c r="V44" s="41"/>
      <c r="W44" s="43">
        <f t="shared" si="5"/>
        <v>14</v>
      </c>
      <c r="X44" s="22"/>
      <c r="Y44" s="41" t="s">
        <v>22</v>
      </c>
      <c r="Z44" s="22"/>
      <c r="AA44" s="44"/>
      <c r="AB44" s="14"/>
      <c r="AC44" s="62"/>
      <c r="AL44" s="63"/>
      <c r="AM44" s="14"/>
      <c r="AN44" s="14"/>
      <c r="AO44" s="54"/>
      <c r="AP44" s="4"/>
      <c r="AQ44" s="4"/>
      <c r="AR44" s="15"/>
      <c r="AS44" s="1"/>
      <c r="AT44" s="1"/>
      <c r="AU44" s="1"/>
      <c r="AV44" s="1"/>
      <c r="AW44" s="1"/>
      <c r="AX44" s="1"/>
      <c r="AY44" s="1"/>
      <c r="AZ44" s="1"/>
    </row>
    <row r="45" ht="16.5" customHeight="1">
      <c r="A45" s="38">
        <v>39.0</v>
      </c>
      <c r="B45" s="39">
        <v>7.11719205041E11</v>
      </c>
      <c r="C45" s="40" t="s">
        <v>97</v>
      </c>
      <c r="D45" s="41">
        <v>20.0</v>
      </c>
      <c r="E45" s="41">
        <v>13.0</v>
      </c>
      <c r="F45" s="42"/>
      <c r="G45" s="43">
        <f t="shared" si="1"/>
        <v>14</v>
      </c>
      <c r="H45" s="41">
        <v>14.0</v>
      </c>
      <c r="I45" s="41">
        <v>13.0</v>
      </c>
      <c r="J45" s="42"/>
      <c r="K45" s="43">
        <f t="shared" si="2"/>
        <v>15</v>
      </c>
      <c r="L45" s="41">
        <v>19.0</v>
      </c>
      <c r="M45" s="41">
        <v>13.0</v>
      </c>
      <c r="N45" s="41"/>
      <c r="O45" s="43">
        <f t="shared" si="3"/>
        <v>14</v>
      </c>
      <c r="P45" s="29">
        <v>12.0</v>
      </c>
      <c r="Q45" s="29">
        <v>16.0</v>
      </c>
      <c r="R45" s="41"/>
      <c r="S45" s="43">
        <f t="shared" si="4"/>
        <v>15</v>
      </c>
      <c r="T45" s="29">
        <v>27.0</v>
      </c>
      <c r="U45" s="29"/>
      <c r="V45" s="41"/>
      <c r="W45" s="43">
        <f t="shared" si="5"/>
        <v>17</v>
      </c>
      <c r="X45" s="22"/>
      <c r="Y45" s="41" t="s">
        <v>29</v>
      </c>
      <c r="Z45" s="22"/>
      <c r="AA45" s="44"/>
      <c r="AB45" s="14"/>
      <c r="AC45" s="62"/>
      <c r="AL45" s="63"/>
      <c r="AM45" s="14"/>
      <c r="AN45" s="14"/>
      <c r="AO45" s="54"/>
      <c r="AP45" s="4"/>
      <c r="AQ45" s="4"/>
      <c r="AR45" s="15"/>
      <c r="AS45" s="1"/>
      <c r="AT45" s="1"/>
      <c r="AU45" s="1"/>
      <c r="AV45" s="1"/>
      <c r="AW45" s="1"/>
      <c r="AX45" s="1"/>
      <c r="AY45" s="1"/>
      <c r="AZ45" s="1"/>
    </row>
    <row r="46" ht="16.5" customHeight="1">
      <c r="A46" s="38">
        <v>40.0</v>
      </c>
      <c r="B46" s="39">
        <v>7.11719205042E11</v>
      </c>
      <c r="C46" s="40" t="s">
        <v>98</v>
      </c>
      <c r="D46" s="41">
        <v>15.0</v>
      </c>
      <c r="E46" s="41">
        <v>12.0</v>
      </c>
      <c r="F46" s="42"/>
      <c r="G46" s="43">
        <f t="shared" si="1"/>
        <v>11</v>
      </c>
      <c r="H46" s="41">
        <v>20.0</v>
      </c>
      <c r="I46" s="41">
        <v>15.0</v>
      </c>
      <c r="J46" s="42"/>
      <c r="K46" s="43">
        <f t="shared" si="2"/>
        <v>19</v>
      </c>
      <c r="L46" s="41">
        <v>25.0</v>
      </c>
      <c r="M46" s="41">
        <v>9.0</v>
      </c>
      <c r="N46" s="41"/>
      <c r="O46" s="43">
        <f t="shared" si="3"/>
        <v>14</v>
      </c>
      <c r="P46" s="29">
        <v>11.0</v>
      </c>
      <c r="Q46" s="29">
        <v>10.0</v>
      </c>
      <c r="R46" s="41"/>
      <c r="S46" s="43">
        <f t="shared" si="4"/>
        <v>11</v>
      </c>
      <c r="T46" s="29">
        <v>24.0</v>
      </c>
      <c r="U46" s="29"/>
      <c r="V46" s="41"/>
      <c r="W46" s="43">
        <f t="shared" si="5"/>
        <v>15</v>
      </c>
      <c r="X46" s="22"/>
      <c r="Y46" s="41" t="s">
        <v>29</v>
      </c>
      <c r="Z46" s="22"/>
      <c r="AA46" s="44"/>
      <c r="AB46" s="14"/>
      <c r="AC46" s="62"/>
      <c r="AL46" s="63"/>
      <c r="AM46" s="14"/>
      <c r="AN46" s="14"/>
      <c r="AO46" s="54"/>
      <c r="AP46" s="4"/>
      <c r="AQ46" s="4"/>
      <c r="AR46" s="15"/>
      <c r="AS46" s="1"/>
      <c r="AT46" s="1"/>
      <c r="AU46" s="1"/>
      <c r="AV46" s="1"/>
      <c r="AW46" s="1"/>
      <c r="AX46" s="1"/>
      <c r="AY46" s="1"/>
      <c r="AZ46" s="1"/>
    </row>
    <row r="47" ht="16.5" customHeight="1">
      <c r="A47" s="38">
        <v>41.0</v>
      </c>
      <c r="B47" s="39">
        <v>7.11719205043E11</v>
      </c>
      <c r="C47" s="40" t="s">
        <v>99</v>
      </c>
      <c r="D47" s="41">
        <v>30.0</v>
      </c>
      <c r="E47" s="41">
        <v>16.0</v>
      </c>
      <c r="F47" s="42"/>
      <c r="G47" s="43">
        <f t="shared" si="1"/>
        <v>20</v>
      </c>
      <c r="H47" s="41">
        <v>18.0</v>
      </c>
      <c r="I47" s="41">
        <v>13.0</v>
      </c>
      <c r="J47" s="42"/>
      <c r="K47" s="43">
        <f t="shared" si="2"/>
        <v>17</v>
      </c>
      <c r="L47" s="41">
        <v>25.0</v>
      </c>
      <c r="M47" s="41">
        <v>16.0</v>
      </c>
      <c r="N47" s="41"/>
      <c r="O47" s="43">
        <f t="shared" si="3"/>
        <v>17</v>
      </c>
      <c r="P47" s="29">
        <v>7.0</v>
      </c>
      <c r="Q47" s="29">
        <v>17.0</v>
      </c>
      <c r="R47" s="41"/>
      <c r="S47" s="43">
        <f t="shared" si="4"/>
        <v>13</v>
      </c>
      <c r="T47" s="29">
        <v>30.0</v>
      </c>
      <c r="U47" s="29"/>
      <c r="V47" s="41"/>
      <c r="W47" s="43">
        <f t="shared" si="5"/>
        <v>19</v>
      </c>
      <c r="X47" s="22"/>
      <c r="Y47" s="41" t="s">
        <v>51</v>
      </c>
      <c r="Z47" s="22"/>
      <c r="AA47" s="44"/>
      <c r="AB47" s="14"/>
      <c r="AC47" s="62"/>
      <c r="AL47" s="63"/>
      <c r="AM47" s="14"/>
      <c r="AN47" s="14"/>
      <c r="AO47" s="54"/>
      <c r="AP47" s="4"/>
      <c r="AQ47" s="4"/>
      <c r="AR47" s="15"/>
      <c r="AS47" s="1"/>
      <c r="AT47" s="1"/>
      <c r="AU47" s="1"/>
      <c r="AV47" s="1"/>
      <c r="AW47" s="1"/>
      <c r="AX47" s="1"/>
      <c r="AY47" s="1"/>
      <c r="AZ47" s="1"/>
    </row>
    <row r="48" ht="16.5" customHeight="1">
      <c r="A48" s="38">
        <v>42.0</v>
      </c>
      <c r="B48" s="39">
        <v>7.11719205044E11</v>
      </c>
      <c r="C48" s="40" t="s">
        <v>100</v>
      </c>
      <c r="D48" s="41">
        <v>30.0</v>
      </c>
      <c r="E48" s="41">
        <v>13.0</v>
      </c>
      <c r="F48" s="42"/>
      <c r="G48" s="43">
        <f t="shared" si="1"/>
        <v>18</v>
      </c>
      <c r="H48" s="41">
        <v>11.0</v>
      </c>
      <c r="I48" s="41">
        <v>14.0</v>
      </c>
      <c r="J48" s="42"/>
      <c r="K48" s="43">
        <f t="shared" si="2"/>
        <v>14</v>
      </c>
      <c r="L48" s="41">
        <v>16.0</v>
      </c>
      <c r="M48" s="41">
        <v>16.0</v>
      </c>
      <c r="N48" s="41"/>
      <c r="O48" s="43">
        <f t="shared" si="3"/>
        <v>14</v>
      </c>
      <c r="P48" s="29">
        <v>14.0</v>
      </c>
      <c r="Q48" s="29">
        <v>14.0</v>
      </c>
      <c r="R48" s="41"/>
      <c r="S48" s="43">
        <f t="shared" si="4"/>
        <v>15</v>
      </c>
      <c r="T48" s="29">
        <v>25.0</v>
      </c>
      <c r="U48" s="29"/>
      <c r="V48" s="41"/>
      <c r="W48" s="43">
        <f t="shared" si="5"/>
        <v>16</v>
      </c>
      <c r="X48" s="22"/>
      <c r="Y48" s="41" t="s">
        <v>29</v>
      </c>
      <c r="Z48" s="22"/>
      <c r="AA48" s="44"/>
      <c r="AB48" s="14"/>
      <c r="AC48" s="16"/>
      <c r="AD48" s="17"/>
      <c r="AE48" s="17"/>
      <c r="AF48" s="17"/>
      <c r="AG48" s="17"/>
      <c r="AH48" s="17"/>
      <c r="AI48" s="17"/>
      <c r="AJ48" s="17"/>
      <c r="AK48" s="17"/>
      <c r="AL48" s="18"/>
      <c r="AM48" s="14"/>
      <c r="AN48" s="14"/>
      <c r="AO48" s="54"/>
      <c r="AP48" s="4"/>
      <c r="AQ48" s="4"/>
      <c r="AR48" s="15"/>
      <c r="AS48" s="1"/>
      <c r="AT48" s="1"/>
      <c r="AU48" s="1"/>
      <c r="AV48" s="1"/>
      <c r="AW48" s="1"/>
      <c r="AX48" s="1"/>
      <c r="AY48" s="1"/>
      <c r="AZ48" s="1"/>
    </row>
    <row r="49" ht="16.5" customHeight="1">
      <c r="A49" s="38">
        <v>43.0</v>
      </c>
      <c r="B49" s="39">
        <v>7.11719205045E11</v>
      </c>
      <c r="C49" s="40" t="s">
        <v>101</v>
      </c>
      <c r="D49" s="41">
        <v>30.0</v>
      </c>
      <c r="E49" s="41">
        <v>17.0</v>
      </c>
      <c r="F49" s="42"/>
      <c r="G49" s="43">
        <f t="shared" si="1"/>
        <v>20</v>
      </c>
      <c r="H49" s="41">
        <v>20.0</v>
      </c>
      <c r="I49" s="41">
        <v>17.0</v>
      </c>
      <c r="J49" s="42"/>
      <c r="K49" s="43">
        <f t="shared" si="2"/>
        <v>20</v>
      </c>
      <c r="L49" s="41">
        <v>27.0</v>
      </c>
      <c r="M49" s="41">
        <v>17.0</v>
      </c>
      <c r="N49" s="41"/>
      <c r="O49" s="43">
        <f t="shared" si="3"/>
        <v>19</v>
      </c>
      <c r="P49" s="29">
        <v>9.0</v>
      </c>
      <c r="Q49" s="29">
        <v>15.0</v>
      </c>
      <c r="R49" s="41"/>
      <c r="S49" s="43">
        <f t="shared" si="4"/>
        <v>13</v>
      </c>
      <c r="T49" s="29">
        <v>32.0</v>
      </c>
      <c r="U49" s="29"/>
      <c r="V49" s="41"/>
      <c r="W49" s="43">
        <f t="shared" si="5"/>
        <v>20</v>
      </c>
      <c r="X49" s="22"/>
      <c r="Y49" s="41" t="s">
        <v>51</v>
      </c>
      <c r="Z49" s="22"/>
      <c r="AA49" s="44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54"/>
      <c r="AP49" s="4"/>
      <c r="AQ49" s="4"/>
      <c r="AR49" s="15"/>
      <c r="AS49" s="1"/>
      <c r="AT49" s="1"/>
      <c r="AU49" s="1"/>
      <c r="AV49" s="1"/>
      <c r="AW49" s="1"/>
      <c r="AX49" s="1"/>
      <c r="AY49" s="1"/>
      <c r="AZ49" s="1"/>
    </row>
    <row r="50" ht="16.5" customHeight="1">
      <c r="A50" s="38">
        <v>44.0</v>
      </c>
      <c r="B50" s="39">
        <v>7.11719205046E11</v>
      </c>
      <c r="C50" s="40" t="s">
        <v>102</v>
      </c>
      <c r="D50" s="41">
        <v>17.0</v>
      </c>
      <c r="E50" s="41">
        <v>14.0</v>
      </c>
      <c r="F50" s="42"/>
      <c r="G50" s="43">
        <f t="shared" si="1"/>
        <v>13</v>
      </c>
      <c r="H50" s="41">
        <v>16.0</v>
      </c>
      <c r="I50" s="41">
        <v>14.0</v>
      </c>
      <c r="J50" s="42"/>
      <c r="K50" s="43">
        <f t="shared" si="2"/>
        <v>16</v>
      </c>
      <c r="L50" s="41">
        <v>25.0</v>
      </c>
      <c r="M50" s="41">
        <v>15.0</v>
      </c>
      <c r="N50" s="41"/>
      <c r="O50" s="43">
        <f t="shared" si="3"/>
        <v>17</v>
      </c>
      <c r="P50" s="29">
        <v>8.0</v>
      </c>
      <c r="Q50" s="29">
        <v>17.0</v>
      </c>
      <c r="R50" s="41"/>
      <c r="S50" s="43">
        <f t="shared" si="4"/>
        <v>14</v>
      </c>
      <c r="T50" s="29">
        <v>30.0</v>
      </c>
      <c r="U50" s="29"/>
      <c r="V50" s="41"/>
      <c r="W50" s="43">
        <f t="shared" si="5"/>
        <v>19</v>
      </c>
      <c r="X50" s="22"/>
      <c r="Y50" s="41" t="s">
        <v>22</v>
      </c>
      <c r="Z50" s="22"/>
      <c r="AA50" s="44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54"/>
      <c r="AP50" s="4"/>
      <c r="AQ50" s="4"/>
      <c r="AR50" s="15"/>
      <c r="AS50" s="1"/>
      <c r="AT50" s="1"/>
      <c r="AU50" s="1"/>
      <c r="AV50" s="1"/>
      <c r="AW50" s="1"/>
      <c r="AX50" s="1"/>
      <c r="AY50" s="1"/>
      <c r="AZ50" s="1"/>
    </row>
    <row r="51" ht="16.5" customHeight="1">
      <c r="A51" s="38">
        <v>45.0</v>
      </c>
      <c r="B51" s="39">
        <v>7.11719205047E11</v>
      </c>
      <c r="C51" s="40" t="s">
        <v>103</v>
      </c>
      <c r="D51" s="41">
        <v>24.0</v>
      </c>
      <c r="E51" s="41">
        <v>15.0</v>
      </c>
      <c r="F51" s="42"/>
      <c r="G51" s="43">
        <f t="shared" si="1"/>
        <v>17</v>
      </c>
      <c r="H51" s="41">
        <v>9.0</v>
      </c>
      <c r="I51" s="41">
        <v>17.0</v>
      </c>
      <c r="J51" s="42"/>
      <c r="K51" s="43">
        <f t="shared" si="2"/>
        <v>14</v>
      </c>
      <c r="L51" s="41">
        <v>15.0</v>
      </c>
      <c r="M51" s="41">
        <v>15.0</v>
      </c>
      <c r="N51" s="41"/>
      <c r="O51" s="43">
        <f t="shared" si="3"/>
        <v>13</v>
      </c>
      <c r="P51" s="29">
        <v>19.0</v>
      </c>
      <c r="Q51" s="29">
        <v>13.0</v>
      </c>
      <c r="R51" s="41"/>
      <c r="S51" s="43">
        <f t="shared" si="4"/>
        <v>17</v>
      </c>
      <c r="T51" s="29">
        <v>22.0</v>
      </c>
      <c r="U51" s="29"/>
      <c r="V51" s="41"/>
      <c r="W51" s="43">
        <f t="shared" si="5"/>
        <v>14</v>
      </c>
      <c r="X51" s="22"/>
      <c r="Y51" s="41" t="s">
        <v>29</v>
      </c>
      <c r="Z51" s="22"/>
      <c r="AA51" s="44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54"/>
      <c r="AP51" s="4"/>
      <c r="AQ51" s="4"/>
      <c r="AR51" s="15"/>
      <c r="AS51" s="1"/>
      <c r="AT51" s="1"/>
      <c r="AU51" s="1"/>
      <c r="AV51" s="1"/>
      <c r="AW51" s="1"/>
      <c r="AX51" s="1"/>
      <c r="AY51" s="1"/>
      <c r="AZ51" s="1"/>
    </row>
    <row r="52" ht="16.5" customHeight="1">
      <c r="A52" s="38">
        <v>46.0</v>
      </c>
      <c r="B52" s="39">
        <v>7.11719205048E11</v>
      </c>
      <c r="C52" s="40" t="s">
        <v>104</v>
      </c>
      <c r="D52" s="41">
        <v>28.0</v>
      </c>
      <c r="E52" s="41">
        <v>10.0</v>
      </c>
      <c r="F52" s="42"/>
      <c r="G52" s="43">
        <f t="shared" si="1"/>
        <v>16</v>
      </c>
      <c r="H52" s="41">
        <v>16.0</v>
      </c>
      <c r="I52" s="41">
        <v>15.0</v>
      </c>
      <c r="J52" s="42"/>
      <c r="K52" s="43">
        <f t="shared" si="2"/>
        <v>17</v>
      </c>
      <c r="L52" s="41">
        <v>21.0</v>
      </c>
      <c r="M52" s="41">
        <v>11.0</v>
      </c>
      <c r="N52" s="41"/>
      <c r="O52" s="43">
        <f t="shared" si="3"/>
        <v>14</v>
      </c>
      <c r="P52" s="29">
        <v>8.0</v>
      </c>
      <c r="Q52" s="29">
        <v>17.0</v>
      </c>
      <c r="R52" s="41"/>
      <c r="S52" s="43">
        <f t="shared" si="4"/>
        <v>14</v>
      </c>
      <c r="T52" s="29">
        <v>27.0</v>
      </c>
      <c r="U52" s="29"/>
      <c r="V52" s="41"/>
      <c r="W52" s="43">
        <f t="shared" si="5"/>
        <v>17</v>
      </c>
      <c r="X52" s="22"/>
      <c r="Y52" s="41" t="s">
        <v>29</v>
      </c>
      <c r="Z52" s="22"/>
      <c r="AA52" s="44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54"/>
      <c r="AP52" s="4"/>
      <c r="AQ52" s="4"/>
      <c r="AR52" s="15"/>
      <c r="AS52" s="1"/>
      <c r="AT52" s="1"/>
      <c r="AU52" s="1"/>
      <c r="AV52" s="1"/>
      <c r="AW52" s="1"/>
      <c r="AX52" s="1"/>
      <c r="AY52" s="1"/>
      <c r="AZ52" s="1"/>
    </row>
    <row r="53" ht="16.5" customHeight="1">
      <c r="A53" s="38">
        <v>47.0</v>
      </c>
      <c r="B53" s="39">
        <v>7.11719205049E11</v>
      </c>
      <c r="C53" s="40" t="s">
        <v>105</v>
      </c>
      <c r="D53" s="41">
        <v>23.0</v>
      </c>
      <c r="E53" s="41">
        <v>17.0</v>
      </c>
      <c r="F53" s="42"/>
      <c r="G53" s="43">
        <f t="shared" si="1"/>
        <v>17</v>
      </c>
      <c r="H53" s="41">
        <v>12.0</v>
      </c>
      <c r="I53" s="41">
        <v>14.0</v>
      </c>
      <c r="J53" s="42"/>
      <c r="K53" s="43">
        <f t="shared" si="2"/>
        <v>14</v>
      </c>
      <c r="L53" s="41">
        <v>22.0</v>
      </c>
      <c r="M53" s="41">
        <v>15.0</v>
      </c>
      <c r="N53" s="41"/>
      <c r="O53" s="43">
        <f t="shared" si="3"/>
        <v>16</v>
      </c>
      <c r="P53" s="29">
        <v>19.0</v>
      </c>
      <c r="Q53" s="29">
        <v>17.0</v>
      </c>
      <c r="R53" s="41"/>
      <c r="S53" s="43">
        <f t="shared" si="4"/>
        <v>19</v>
      </c>
      <c r="T53" s="29">
        <v>29.0</v>
      </c>
      <c r="U53" s="29"/>
      <c r="V53" s="41"/>
      <c r="W53" s="43">
        <f t="shared" si="5"/>
        <v>18</v>
      </c>
      <c r="X53" s="22"/>
      <c r="Y53" s="41" t="s">
        <v>29</v>
      </c>
      <c r="Z53" s="22"/>
      <c r="AA53" s="44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54"/>
      <c r="AP53" s="4"/>
      <c r="AQ53" s="4"/>
      <c r="AR53" s="15"/>
      <c r="AS53" s="1"/>
      <c r="AT53" s="1"/>
      <c r="AU53" s="1"/>
      <c r="AV53" s="1"/>
      <c r="AW53" s="1"/>
      <c r="AX53" s="1"/>
      <c r="AY53" s="1"/>
      <c r="AZ53" s="1"/>
    </row>
    <row r="54" ht="16.5" customHeight="1">
      <c r="A54" s="38">
        <v>48.0</v>
      </c>
      <c r="B54" s="39">
        <v>7.1171920505E11</v>
      </c>
      <c r="C54" s="40" t="s">
        <v>106</v>
      </c>
      <c r="D54" s="41">
        <v>26.0</v>
      </c>
      <c r="E54" s="41">
        <v>17.0</v>
      </c>
      <c r="F54" s="42"/>
      <c r="G54" s="43">
        <f t="shared" si="1"/>
        <v>18</v>
      </c>
      <c r="H54" s="41">
        <v>19.0</v>
      </c>
      <c r="I54" s="41">
        <v>13.0</v>
      </c>
      <c r="J54" s="42"/>
      <c r="K54" s="43">
        <f t="shared" si="2"/>
        <v>17</v>
      </c>
      <c r="L54" s="41">
        <v>26.0</v>
      </c>
      <c r="M54" s="41">
        <v>13.0</v>
      </c>
      <c r="N54" s="41"/>
      <c r="O54" s="43">
        <f t="shared" si="3"/>
        <v>17</v>
      </c>
      <c r="P54" s="29">
        <v>12.0</v>
      </c>
      <c r="Q54" s="29">
        <v>15.0</v>
      </c>
      <c r="R54" s="41"/>
      <c r="S54" s="43">
        <f t="shared" si="4"/>
        <v>15</v>
      </c>
      <c r="T54" s="29">
        <v>24.0</v>
      </c>
      <c r="U54" s="29"/>
      <c r="V54" s="41"/>
      <c r="W54" s="43">
        <f t="shared" si="5"/>
        <v>15</v>
      </c>
      <c r="X54" s="22"/>
      <c r="Y54" s="41" t="s">
        <v>29</v>
      </c>
      <c r="Z54" s="22"/>
      <c r="AA54" s="44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54"/>
      <c r="AP54" s="4"/>
      <c r="AQ54" s="4"/>
      <c r="AR54" s="15"/>
      <c r="AS54" s="1"/>
      <c r="AT54" s="1"/>
      <c r="AU54" s="1"/>
      <c r="AV54" s="1"/>
      <c r="AW54" s="1"/>
      <c r="AX54" s="1"/>
      <c r="AY54" s="1"/>
      <c r="AZ54" s="1"/>
    </row>
    <row r="55" ht="16.5" customHeight="1">
      <c r="A55" s="38">
        <v>49.0</v>
      </c>
      <c r="B55" s="39">
        <v>7.11719205051E11</v>
      </c>
      <c r="C55" s="40" t="s">
        <v>107</v>
      </c>
      <c r="D55" s="41">
        <v>25.0</v>
      </c>
      <c r="E55" s="41">
        <v>10.0</v>
      </c>
      <c r="F55" s="42"/>
      <c r="G55" s="43">
        <f t="shared" si="1"/>
        <v>15</v>
      </c>
      <c r="H55" s="41">
        <v>15.0</v>
      </c>
      <c r="I55" s="41">
        <v>17.0</v>
      </c>
      <c r="J55" s="42"/>
      <c r="K55" s="43">
        <f t="shared" si="2"/>
        <v>17</v>
      </c>
      <c r="L55" s="41">
        <v>20.0</v>
      </c>
      <c r="M55" s="41">
        <v>14.0</v>
      </c>
      <c r="N55" s="41"/>
      <c r="O55" s="43">
        <f t="shared" si="3"/>
        <v>14</v>
      </c>
      <c r="P55" s="29">
        <v>14.0</v>
      </c>
      <c r="Q55" s="29">
        <v>17.0</v>
      </c>
      <c r="R55" s="41"/>
      <c r="S55" s="43">
        <f t="shared" si="4"/>
        <v>17</v>
      </c>
      <c r="T55" s="29">
        <v>22.0</v>
      </c>
      <c r="U55" s="29"/>
      <c r="V55" s="41"/>
      <c r="W55" s="43">
        <f t="shared" si="5"/>
        <v>14</v>
      </c>
      <c r="X55" s="22"/>
      <c r="Y55" s="41" t="s">
        <v>29</v>
      </c>
      <c r="Z55" s="22"/>
      <c r="AA55" s="44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54"/>
      <c r="AP55" s="4"/>
      <c r="AQ55" s="4"/>
      <c r="AR55" s="15"/>
      <c r="AS55" s="1"/>
      <c r="AT55" s="1"/>
      <c r="AU55" s="1"/>
      <c r="AV55" s="1"/>
      <c r="AW55" s="1"/>
      <c r="AX55" s="1"/>
      <c r="AY55" s="1"/>
      <c r="AZ55" s="1"/>
    </row>
    <row r="56" ht="16.5" customHeight="1">
      <c r="A56" s="38">
        <v>50.0</v>
      </c>
      <c r="B56" s="39">
        <v>7.11719205052E11</v>
      </c>
      <c r="C56" s="40" t="s">
        <v>108</v>
      </c>
      <c r="D56" s="41">
        <v>26.0</v>
      </c>
      <c r="E56" s="41">
        <v>15.0</v>
      </c>
      <c r="F56" s="42"/>
      <c r="G56" s="43">
        <f t="shared" si="1"/>
        <v>17</v>
      </c>
      <c r="H56" s="41">
        <v>7.0</v>
      </c>
      <c r="I56" s="41">
        <v>14.0</v>
      </c>
      <c r="J56" s="42"/>
      <c r="K56" s="43">
        <f t="shared" si="2"/>
        <v>11</v>
      </c>
      <c r="L56" s="41">
        <v>17.0</v>
      </c>
      <c r="M56" s="41">
        <v>15.0</v>
      </c>
      <c r="N56" s="41"/>
      <c r="O56" s="43">
        <f t="shared" si="3"/>
        <v>14</v>
      </c>
      <c r="P56" s="29">
        <v>18.0</v>
      </c>
      <c r="Q56" s="29">
        <v>14.0</v>
      </c>
      <c r="R56" s="41"/>
      <c r="S56" s="43">
        <f t="shared" si="4"/>
        <v>17</v>
      </c>
      <c r="T56" s="29">
        <v>26.0</v>
      </c>
      <c r="U56" s="29"/>
      <c r="V56" s="41"/>
      <c r="W56" s="43">
        <f t="shared" si="5"/>
        <v>16</v>
      </c>
      <c r="X56" s="22"/>
      <c r="Y56" s="41" t="s">
        <v>29</v>
      </c>
      <c r="Z56" s="22"/>
      <c r="AA56" s="44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54"/>
      <c r="AP56" s="4"/>
      <c r="AQ56" s="4"/>
      <c r="AR56" s="15"/>
      <c r="AS56" s="1"/>
      <c r="AT56" s="1"/>
      <c r="AU56" s="1"/>
      <c r="AV56" s="1"/>
      <c r="AW56" s="1"/>
      <c r="AX56" s="1"/>
      <c r="AY56" s="1"/>
      <c r="AZ56" s="1"/>
    </row>
    <row r="57" ht="16.5" customHeight="1">
      <c r="A57" s="38">
        <v>51.0</v>
      </c>
      <c r="B57" s="39">
        <v>7.11719205053E11</v>
      </c>
      <c r="C57" s="40" t="s">
        <v>109</v>
      </c>
      <c r="D57" s="41">
        <v>26.0</v>
      </c>
      <c r="E57" s="41">
        <v>11.0</v>
      </c>
      <c r="F57" s="42"/>
      <c r="G57" s="43">
        <f t="shared" si="1"/>
        <v>16</v>
      </c>
      <c r="H57" s="41">
        <v>19.0</v>
      </c>
      <c r="I57" s="41">
        <v>9.0</v>
      </c>
      <c r="J57" s="42"/>
      <c r="K57" s="43">
        <f t="shared" si="2"/>
        <v>15</v>
      </c>
      <c r="L57" s="41">
        <v>11.0</v>
      </c>
      <c r="M57" s="41">
        <v>14.0</v>
      </c>
      <c r="N57" s="41"/>
      <c r="O57" s="43">
        <f t="shared" si="3"/>
        <v>11</v>
      </c>
      <c r="P57" s="29">
        <v>18.0</v>
      </c>
      <c r="Q57" s="29">
        <v>16.0</v>
      </c>
      <c r="R57" s="41"/>
      <c r="S57" s="43">
        <f t="shared" si="4"/>
        <v>18</v>
      </c>
      <c r="T57" s="29">
        <v>30.0</v>
      </c>
      <c r="U57" s="29"/>
      <c r="V57" s="41"/>
      <c r="W57" s="43">
        <f t="shared" si="5"/>
        <v>19</v>
      </c>
      <c r="X57" s="22"/>
      <c r="Y57" s="41" t="s">
        <v>29</v>
      </c>
      <c r="Z57" s="22"/>
      <c r="AA57" s="44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54"/>
      <c r="AP57" s="4"/>
      <c r="AQ57" s="4"/>
      <c r="AR57" s="15"/>
      <c r="AS57" s="1"/>
      <c r="AT57" s="1"/>
      <c r="AU57" s="1"/>
      <c r="AV57" s="1"/>
      <c r="AW57" s="1"/>
      <c r="AX57" s="1"/>
      <c r="AY57" s="1"/>
      <c r="AZ57" s="1"/>
    </row>
    <row r="58" ht="16.5" customHeight="1">
      <c r="A58" s="38">
        <v>52.0</v>
      </c>
      <c r="B58" s="39">
        <v>7.11719205054E11</v>
      </c>
      <c r="C58" s="40" t="s">
        <v>110</v>
      </c>
      <c r="D58" s="41">
        <v>19.0</v>
      </c>
      <c r="E58" s="41">
        <v>16.0</v>
      </c>
      <c r="F58" s="42"/>
      <c r="G58" s="43">
        <f t="shared" si="1"/>
        <v>15</v>
      </c>
      <c r="H58" s="41">
        <v>14.0</v>
      </c>
      <c r="I58" s="41">
        <v>17.0</v>
      </c>
      <c r="J58" s="42"/>
      <c r="K58" s="43">
        <f t="shared" si="2"/>
        <v>17</v>
      </c>
      <c r="L58" s="41">
        <v>21.0</v>
      </c>
      <c r="M58" s="41">
        <v>13.0</v>
      </c>
      <c r="N58" s="41"/>
      <c r="O58" s="43">
        <f t="shared" si="3"/>
        <v>14</v>
      </c>
      <c r="P58" s="29">
        <v>12.0</v>
      </c>
      <c r="Q58" s="29">
        <v>16.0</v>
      </c>
      <c r="R58" s="41"/>
      <c r="S58" s="43">
        <f t="shared" si="4"/>
        <v>15</v>
      </c>
      <c r="T58" s="29">
        <v>28.0</v>
      </c>
      <c r="U58" s="29"/>
      <c r="V58" s="41"/>
      <c r="W58" s="43">
        <f t="shared" si="5"/>
        <v>18</v>
      </c>
      <c r="X58" s="22"/>
      <c r="Y58" s="41" t="s">
        <v>22</v>
      </c>
      <c r="Z58" s="22"/>
      <c r="AA58" s="44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54"/>
      <c r="AP58" s="4"/>
      <c r="AQ58" s="4"/>
      <c r="AR58" s="15"/>
      <c r="AS58" s="1"/>
      <c r="AT58" s="1"/>
      <c r="AU58" s="1"/>
      <c r="AV58" s="1"/>
      <c r="AW58" s="1"/>
      <c r="AX58" s="1"/>
      <c r="AY58" s="1"/>
      <c r="AZ58" s="1"/>
    </row>
    <row r="59" ht="16.5" customHeight="1">
      <c r="A59" s="38">
        <v>53.0</v>
      </c>
      <c r="B59" s="39">
        <v>7.11719205055E11</v>
      </c>
      <c r="C59" s="40" t="s">
        <v>111</v>
      </c>
      <c r="D59" s="41">
        <v>19.0</v>
      </c>
      <c r="E59" s="41">
        <v>13.0</v>
      </c>
      <c r="F59" s="42"/>
      <c r="G59" s="43">
        <f t="shared" si="1"/>
        <v>14</v>
      </c>
      <c r="H59" s="41">
        <v>17.0</v>
      </c>
      <c r="I59" s="41">
        <v>14.0</v>
      </c>
      <c r="J59" s="42"/>
      <c r="K59" s="43">
        <f t="shared" si="2"/>
        <v>17</v>
      </c>
      <c r="L59" s="41">
        <v>21.0</v>
      </c>
      <c r="M59" s="41">
        <v>15.0</v>
      </c>
      <c r="N59" s="41"/>
      <c r="O59" s="43">
        <f t="shared" si="3"/>
        <v>15</v>
      </c>
      <c r="P59" s="29">
        <v>13.0</v>
      </c>
      <c r="Q59" s="29">
        <v>17.0</v>
      </c>
      <c r="R59" s="41"/>
      <c r="S59" s="43">
        <f t="shared" si="4"/>
        <v>16</v>
      </c>
      <c r="T59" s="29">
        <v>23.0</v>
      </c>
      <c r="U59" s="29"/>
      <c r="V59" s="41"/>
      <c r="W59" s="43">
        <f t="shared" si="5"/>
        <v>14</v>
      </c>
      <c r="X59" s="22"/>
      <c r="Y59" s="41" t="s">
        <v>22</v>
      </c>
      <c r="Z59" s="22"/>
      <c r="AA59" s="44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54"/>
      <c r="AP59" s="4"/>
      <c r="AQ59" s="4"/>
      <c r="AR59" s="15"/>
      <c r="AS59" s="1"/>
      <c r="AT59" s="1"/>
      <c r="AU59" s="1"/>
      <c r="AV59" s="1"/>
      <c r="AW59" s="1"/>
      <c r="AX59" s="1"/>
      <c r="AY59" s="1"/>
      <c r="AZ59" s="1"/>
    </row>
    <row r="60" ht="16.5" customHeight="1">
      <c r="A60" s="38">
        <v>54.0</v>
      </c>
      <c r="B60" s="39">
        <v>7.11719205056E11</v>
      </c>
      <c r="C60" s="40" t="s">
        <v>112</v>
      </c>
      <c r="D60" s="41">
        <v>24.0</v>
      </c>
      <c r="E60" s="41">
        <v>14.0</v>
      </c>
      <c r="F60" s="42"/>
      <c r="G60" s="43">
        <f t="shared" si="1"/>
        <v>16</v>
      </c>
      <c r="H60" s="41">
        <v>15.0</v>
      </c>
      <c r="I60" s="41">
        <v>15.0</v>
      </c>
      <c r="J60" s="42"/>
      <c r="K60" s="43">
        <f t="shared" si="2"/>
        <v>16</v>
      </c>
      <c r="L60" s="41">
        <v>24.0</v>
      </c>
      <c r="M60" s="41">
        <v>16.0</v>
      </c>
      <c r="N60" s="41"/>
      <c r="O60" s="43">
        <f t="shared" si="3"/>
        <v>17</v>
      </c>
      <c r="P60" s="29">
        <v>11.0</v>
      </c>
      <c r="Q60" s="29">
        <v>12.0</v>
      </c>
      <c r="R60" s="41"/>
      <c r="S60" s="43">
        <f t="shared" si="4"/>
        <v>12</v>
      </c>
      <c r="T60" s="29">
        <v>23.0</v>
      </c>
      <c r="U60" s="29"/>
      <c r="V60" s="41"/>
      <c r="W60" s="43">
        <f t="shared" si="5"/>
        <v>14</v>
      </c>
      <c r="X60" s="22"/>
      <c r="Y60" s="41" t="s">
        <v>22</v>
      </c>
      <c r="Z60" s="22"/>
      <c r="AA60" s="44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54"/>
      <c r="AP60" s="4"/>
      <c r="AQ60" s="4"/>
      <c r="AR60" s="15"/>
      <c r="AS60" s="1"/>
      <c r="AT60" s="1"/>
      <c r="AU60" s="1"/>
      <c r="AV60" s="1"/>
      <c r="AW60" s="1"/>
      <c r="AX60" s="1"/>
      <c r="AY60" s="1"/>
      <c r="AZ60" s="1"/>
    </row>
    <row r="61" ht="16.5" customHeight="1">
      <c r="A61" s="38">
        <v>55.0</v>
      </c>
      <c r="B61" s="39">
        <v>7.11719205057E11</v>
      </c>
      <c r="C61" s="40" t="s">
        <v>113</v>
      </c>
      <c r="D61" s="41">
        <v>28.0</v>
      </c>
      <c r="E61" s="41">
        <v>12.0</v>
      </c>
      <c r="F61" s="42"/>
      <c r="G61" s="43">
        <f t="shared" si="1"/>
        <v>17</v>
      </c>
      <c r="H61" s="41">
        <v>9.0</v>
      </c>
      <c r="I61" s="41">
        <v>11.0</v>
      </c>
      <c r="J61" s="42"/>
      <c r="K61" s="43">
        <f t="shared" si="2"/>
        <v>11</v>
      </c>
      <c r="L61" s="41">
        <v>19.0</v>
      </c>
      <c r="M61" s="41">
        <v>14.0</v>
      </c>
      <c r="N61" s="41"/>
      <c r="O61" s="43">
        <f t="shared" si="3"/>
        <v>14</v>
      </c>
      <c r="P61" s="29">
        <v>14.0</v>
      </c>
      <c r="Q61" s="29">
        <v>13.0</v>
      </c>
      <c r="R61" s="41"/>
      <c r="S61" s="43">
        <f t="shared" si="4"/>
        <v>15</v>
      </c>
      <c r="T61" s="29">
        <v>20.0</v>
      </c>
      <c r="U61" s="29"/>
      <c r="V61" s="41"/>
      <c r="W61" s="43">
        <f t="shared" si="5"/>
        <v>13</v>
      </c>
      <c r="X61" s="22"/>
      <c r="Y61" s="41" t="s">
        <v>29</v>
      </c>
      <c r="Z61" s="22"/>
      <c r="AA61" s="44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54"/>
      <c r="AP61" s="4"/>
      <c r="AQ61" s="4"/>
      <c r="AR61" s="15"/>
      <c r="AS61" s="1"/>
      <c r="AT61" s="1"/>
      <c r="AU61" s="1"/>
      <c r="AV61" s="1"/>
      <c r="AW61" s="1"/>
      <c r="AX61" s="1"/>
      <c r="AY61" s="1"/>
      <c r="AZ61" s="1"/>
    </row>
    <row r="62" ht="16.5" customHeight="1">
      <c r="A62" s="38">
        <v>56.0</v>
      </c>
      <c r="B62" s="39">
        <v>7.11719205058E11</v>
      </c>
      <c r="C62" s="40" t="s">
        <v>114</v>
      </c>
      <c r="D62" s="41">
        <v>27.0</v>
      </c>
      <c r="E62" s="41">
        <v>14.0</v>
      </c>
      <c r="F62" s="42"/>
      <c r="G62" s="43">
        <f t="shared" si="1"/>
        <v>17</v>
      </c>
      <c r="H62" s="41">
        <v>19.0</v>
      </c>
      <c r="I62" s="41">
        <v>14.0</v>
      </c>
      <c r="J62" s="42"/>
      <c r="K62" s="43">
        <f t="shared" si="2"/>
        <v>18</v>
      </c>
      <c r="L62" s="41">
        <v>23.0</v>
      </c>
      <c r="M62" s="41">
        <v>13.0</v>
      </c>
      <c r="N62" s="41"/>
      <c r="O62" s="43">
        <f t="shared" si="3"/>
        <v>15</v>
      </c>
      <c r="P62" s="29">
        <v>12.0</v>
      </c>
      <c r="Q62" s="29">
        <v>14.0</v>
      </c>
      <c r="R62" s="41"/>
      <c r="S62" s="43">
        <f t="shared" si="4"/>
        <v>14</v>
      </c>
      <c r="T62" s="29">
        <v>27.0</v>
      </c>
      <c r="U62" s="29"/>
      <c r="V62" s="41"/>
      <c r="W62" s="43">
        <f t="shared" si="5"/>
        <v>17</v>
      </c>
      <c r="X62" s="22"/>
      <c r="Y62" s="41" t="s">
        <v>29</v>
      </c>
      <c r="Z62" s="22"/>
      <c r="AA62" s="44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54"/>
      <c r="AP62" s="4"/>
      <c r="AQ62" s="4"/>
      <c r="AR62" s="15"/>
      <c r="AS62" s="1"/>
      <c r="AT62" s="1"/>
      <c r="AU62" s="1"/>
      <c r="AV62" s="1"/>
      <c r="AW62" s="1"/>
      <c r="AX62" s="1"/>
      <c r="AY62" s="1"/>
      <c r="AZ62" s="1"/>
    </row>
    <row r="63" ht="16.5" customHeight="1">
      <c r="A63" s="38">
        <v>57.0</v>
      </c>
      <c r="B63" s="39">
        <v>7.11719205059E11</v>
      </c>
      <c r="C63" s="40" t="s">
        <v>115</v>
      </c>
      <c r="D63" s="41">
        <v>21.0</v>
      </c>
      <c r="E63" s="41">
        <v>11.0</v>
      </c>
      <c r="F63" s="42"/>
      <c r="G63" s="43">
        <f t="shared" si="1"/>
        <v>14</v>
      </c>
      <c r="H63" s="41">
        <v>12.0</v>
      </c>
      <c r="I63" s="41">
        <v>11.0</v>
      </c>
      <c r="J63" s="42"/>
      <c r="K63" s="43">
        <f t="shared" si="2"/>
        <v>12</v>
      </c>
      <c r="L63" s="41">
        <v>29.0</v>
      </c>
      <c r="M63" s="41">
        <v>11.0</v>
      </c>
      <c r="N63" s="41"/>
      <c r="O63" s="43">
        <f t="shared" si="3"/>
        <v>17</v>
      </c>
      <c r="P63" s="29">
        <v>1.0</v>
      </c>
      <c r="Q63" s="29">
        <v>13.0</v>
      </c>
      <c r="R63" s="41"/>
      <c r="S63" s="43">
        <f t="shared" si="4"/>
        <v>8</v>
      </c>
      <c r="T63" s="29">
        <v>30.0</v>
      </c>
      <c r="U63" s="29"/>
      <c r="V63" s="41"/>
      <c r="W63" s="43">
        <f t="shared" si="5"/>
        <v>19</v>
      </c>
      <c r="X63" s="22"/>
      <c r="Y63" s="41" t="s">
        <v>51</v>
      </c>
      <c r="Z63" s="22"/>
      <c r="AA63" s="44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54"/>
      <c r="AP63" s="4"/>
      <c r="AQ63" s="4"/>
      <c r="AR63" s="15"/>
      <c r="AS63" s="1"/>
      <c r="AT63" s="1"/>
      <c r="AU63" s="1"/>
      <c r="AV63" s="1"/>
      <c r="AW63" s="1"/>
      <c r="AX63" s="1"/>
      <c r="AY63" s="1"/>
      <c r="AZ63" s="1"/>
    </row>
    <row r="64" ht="16.5" customHeight="1">
      <c r="A64" s="38">
        <v>58.0</v>
      </c>
      <c r="B64" s="39">
        <v>7.11719205061E11</v>
      </c>
      <c r="C64" s="40" t="s">
        <v>116</v>
      </c>
      <c r="D64" s="41">
        <v>20.0</v>
      </c>
      <c r="E64" s="41">
        <v>15.0</v>
      </c>
      <c r="F64" s="42"/>
      <c r="G64" s="43">
        <f t="shared" si="1"/>
        <v>15</v>
      </c>
      <c r="H64" s="41">
        <v>20.0</v>
      </c>
      <c r="I64" s="41">
        <v>12.0</v>
      </c>
      <c r="J64" s="42"/>
      <c r="K64" s="43">
        <f t="shared" si="2"/>
        <v>17</v>
      </c>
      <c r="L64" s="41">
        <v>20.0</v>
      </c>
      <c r="M64" s="41">
        <v>16.0</v>
      </c>
      <c r="N64" s="41"/>
      <c r="O64" s="43">
        <f t="shared" si="3"/>
        <v>15</v>
      </c>
      <c r="P64" s="29">
        <v>15.0</v>
      </c>
      <c r="Q64" s="29">
        <v>10.0</v>
      </c>
      <c r="R64" s="41"/>
      <c r="S64" s="43">
        <f t="shared" si="4"/>
        <v>14</v>
      </c>
      <c r="T64" s="29">
        <v>27.0</v>
      </c>
      <c r="U64" s="29"/>
      <c r="V64" s="41"/>
      <c r="W64" s="43">
        <f t="shared" si="5"/>
        <v>17</v>
      </c>
      <c r="X64" s="22"/>
      <c r="Y64" s="41" t="s">
        <v>29</v>
      </c>
      <c r="Z64" s="22"/>
      <c r="AA64" s="44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54"/>
      <c r="AP64" s="4"/>
      <c r="AQ64" s="4"/>
      <c r="AR64" s="15"/>
      <c r="AS64" s="1"/>
      <c r="AT64" s="1"/>
      <c r="AU64" s="1"/>
      <c r="AV64" s="1"/>
      <c r="AW64" s="1"/>
      <c r="AX64" s="1"/>
      <c r="AY64" s="1"/>
      <c r="AZ64" s="1"/>
    </row>
    <row r="65" ht="16.5" customHeight="1">
      <c r="A65" s="38">
        <v>59.0</v>
      </c>
      <c r="B65" s="39">
        <v>7.11719205062E11</v>
      </c>
      <c r="C65" s="40" t="s">
        <v>117</v>
      </c>
      <c r="D65" s="41">
        <v>29.0</v>
      </c>
      <c r="E65" s="41">
        <v>15.0</v>
      </c>
      <c r="F65" s="42"/>
      <c r="G65" s="43">
        <f t="shared" si="1"/>
        <v>19</v>
      </c>
      <c r="H65" s="41">
        <v>13.0</v>
      </c>
      <c r="I65" s="41">
        <v>13.0</v>
      </c>
      <c r="J65" s="42"/>
      <c r="K65" s="43">
        <f t="shared" si="2"/>
        <v>14</v>
      </c>
      <c r="L65" s="41">
        <v>21.0</v>
      </c>
      <c r="M65" s="41">
        <v>13.0</v>
      </c>
      <c r="N65" s="41"/>
      <c r="O65" s="43">
        <f t="shared" si="3"/>
        <v>14</v>
      </c>
      <c r="P65" s="29">
        <v>17.0</v>
      </c>
      <c r="Q65" s="29">
        <v>16.0</v>
      </c>
      <c r="R65" s="41"/>
      <c r="S65" s="43">
        <f t="shared" si="4"/>
        <v>18</v>
      </c>
      <c r="T65" s="29">
        <v>25.0</v>
      </c>
      <c r="U65" s="29"/>
      <c r="V65" s="41"/>
      <c r="W65" s="43">
        <f t="shared" si="5"/>
        <v>16</v>
      </c>
      <c r="X65" s="22"/>
      <c r="Y65" s="41" t="s">
        <v>29</v>
      </c>
      <c r="Z65" s="22"/>
      <c r="AA65" s="44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54"/>
      <c r="AP65" s="4"/>
      <c r="AQ65" s="4"/>
      <c r="AR65" s="15"/>
      <c r="AS65" s="1"/>
      <c r="AT65" s="1"/>
      <c r="AU65" s="1"/>
      <c r="AV65" s="1"/>
      <c r="AW65" s="1"/>
      <c r="AX65" s="1"/>
      <c r="AY65" s="1"/>
      <c r="AZ65" s="1"/>
    </row>
    <row r="66" ht="16.5" customHeight="1">
      <c r="A66" s="38">
        <v>60.0</v>
      </c>
      <c r="B66" s="39">
        <v>7.11719205063E11</v>
      </c>
      <c r="C66" s="40" t="s">
        <v>118</v>
      </c>
      <c r="D66" s="41">
        <v>30.0</v>
      </c>
      <c r="E66" s="41">
        <v>17.0</v>
      </c>
      <c r="F66" s="42"/>
      <c r="G66" s="43">
        <f t="shared" si="1"/>
        <v>20</v>
      </c>
      <c r="H66" s="41">
        <v>19.0</v>
      </c>
      <c r="I66" s="41">
        <v>13.0</v>
      </c>
      <c r="J66" s="42"/>
      <c r="K66" s="43">
        <f t="shared" si="2"/>
        <v>17</v>
      </c>
      <c r="L66" s="41">
        <v>22.0</v>
      </c>
      <c r="M66" s="41">
        <v>13.0</v>
      </c>
      <c r="N66" s="41"/>
      <c r="O66" s="43">
        <f t="shared" si="3"/>
        <v>15</v>
      </c>
      <c r="P66" s="29">
        <v>14.0</v>
      </c>
      <c r="Q66" s="29">
        <v>14.0</v>
      </c>
      <c r="R66" s="41"/>
      <c r="S66" s="43">
        <f t="shared" si="4"/>
        <v>15</v>
      </c>
      <c r="T66" s="29">
        <v>25.0</v>
      </c>
      <c r="U66" s="29"/>
      <c r="V66" s="41"/>
      <c r="W66" s="43">
        <f t="shared" si="5"/>
        <v>16</v>
      </c>
      <c r="X66" s="22"/>
      <c r="Y66" s="41" t="s">
        <v>29</v>
      </c>
      <c r="Z66" s="22"/>
      <c r="AA66" s="44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54"/>
      <c r="AP66" s="4"/>
      <c r="AQ66" s="4"/>
      <c r="AR66" s="15"/>
      <c r="AS66" s="1"/>
      <c r="AT66" s="1"/>
      <c r="AU66" s="1"/>
      <c r="AV66" s="1"/>
      <c r="AW66" s="1"/>
      <c r="AX66" s="1"/>
      <c r="AY66" s="1"/>
      <c r="AZ66" s="1"/>
    </row>
    <row r="67" ht="16.5" customHeight="1">
      <c r="A67" s="38">
        <v>61.0</v>
      </c>
      <c r="B67" s="39">
        <v>7.11719205301E11</v>
      </c>
      <c r="C67" s="40" t="s">
        <v>119</v>
      </c>
      <c r="D67" s="41">
        <v>23.0</v>
      </c>
      <c r="E67" s="41">
        <v>17.0</v>
      </c>
      <c r="F67" s="42"/>
      <c r="G67" s="43">
        <f t="shared" si="1"/>
        <v>17</v>
      </c>
      <c r="H67" s="41">
        <v>18.0</v>
      </c>
      <c r="I67" s="41">
        <v>15.0</v>
      </c>
      <c r="J67" s="42"/>
      <c r="K67" s="43">
        <f t="shared" si="2"/>
        <v>18</v>
      </c>
      <c r="L67" s="41">
        <v>23.0</v>
      </c>
      <c r="M67" s="41">
        <v>16.0</v>
      </c>
      <c r="N67" s="41"/>
      <c r="O67" s="43">
        <f t="shared" si="3"/>
        <v>17</v>
      </c>
      <c r="P67" s="29">
        <v>10.0</v>
      </c>
      <c r="Q67" s="29">
        <v>15.0</v>
      </c>
      <c r="R67" s="41"/>
      <c r="S67" s="43">
        <f t="shared" si="4"/>
        <v>14</v>
      </c>
      <c r="T67" s="29">
        <v>29.0</v>
      </c>
      <c r="U67" s="29"/>
      <c r="V67" s="41"/>
      <c r="W67" s="43">
        <f t="shared" si="5"/>
        <v>18</v>
      </c>
      <c r="X67" s="22"/>
      <c r="Y67" s="41" t="s">
        <v>33</v>
      </c>
      <c r="Z67" s="22"/>
      <c r="AA67" s="44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54"/>
      <c r="AP67" s="4"/>
      <c r="AQ67" s="4"/>
      <c r="AR67" s="15"/>
      <c r="AS67" s="1"/>
      <c r="AT67" s="1"/>
      <c r="AU67" s="1"/>
      <c r="AV67" s="1"/>
      <c r="AW67" s="1"/>
      <c r="AX67" s="1"/>
      <c r="AY67" s="1"/>
      <c r="AZ67" s="1"/>
    </row>
    <row r="68" ht="16.5" customHeight="1">
      <c r="A68" s="38">
        <v>62.0</v>
      </c>
      <c r="B68" s="39">
        <v>7.11719205302E11</v>
      </c>
      <c r="C68" s="40" t="s">
        <v>120</v>
      </c>
      <c r="D68" s="41">
        <v>27.0</v>
      </c>
      <c r="E68" s="41">
        <v>13.0</v>
      </c>
      <c r="F68" s="42"/>
      <c r="G68" s="43">
        <f t="shared" si="1"/>
        <v>17</v>
      </c>
      <c r="H68" s="41">
        <v>15.0</v>
      </c>
      <c r="I68" s="41">
        <v>15.0</v>
      </c>
      <c r="J68" s="42"/>
      <c r="K68" s="43">
        <f t="shared" si="2"/>
        <v>16</v>
      </c>
      <c r="L68" s="41">
        <v>22.0</v>
      </c>
      <c r="M68" s="41">
        <v>15.0</v>
      </c>
      <c r="N68" s="41"/>
      <c r="O68" s="43">
        <f t="shared" si="3"/>
        <v>16</v>
      </c>
      <c r="P68" s="29">
        <v>18.0</v>
      </c>
      <c r="Q68" s="29">
        <v>17.0</v>
      </c>
      <c r="R68" s="41"/>
      <c r="S68" s="43">
        <f t="shared" si="4"/>
        <v>19</v>
      </c>
      <c r="T68" s="29">
        <v>30.0</v>
      </c>
      <c r="U68" s="29"/>
      <c r="V68" s="41"/>
      <c r="W68" s="43">
        <f t="shared" si="5"/>
        <v>19</v>
      </c>
      <c r="X68" s="22"/>
      <c r="Y68" s="41" t="s">
        <v>22</v>
      </c>
      <c r="Z68" s="22"/>
      <c r="AA68" s="44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54"/>
      <c r="AP68" s="4"/>
      <c r="AQ68" s="4"/>
      <c r="AR68" s="15"/>
      <c r="AS68" s="1"/>
      <c r="AT68" s="1"/>
      <c r="AU68" s="1"/>
      <c r="AV68" s="1"/>
      <c r="AW68" s="1"/>
      <c r="AX68" s="1"/>
      <c r="AY68" s="1"/>
      <c r="AZ68" s="1"/>
    </row>
    <row r="69" ht="16.5" customHeight="1">
      <c r="A69" s="38"/>
      <c r="B69" s="85" t="s">
        <v>121</v>
      </c>
      <c r="C69" s="11"/>
      <c r="D69" s="93" t="s">
        <v>5</v>
      </c>
      <c r="E69" s="7"/>
      <c r="F69" s="8"/>
      <c r="G69" s="94">
        <v>65.0</v>
      </c>
      <c r="H69" s="93" t="s">
        <v>6</v>
      </c>
      <c r="I69" s="7"/>
      <c r="J69" s="8"/>
      <c r="K69" s="94">
        <v>65.0</v>
      </c>
      <c r="L69" s="93" t="s">
        <v>7</v>
      </c>
      <c r="M69" s="7"/>
      <c r="N69" s="8"/>
      <c r="O69" s="94">
        <v>65.0</v>
      </c>
      <c r="P69" s="93" t="s">
        <v>8</v>
      </c>
      <c r="Q69" s="7"/>
      <c r="R69" s="8"/>
      <c r="S69" s="94">
        <v>65.0</v>
      </c>
      <c r="T69" s="93" t="s">
        <v>9</v>
      </c>
      <c r="U69" s="7"/>
      <c r="V69" s="8"/>
      <c r="W69" s="94">
        <v>65.0</v>
      </c>
      <c r="X69" s="22"/>
      <c r="Y69" s="95" t="s">
        <v>22</v>
      </c>
      <c r="Z69" s="22"/>
      <c r="AA69" s="44"/>
      <c r="AB69" s="44"/>
      <c r="AC69" s="44"/>
      <c r="AD69" s="44"/>
      <c r="AE69" s="44"/>
      <c r="AF69" s="1"/>
      <c r="AG69" s="1"/>
      <c r="AH69" s="55"/>
      <c r="AI69" s="55"/>
      <c r="AJ69" s="56"/>
      <c r="AK69" s="57"/>
      <c r="AL69" s="57"/>
      <c r="AM69" s="57"/>
      <c r="AN69" s="57"/>
      <c r="AO69" s="54"/>
      <c r="AP69" s="4"/>
      <c r="AQ69" s="4"/>
      <c r="AR69" s="15"/>
      <c r="AS69" s="1"/>
      <c r="AT69" s="1"/>
      <c r="AU69" s="1"/>
      <c r="AV69" s="1"/>
      <c r="AW69" s="1"/>
      <c r="AX69" s="1"/>
      <c r="AY69" s="1"/>
      <c r="AZ69" s="1"/>
    </row>
    <row r="70" ht="16.5" customHeight="1">
      <c r="A70" s="38"/>
      <c r="B70" s="83" t="s">
        <v>122</v>
      </c>
      <c r="C70" s="11"/>
      <c r="D70" s="62"/>
      <c r="F70" s="63"/>
      <c r="G70" s="96">
        <f>COUNTIF(G7:G68,"&gt;="&amp;G5*(G69/100))</f>
        <v>57</v>
      </c>
      <c r="H70" s="62"/>
      <c r="J70" s="63"/>
      <c r="K70" s="96">
        <f>COUNTIF(K7:K68,"&gt;="&amp;K5*(K69/100))</f>
        <v>51</v>
      </c>
      <c r="L70" s="62"/>
      <c r="N70" s="63"/>
      <c r="O70" s="96">
        <f>COUNTIF(O7:O68,"&gt;="&amp;O5*(O69/100))</f>
        <v>49</v>
      </c>
      <c r="P70" s="62"/>
      <c r="R70" s="63"/>
      <c r="S70" s="96">
        <f>COUNTIF(S7:S68,"&gt;="&amp;S5*(S69/100))</f>
        <v>47</v>
      </c>
      <c r="T70" s="62"/>
      <c r="V70" s="63"/>
      <c r="W70" s="96">
        <f>COUNTIF(W7:W68,"&gt;="&amp;W5*(W69/100))</f>
        <v>59</v>
      </c>
      <c r="X70" s="22"/>
      <c r="Y70" s="96">
        <f>COUNTA(Y7:Y68)-(COUNTIF(Y7:Y68,"=U*")+COUNTIF(Y7:Y68,"=R*")+COUNTIF(Y7:Y68,"=WH*")+COUNTIF(Y7:Y68,"=B"))</f>
        <v>54</v>
      </c>
      <c r="Z70" s="22"/>
      <c r="AA70" s="44"/>
      <c r="AB70" s="44"/>
      <c r="AC70" s="1"/>
      <c r="AD70" s="4"/>
      <c r="AE70" s="4"/>
      <c r="AF70" s="4"/>
      <c r="AG70" s="4"/>
      <c r="AH70" s="4"/>
      <c r="AI70" s="56"/>
      <c r="AJ70" s="4"/>
      <c r="AK70" s="4"/>
      <c r="AL70" s="4"/>
      <c r="AM70" s="4"/>
      <c r="AN70" s="97"/>
      <c r="AO70" s="4"/>
      <c r="AP70" s="4"/>
      <c r="AQ70" s="15"/>
      <c r="AR70" s="1"/>
      <c r="AS70" s="1"/>
      <c r="AT70" s="1"/>
      <c r="AU70" s="1"/>
      <c r="AV70" s="1"/>
      <c r="AW70" s="1"/>
      <c r="AX70" s="1"/>
      <c r="AY70" s="1"/>
      <c r="AZ70" s="1"/>
    </row>
    <row r="71" ht="16.5" customHeight="1">
      <c r="A71" s="38"/>
      <c r="B71" s="85" t="s">
        <v>123</v>
      </c>
      <c r="C71" s="11"/>
      <c r="D71" s="62"/>
      <c r="F71" s="63"/>
      <c r="G71" s="98">
        <f>G70/(COUNTA(G7:G68))*100</f>
        <v>91.93548387</v>
      </c>
      <c r="H71" s="62"/>
      <c r="J71" s="63"/>
      <c r="K71" s="98">
        <f>K70/(COUNTA(K7:K68))*100</f>
        <v>82.25806452</v>
      </c>
      <c r="L71" s="62"/>
      <c r="N71" s="63"/>
      <c r="O71" s="98">
        <f>O70/(COUNTA(O7:O68))*100</f>
        <v>79.03225806</v>
      </c>
      <c r="P71" s="62"/>
      <c r="R71" s="63"/>
      <c r="S71" s="98">
        <f>S70/(COUNTA(S7:S68))*100</f>
        <v>75.80645161</v>
      </c>
      <c r="T71" s="62"/>
      <c r="V71" s="63"/>
      <c r="W71" s="98">
        <f>W70/(COUNTA(W7:W68))*100</f>
        <v>95.16129032</v>
      </c>
      <c r="X71" s="22"/>
      <c r="Y71" s="98">
        <f>IFERROR(Y70/(COUNTA(Y7:Y68))*100,0)</f>
        <v>87.09677419</v>
      </c>
      <c r="Z71" s="22"/>
      <c r="AA71" s="44"/>
      <c r="AB71" s="44"/>
      <c r="AC71" s="99"/>
      <c r="AD71" s="1"/>
      <c r="AE71" s="4"/>
      <c r="AF71" s="4"/>
      <c r="AG71" s="4"/>
      <c r="AH71" s="4"/>
      <c r="AI71" s="1"/>
      <c r="AJ71" s="4"/>
      <c r="AK71" s="4"/>
      <c r="AL71" s="4"/>
      <c r="AM71" s="4"/>
      <c r="AN71" s="97"/>
      <c r="AO71" s="100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ht="16.5" customHeight="1">
      <c r="A72" s="38"/>
      <c r="B72" s="85" t="s">
        <v>124</v>
      </c>
      <c r="C72" s="11"/>
      <c r="D72" s="16"/>
      <c r="E72" s="17"/>
      <c r="F72" s="18"/>
      <c r="G72" s="101">
        <f>IF(G71&gt;=$AE$17,3,(IF(G71&gt;=$AE$16,2,(IF(G71&gt;=$AE$15,1,0)))))</f>
        <v>3</v>
      </c>
      <c r="H72" s="16"/>
      <c r="I72" s="17"/>
      <c r="J72" s="18"/>
      <c r="K72" s="101">
        <f>IF(K71&gt;=$AE$17,3,(IF(K71&gt;=$AE$16,2,(IF(K71&gt;=$AE$15,1,0)))))</f>
        <v>3</v>
      </c>
      <c r="L72" s="16"/>
      <c r="M72" s="17"/>
      <c r="N72" s="18"/>
      <c r="O72" s="101">
        <f>IF(O71&gt;=$AE$17,3,(IF(O71&gt;=$AE$16,2,(IF(O71&gt;=$AE$15,1,0)))))</f>
        <v>3</v>
      </c>
      <c r="P72" s="16"/>
      <c r="Q72" s="17"/>
      <c r="R72" s="18"/>
      <c r="S72" s="101">
        <f>IF(S71&gt;=$AE$17,3,(IF(S71&gt;=$AE$16,2,(IF(S71&gt;=$AE$15,1,0)))))</f>
        <v>3</v>
      </c>
      <c r="T72" s="16"/>
      <c r="U72" s="17"/>
      <c r="V72" s="18"/>
      <c r="W72" s="101">
        <f>IF(W71&gt;=$AE$17,3,(IF(W71&gt;=$AE$16,2,(IF(W71&gt;=$AE$15,1,0)))))</f>
        <v>3</v>
      </c>
      <c r="X72" s="74"/>
      <c r="Y72" s="101">
        <f>IF(Y71&gt;=$AE$17,3,(IF(Y71&gt;=$AE$16,2,(IF(Y71&gt;=$AE$15,1,0)))))</f>
        <v>3</v>
      </c>
      <c r="Z72" s="74"/>
      <c r="AA72" s="44"/>
      <c r="AB72" s="102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5"/>
      <c r="AP72" s="15"/>
      <c r="AQ72" s="15"/>
      <c r="AR72" s="1"/>
      <c r="AS72" s="1"/>
      <c r="AT72" s="1"/>
      <c r="AU72" s="1"/>
      <c r="AV72" s="1"/>
      <c r="AW72" s="1"/>
      <c r="AX72" s="1"/>
      <c r="AY72" s="1"/>
      <c r="AZ72" s="1"/>
    </row>
    <row r="73" ht="15.75" customHeight="1">
      <c r="A73" s="32"/>
      <c r="B73" s="103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5"/>
      <c r="AP73" s="15"/>
      <c r="AQ73" s="15"/>
      <c r="AR73" s="1"/>
      <c r="AS73" s="1"/>
      <c r="AT73" s="1"/>
      <c r="AU73" s="1"/>
      <c r="AV73" s="1"/>
      <c r="AW73" s="1"/>
      <c r="AX73" s="1"/>
      <c r="AY73" s="1"/>
      <c r="AZ73" s="1"/>
    </row>
    <row r="74" ht="24.0" customHeight="1">
      <c r="A74" s="3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4"/>
      <c r="Q74" s="1"/>
      <c r="R74" s="14"/>
      <c r="S74" s="1"/>
      <c r="T74" s="14"/>
      <c r="U74" s="1"/>
      <c r="V74" s="14"/>
      <c r="W74" s="1"/>
      <c r="X74" s="14"/>
      <c r="Y74" s="32"/>
      <c r="Z74" s="32"/>
      <c r="AA74" s="104"/>
      <c r="AB74" s="104"/>
      <c r="AC74" s="105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5"/>
      <c r="AQ74" s="15"/>
      <c r="AR74" s="15"/>
      <c r="AS74" s="1"/>
      <c r="AT74" s="1"/>
      <c r="AU74" s="1"/>
      <c r="AV74" s="1"/>
      <c r="AW74" s="1"/>
      <c r="AX74" s="1"/>
      <c r="AY74" s="1"/>
      <c r="AZ74" s="1"/>
    </row>
    <row r="75" ht="27.0" customHeight="1">
      <c r="A75" s="32"/>
      <c r="B75" s="1"/>
      <c r="C75" s="1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7"/>
      <c r="T75" s="107"/>
      <c r="U75" s="107"/>
      <c r="V75" s="107"/>
      <c r="W75" s="107"/>
      <c r="X75" s="107"/>
      <c r="Y75" s="1"/>
      <c r="Z75" s="1"/>
      <c r="AA75" s="1"/>
      <c r="AB75" s="108"/>
      <c r="AC75" s="105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5"/>
      <c r="AQ75" s="15"/>
      <c r="AR75" s="15"/>
      <c r="AS75" s="1"/>
      <c r="AT75" s="1"/>
      <c r="AU75" s="1"/>
      <c r="AV75" s="1"/>
      <c r="AW75" s="1"/>
      <c r="AX75" s="1"/>
      <c r="AY75" s="1"/>
      <c r="AZ75" s="1"/>
    </row>
    <row r="76" ht="17.25" customHeight="1">
      <c r="A76" s="32"/>
      <c r="B76" s="109"/>
      <c r="C76" s="109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32"/>
      <c r="T76" s="32"/>
      <c r="U76" s="32"/>
      <c r="V76" s="32"/>
      <c r="W76" s="32"/>
      <c r="X76" s="32"/>
      <c r="Y76" s="32"/>
      <c r="Z76" s="32"/>
      <c r="AA76" s="32"/>
      <c r="AB76" s="108"/>
      <c r="AC76" s="105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5"/>
      <c r="AQ76" s="15"/>
      <c r="AR76" s="15"/>
      <c r="AS76" s="1"/>
      <c r="AT76" s="1"/>
      <c r="AU76" s="1"/>
      <c r="AV76" s="1"/>
      <c r="AW76" s="1"/>
      <c r="AX76" s="1"/>
      <c r="AY76" s="1"/>
      <c r="AZ76" s="1"/>
    </row>
    <row r="77" ht="15.75" customHeight="1">
      <c r="A77" s="3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4"/>
      <c r="Q77" s="1"/>
      <c r="R77" s="14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5"/>
      <c r="AQ77" s="15"/>
      <c r="AR77" s="15"/>
      <c r="AS77" s="1"/>
      <c r="AT77" s="1"/>
      <c r="AU77" s="1"/>
      <c r="AV77" s="1"/>
      <c r="AW77" s="1"/>
      <c r="AX77" s="1"/>
      <c r="AY77" s="1"/>
      <c r="AZ77" s="1"/>
    </row>
    <row r="78" ht="15.0" customHeight="1">
      <c r="A78" s="3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4"/>
      <c r="Q78" s="1"/>
      <c r="R78" s="14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5"/>
      <c r="AQ78" s="15"/>
      <c r="AR78" s="15"/>
      <c r="AS78" s="1"/>
      <c r="AT78" s="1"/>
      <c r="AU78" s="1"/>
      <c r="AV78" s="1"/>
      <c r="AW78" s="1"/>
      <c r="AX78" s="1"/>
      <c r="AY78" s="1"/>
      <c r="AZ78" s="1"/>
    </row>
    <row r="79" ht="15.0" customHeight="1">
      <c r="A79" s="3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4"/>
      <c r="Q79" s="1"/>
      <c r="R79" s="14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5"/>
      <c r="AQ79" s="15"/>
      <c r="AR79" s="15"/>
      <c r="AS79" s="1"/>
      <c r="AT79" s="1"/>
      <c r="AU79" s="1"/>
      <c r="AV79" s="1"/>
      <c r="AW79" s="1"/>
      <c r="AX79" s="1"/>
      <c r="AY79" s="1"/>
      <c r="AZ79" s="1"/>
    </row>
    <row r="80" ht="15.0" customHeight="1">
      <c r="A80" s="3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4"/>
      <c r="Q80" s="1"/>
      <c r="R80" s="14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5"/>
      <c r="AQ80" s="15"/>
      <c r="AR80" s="15"/>
      <c r="AS80" s="1"/>
      <c r="AT80" s="1"/>
      <c r="AU80" s="1"/>
      <c r="AV80" s="1"/>
      <c r="AW80" s="1"/>
      <c r="AX80" s="1"/>
      <c r="AY80" s="1"/>
      <c r="AZ80" s="1"/>
    </row>
    <row r="81" ht="15.75" customHeight="1">
      <c r="A81" s="3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4"/>
      <c r="Q81" s="1"/>
      <c r="R81" s="14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5"/>
      <c r="AQ81" s="15"/>
      <c r="AR81" s="15"/>
      <c r="AS81" s="1"/>
      <c r="AT81" s="1"/>
      <c r="AU81" s="1"/>
      <c r="AV81" s="1"/>
      <c r="AW81" s="1"/>
      <c r="AX81" s="1"/>
      <c r="AY81" s="1"/>
      <c r="AZ81" s="1"/>
    </row>
    <row r="82" ht="15.75" customHeight="1">
      <c r="A82" s="32"/>
      <c r="B82" s="103"/>
      <c r="C82" s="32"/>
      <c r="D82" s="32"/>
      <c r="E82" s="32"/>
      <c r="F82" s="32"/>
      <c r="G82" s="32"/>
      <c r="H82" s="110"/>
      <c r="I82" s="110"/>
      <c r="J82" s="110"/>
      <c r="K82" s="31"/>
      <c r="L82" s="31"/>
      <c r="M82" s="31"/>
      <c r="N82" s="31"/>
      <c r="O82" s="1"/>
      <c r="P82" s="14"/>
      <c r="Q82" s="1"/>
      <c r="R82" s="14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5"/>
      <c r="AQ82" s="15"/>
      <c r="AR82" s="15"/>
      <c r="AS82" s="1"/>
      <c r="AT82" s="1"/>
      <c r="AU82" s="1"/>
      <c r="AV82" s="1"/>
      <c r="AW82" s="1"/>
      <c r="AX82" s="1"/>
      <c r="AY82" s="1"/>
      <c r="AZ82" s="1"/>
    </row>
    <row r="83" ht="15.75" customHeight="1">
      <c r="A83" s="32"/>
      <c r="B83" s="111"/>
      <c r="C83" s="111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7"/>
      <c r="T83" s="107"/>
      <c r="U83" s="107"/>
      <c r="V83" s="107"/>
      <c r="W83" s="107"/>
      <c r="X83" s="107"/>
      <c r="Y83" s="1"/>
      <c r="Z83" s="1"/>
      <c r="AA83" s="112"/>
      <c r="AB83" s="107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5"/>
      <c r="AQ83" s="15"/>
      <c r="AR83" s="15"/>
      <c r="AS83" s="1"/>
      <c r="AT83" s="1"/>
      <c r="AU83" s="1"/>
      <c r="AV83" s="1"/>
      <c r="AW83" s="1"/>
      <c r="AX83" s="1"/>
      <c r="AY83" s="1"/>
      <c r="AZ83" s="1"/>
    </row>
    <row r="84" ht="15.75" customHeight="1">
      <c r="A84" s="32"/>
      <c r="B84" s="111"/>
      <c r="C84" s="111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7"/>
      <c r="T84" s="107"/>
      <c r="U84" s="107"/>
      <c r="V84" s="107"/>
      <c r="W84" s="107"/>
      <c r="X84" s="107"/>
      <c r="Y84" s="1"/>
      <c r="Z84" s="1"/>
      <c r="AA84" s="112"/>
      <c r="AB84" s="107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5"/>
      <c r="AQ84" s="15"/>
      <c r="AR84" s="15"/>
      <c r="AS84" s="1"/>
      <c r="AT84" s="1"/>
      <c r="AU84" s="1"/>
      <c r="AV84" s="1"/>
      <c r="AW84" s="1"/>
      <c r="AX84" s="1"/>
      <c r="AY84" s="1"/>
      <c r="AZ84" s="1"/>
    </row>
    <row r="85" ht="15.75" customHeight="1">
      <c r="A85" s="32"/>
      <c r="B85" s="111"/>
      <c r="C85" s="111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7"/>
      <c r="T85" s="107"/>
      <c r="U85" s="107"/>
      <c r="V85" s="107"/>
      <c r="W85" s="107"/>
      <c r="X85" s="107"/>
      <c r="Y85" s="1"/>
      <c r="Z85" s="1"/>
      <c r="AA85" s="112"/>
      <c r="AB85" s="107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5"/>
      <c r="AQ85" s="15"/>
      <c r="AR85" s="15"/>
      <c r="AS85" s="1"/>
      <c r="AT85" s="1"/>
      <c r="AU85" s="1"/>
      <c r="AV85" s="1"/>
      <c r="AW85" s="1"/>
      <c r="AX85" s="1"/>
      <c r="AY85" s="1"/>
      <c r="AZ85" s="1"/>
    </row>
    <row r="86" ht="15.75" customHeight="1">
      <c r="A86" s="32"/>
      <c r="B86" s="111"/>
      <c r="C86" s="111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7"/>
      <c r="T86" s="107"/>
      <c r="U86" s="107"/>
      <c r="V86" s="107"/>
      <c r="W86" s="107"/>
      <c r="X86" s="107"/>
      <c r="Y86" s="1"/>
      <c r="Z86" s="1"/>
      <c r="AA86" s="112"/>
      <c r="AB86" s="107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5"/>
      <c r="AQ86" s="15"/>
      <c r="AR86" s="15"/>
      <c r="AS86" s="1"/>
      <c r="AT86" s="1"/>
      <c r="AU86" s="1"/>
      <c r="AV86" s="1"/>
      <c r="AW86" s="1"/>
      <c r="AX86" s="1"/>
      <c r="AY86" s="1"/>
      <c r="AZ86" s="1"/>
    </row>
    <row r="87" ht="15.75" customHeight="1">
      <c r="A87" s="32"/>
      <c r="B87" s="111"/>
      <c r="C87" s="111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7"/>
      <c r="T87" s="107"/>
      <c r="U87" s="107"/>
      <c r="V87" s="107"/>
      <c r="W87" s="107"/>
      <c r="X87" s="107"/>
      <c r="Y87" s="1"/>
      <c r="Z87" s="1"/>
      <c r="AA87" s="112"/>
      <c r="AB87" s="107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5"/>
      <c r="AQ87" s="15"/>
      <c r="AR87" s="15"/>
      <c r="AS87" s="1"/>
      <c r="AT87" s="1"/>
      <c r="AU87" s="1"/>
      <c r="AV87" s="1"/>
      <c r="AW87" s="1"/>
      <c r="AX87" s="1"/>
      <c r="AY87" s="1"/>
      <c r="AZ87" s="1"/>
    </row>
    <row r="88" ht="15.75" customHeight="1">
      <c r="A88" s="32"/>
      <c r="B88" s="111"/>
      <c r="C88" s="111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7"/>
      <c r="T88" s="107"/>
      <c r="U88" s="107"/>
      <c r="V88" s="107"/>
      <c r="W88" s="107"/>
      <c r="X88" s="107"/>
      <c r="Y88" s="1"/>
      <c r="Z88" s="1"/>
      <c r="AA88" s="112"/>
      <c r="AB88" s="107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5"/>
      <c r="AQ88" s="15"/>
      <c r="AR88" s="15"/>
      <c r="AS88" s="1"/>
      <c r="AT88" s="1"/>
      <c r="AU88" s="1"/>
      <c r="AV88" s="1"/>
      <c r="AW88" s="1"/>
      <c r="AX88" s="1"/>
      <c r="AY88" s="1"/>
      <c r="AZ88" s="1"/>
    </row>
    <row r="89" ht="15.75" customHeight="1">
      <c r="A89" s="3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4"/>
      <c r="Q89" s="1"/>
      <c r="R89" s="14"/>
      <c r="S89" s="1"/>
      <c r="T89" s="14"/>
      <c r="U89" s="1"/>
      <c r="V89" s="14"/>
      <c r="W89" s="1"/>
      <c r="X89" s="14"/>
      <c r="Y89" s="1"/>
      <c r="Z89" s="1"/>
      <c r="AA89" s="1"/>
      <c r="AB89" s="107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5"/>
      <c r="AQ89" s="15"/>
      <c r="AR89" s="15"/>
      <c r="AS89" s="1"/>
      <c r="AT89" s="1"/>
      <c r="AU89" s="1"/>
      <c r="AV89" s="1"/>
      <c r="AW89" s="1"/>
      <c r="AX89" s="1"/>
      <c r="AY89" s="1"/>
      <c r="AZ89" s="1"/>
    </row>
    <row r="90" ht="15.0" customHeight="1">
      <c r="A90" s="3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4"/>
      <c r="Q90" s="1"/>
      <c r="R90" s="14"/>
      <c r="S90" s="1"/>
      <c r="T90" s="14"/>
      <c r="U90" s="1"/>
      <c r="V90" s="14"/>
      <c r="W90" s="1"/>
      <c r="X90" s="14"/>
      <c r="Y90" s="1"/>
      <c r="Z90" s="1"/>
      <c r="AA90" s="1"/>
      <c r="AB90" s="32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5"/>
      <c r="AQ90" s="15"/>
      <c r="AR90" s="15"/>
      <c r="AS90" s="1"/>
      <c r="AT90" s="1"/>
      <c r="AU90" s="1"/>
      <c r="AV90" s="1"/>
      <c r="AW90" s="1"/>
      <c r="AX90" s="1"/>
      <c r="AY90" s="1"/>
      <c r="AZ90" s="1"/>
    </row>
    <row r="91" ht="15.75" customHeight="1">
      <c r="A91" s="32"/>
      <c r="B91" s="113" t="s">
        <v>125</v>
      </c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5"/>
      <c r="AQ91" s="15"/>
      <c r="AR91" s="15"/>
      <c r="AS91" s="1"/>
      <c r="AT91" s="1"/>
      <c r="AU91" s="1"/>
      <c r="AV91" s="1"/>
      <c r="AW91" s="1"/>
      <c r="AX91" s="1"/>
      <c r="AY91" s="1"/>
      <c r="AZ91" s="1"/>
    </row>
    <row r="92" ht="15.75" customHeight="1">
      <c r="A92" s="32"/>
      <c r="B92" s="103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5"/>
      <c r="AQ92" s="15"/>
      <c r="AR92" s="15"/>
      <c r="AS92" s="1"/>
      <c r="AT92" s="1"/>
      <c r="AU92" s="1"/>
      <c r="AV92" s="1"/>
      <c r="AW92" s="1"/>
      <c r="AX92" s="1"/>
      <c r="AY92" s="1"/>
      <c r="AZ92" s="1"/>
    </row>
    <row r="93" ht="15.75" customHeight="1">
      <c r="A93" s="32"/>
      <c r="B93" s="31"/>
      <c r="C93" s="31"/>
      <c r="D93" s="114"/>
      <c r="E93" s="114"/>
      <c r="F93" s="114"/>
      <c r="G93" s="114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5"/>
      <c r="AQ93" s="15"/>
      <c r="AR93" s="15"/>
      <c r="AS93" s="1"/>
      <c r="AT93" s="1"/>
      <c r="AU93" s="1"/>
      <c r="AV93" s="1"/>
      <c r="AW93" s="1"/>
      <c r="AX93" s="1"/>
      <c r="AY93" s="1"/>
      <c r="AZ93" s="1"/>
    </row>
    <row r="94" ht="15.75" customHeight="1">
      <c r="A94" s="32"/>
      <c r="B94" s="115"/>
      <c r="C94" s="115"/>
      <c r="D94" s="3"/>
      <c r="E94" s="3"/>
      <c r="F94" s="3"/>
      <c r="G94" s="3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5"/>
      <c r="AQ94" s="15"/>
      <c r="AR94" s="15"/>
      <c r="AS94" s="1"/>
      <c r="AT94" s="1"/>
      <c r="AU94" s="1"/>
      <c r="AV94" s="1"/>
      <c r="AW94" s="1"/>
      <c r="AX94" s="1"/>
      <c r="AY94" s="1"/>
      <c r="AZ94" s="1"/>
    </row>
    <row r="95" ht="15.75" customHeight="1">
      <c r="A95" s="32"/>
      <c r="B95" s="115"/>
      <c r="C95" s="115"/>
      <c r="D95" s="3"/>
      <c r="E95" s="3"/>
      <c r="F95" s="3"/>
      <c r="G95" s="3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5"/>
      <c r="AQ95" s="15"/>
      <c r="AR95" s="15"/>
      <c r="AS95" s="1"/>
      <c r="AT95" s="1"/>
      <c r="AU95" s="1"/>
      <c r="AV95" s="1"/>
      <c r="AW95" s="1"/>
      <c r="AX95" s="1"/>
      <c r="AY95" s="1"/>
      <c r="AZ95" s="1"/>
    </row>
    <row r="96" ht="15.75" customHeight="1">
      <c r="A96" s="32"/>
      <c r="B96" s="115"/>
      <c r="C96" s="115"/>
      <c r="D96" s="3"/>
      <c r="E96" s="3"/>
      <c r="F96" s="3"/>
      <c r="G96" s="3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5"/>
      <c r="AQ96" s="15"/>
      <c r="AR96" s="15"/>
      <c r="AS96" s="1"/>
      <c r="AT96" s="1"/>
      <c r="AU96" s="1"/>
      <c r="AV96" s="1"/>
      <c r="AW96" s="1"/>
      <c r="AX96" s="1"/>
      <c r="AY96" s="1"/>
      <c r="AZ96" s="1"/>
    </row>
    <row r="97" ht="15.75" customHeight="1">
      <c r="A97" s="32"/>
      <c r="B97" s="115"/>
      <c r="C97" s="115"/>
      <c r="D97" s="3"/>
      <c r="E97" s="3"/>
      <c r="F97" s="3"/>
      <c r="G97" s="3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5"/>
      <c r="AQ97" s="15"/>
      <c r="AR97" s="15"/>
      <c r="AS97" s="1"/>
      <c r="AT97" s="1"/>
      <c r="AU97" s="1"/>
      <c r="AV97" s="1"/>
      <c r="AW97" s="1"/>
      <c r="AX97" s="1"/>
      <c r="AY97" s="1"/>
      <c r="AZ97" s="1"/>
    </row>
    <row r="98" ht="15.75" customHeight="1">
      <c r="A98" s="32"/>
      <c r="B98" s="103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5"/>
      <c r="AQ98" s="15"/>
      <c r="AR98" s="15"/>
      <c r="AS98" s="1"/>
      <c r="AT98" s="1"/>
      <c r="AU98" s="1"/>
      <c r="AV98" s="1"/>
      <c r="AW98" s="1"/>
      <c r="AX98" s="1"/>
      <c r="AY98" s="1"/>
      <c r="AZ98" s="1"/>
    </row>
    <row r="99" ht="15.75" customHeight="1">
      <c r="A99" s="32"/>
      <c r="B99" s="31"/>
      <c r="C99" s="31"/>
      <c r="D99" s="114"/>
      <c r="E99" s="114"/>
      <c r="F99" s="114"/>
      <c r="G99" s="114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5"/>
      <c r="AQ99" s="15"/>
      <c r="AR99" s="15"/>
      <c r="AS99" s="1"/>
      <c r="AT99" s="1"/>
      <c r="AU99" s="1"/>
      <c r="AV99" s="1"/>
      <c r="AW99" s="1"/>
      <c r="AX99" s="1"/>
      <c r="AY99" s="1"/>
      <c r="AZ99" s="1"/>
    </row>
    <row r="100" ht="15.75" customHeight="1">
      <c r="A100" s="32"/>
      <c r="B100" s="115"/>
      <c r="C100" s="115"/>
      <c r="D100" s="3"/>
      <c r="E100" s="3"/>
      <c r="F100" s="3"/>
      <c r="G100" s="3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5"/>
      <c r="AQ100" s="15"/>
      <c r="AR100" s="15"/>
      <c r="AS100" s="1"/>
      <c r="AT100" s="1"/>
      <c r="AU100" s="1"/>
      <c r="AV100" s="1"/>
      <c r="AW100" s="1"/>
      <c r="AX100" s="1"/>
      <c r="AY100" s="1"/>
      <c r="AZ100" s="1"/>
    </row>
    <row r="101" ht="15.75" customHeight="1">
      <c r="A101" s="32"/>
      <c r="B101" s="115"/>
      <c r="C101" s="115"/>
      <c r="D101" s="3"/>
      <c r="E101" s="3"/>
      <c r="F101" s="3"/>
      <c r="G101" s="3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5"/>
      <c r="AQ101" s="15"/>
      <c r="AR101" s="15"/>
      <c r="AS101" s="1"/>
      <c r="AT101" s="1"/>
      <c r="AU101" s="1"/>
      <c r="AV101" s="1"/>
      <c r="AW101" s="1"/>
      <c r="AX101" s="1"/>
      <c r="AY101" s="1"/>
      <c r="AZ101" s="1"/>
    </row>
    <row r="102" ht="15.75" customHeight="1">
      <c r="A102" s="32"/>
      <c r="B102" s="115"/>
      <c r="C102" s="115"/>
      <c r="D102" s="3"/>
      <c r="E102" s="3"/>
      <c r="F102" s="3"/>
      <c r="G102" s="3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5"/>
      <c r="AQ102" s="15"/>
      <c r="AR102" s="15"/>
      <c r="AS102" s="1"/>
      <c r="AT102" s="1"/>
      <c r="AU102" s="1"/>
      <c r="AV102" s="1"/>
      <c r="AW102" s="1"/>
      <c r="AX102" s="1"/>
      <c r="AY102" s="1"/>
      <c r="AZ102" s="1"/>
    </row>
    <row r="103" ht="15.75" customHeight="1">
      <c r="A103" s="32"/>
      <c r="B103" s="115"/>
      <c r="C103" s="115"/>
      <c r="D103" s="3"/>
      <c r="E103" s="3"/>
      <c r="F103" s="3"/>
      <c r="G103" s="3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5"/>
      <c r="AQ103" s="15"/>
      <c r="AR103" s="15"/>
      <c r="AS103" s="1"/>
      <c r="AT103" s="1"/>
      <c r="AU103" s="1"/>
      <c r="AV103" s="1"/>
      <c r="AW103" s="1"/>
      <c r="AX103" s="1"/>
      <c r="AY103" s="1"/>
      <c r="AZ103" s="1"/>
    </row>
    <row r="104" ht="15.75" customHeight="1">
      <c r="A104" s="32"/>
      <c r="B104" s="103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5"/>
      <c r="AQ104" s="15"/>
      <c r="AR104" s="15"/>
      <c r="AS104" s="1"/>
      <c r="AT104" s="1"/>
      <c r="AU104" s="1"/>
      <c r="AV104" s="1"/>
      <c r="AW104" s="1"/>
      <c r="AX104" s="1"/>
      <c r="AY104" s="1"/>
      <c r="AZ104" s="1"/>
    </row>
    <row r="105" ht="15.75" customHeight="1">
      <c r="A105" s="32"/>
      <c r="B105" s="103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5"/>
      <c r="AQ105" s="15"/>
      <c r="AR105" s="15"/>
      <c r="AS105" s="1"/>
      <c r="AT105" s="1"/>
      <c r="AU105" s="1"/>
      <c r="AV105" s="1"/>
      <c r="AW105" s="1"/>
      <c r="AX105" s="1"/>
      <c r="AY105" s="1"/>
      <c r="AZ105" s="1"/>
    </row>
    <row r="106" ht="15.75" customHeight="1">
      <c r="A106" s="32"/>
      <c r="B106" s="103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5"/>
      <c r="AQ106" s="15"/>
      <c r="AR106" s="15"/>
      <c r="AS106" s="1"/>
      <c r="AT106" s="1"/>
      <c r="AU106" s="1"/>
      <c r="AV106" s="1"/>
      <c r="AW106" s="1"/>
      <c r="AX106" s="1"/>
      <c r="AY106" s="1"/>
      <c r="AZ106" s="1"/>
    </row>
    <row r="107" ht="15.75" customHeight="1">
      <c r="A107" s="32"/>
      <c r="B107" s="103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5"/>
      <c r="AQ107" s="15"/>
      <c r="AR107" s="15"/>
      <c r="AS107" s="1"/>
      <c r="AT107" s="1"/>
      <c r="AU107" s="1"/>
      <c r="AV107" s="1"/>
      <c r="AW107" s="1"/>
      <c r="AX107" s="1"/>
      <c r="AY107" s="1"/>
      <c r="AZ107" s="1"/>
    </row>
    <row r="108" ht="15.75" customHeight="1">
      <c r="A108" s="32"/>
      <c r="B108" s="103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5"/>
      <c r="AQ108" s="15"/>
      <c r="AR108" s="15"/>
      <c r="AS108" s="1"/>
      <c r="AT108" s="1"/>
      <c r="AU108" s="1"/>
      <c r="AV108" s="1"/>
      <c r="AW108" s="1"/>
      <c r="AX108" s="1"/>
      <c r="AY108" s="1"/>
      <c r="AZ108" s="1"/>
    </row>
    <row r="109" ht="15.75" customHeight="1">
      <c r="A109" s="32"/>
      <c r="B109" s="103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5"/>
      <c r="AQ109" s="15"/>
      <c r="AR109" s="15"/>
      <c r="AS109" s="1"/>
      <c r="AT109" s="1"/>
      <c r="AU109" s="1"/>
      <c r="AV109" s="1"/>
      <c r="AW109" s="1"/>
      <c r="AX109" s="1"/>
      <c r="AY109" s="1"/>
      <c r="AZ109" s="1"/>
    </row>
    <row r="110" ht="15.75" customHeight="1">
      <c r="A110" s="32"/>
      <c r="B110" s="103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5"/>
      <c r="AQ110" s="15"/>
      <c r="AR110" s="15"/>
      <c r="AS110" s="1"/>
      <c r="AT110" s="1"/>
      <c r="AU110" s="1"/>
      <c r="AV110" s="1"/>
      <c r="AW110" s="1"/>
      <c r="AX110" s="1"/>
      <c r="AY110" s="1"/>
      <c r="AZ110" s="1"/>
    </row>
    <row r="111" ht="15.75" customHeight="1">
      <c r="A111" s="32"/>
      <c r="B111" s="116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5"/>
      <c r="AQ111" s="15"/>
      <c r="AR111" s="15"/>
      <c r="AS111" s="1"/>
      <c r="AT111" s="1"/>
      <c r="AU111" s="1"/>
      <c r="AV111" s="1"/>
      <c r="AW111" s="1"/>
      <c r="AX111" s="1"/>
      <c r="AY111" s="1"/>
      <c r="AZ111" s="1"/>
    </row>
    <row r="112" ht="15.75" customHeight="1">
      <c r="A112" s="32"/>
      <c r="B112" s="103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5"/>
      <c r="AQ112" s="15"/>
      <c r="AR112" s="15"/>
      <c r="AS112" s="1"/>
      <c r="AT112" s="1"/>
      <c r="AU112" s="1"/>
      <c r="AV112" s="1"/>
      <c r="AW112" s="1"/>
      <c r="AX112" s="1"/>
      <c r="AY112" s="1"/>
      <c r="AZ112" s="1"/>
    </row>
    <row r="113" ht="29.25" customHeight="1">
      <c r="A113" s="32"/>
      <c r="B113" s="116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5"/>
      <c r="AQ113" s="15"/>
      <c r="AR113" s="15"/>
      <c r="AS113" s="1"/>
      <c r="AT113" s="1"/>
      <c r="AU113" s="1"/>
      <c r="AV113" s="1"/>
      <c r="AW113" s="1"/>
      <c r="AX113" s="1"/>
      <c r="AY113" s="1"/>
      <c r="AZ113" s="1"/>
    </row>
    <row r="114" ht="29.25" customHeight="1">
      <c r="A114" s="32"/>
      <c r="B114" s="55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5"/>
      <c r="AQ114" s="15"/>
      <c r="AR114" s="15"/>
      <c r="AS114" s="1"/>
      <c r="AT114" s="1"/>
      <c r="AU114" s="1"/>
      <c r="AV114" s="1"/>
      <c r="AW114" s="1"/>
      <c r="AX114" s="1"/>
      <c r="AY114" s="1"/>
      <c r="AZ114" s="1"/>
    </row>
    <row r="115" ht="30.0" customHeight="1">
      <c r="A115" s="32"/>
      <c r="B115" s="103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5"/>
      <c r="AQ115" s="15"/>
      <c r="AR115" s="15"/>
      <c r="AS115" s="1"/>
      <c r="AT115" s="1"/>
      <c r="AU115" s="1"/>
      <c r="AV115" s="1"/>
      <c r="AW115" s="1"/>
      <c r="AX115" s="1"/>
      <c r="AY115" s="1"/>
      <c r="AZ115" s="1"/>
    </row>
    <row r="116" ht="15.75" customHeight="1">
      <c r="A116" s="32"/>
      <c r="B116" s="55"/>
      <c r="C116" s="32"/>
      <c r="D116" s="104"/>
      <c r="E116" s="104"/>
      <c r="F116" s="104"/>
      <c r="G116" s="104"/>
      <c r="H116" s="104"/>
      <c r="I116" s="104"/>
      <c r="J116" s="104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5"/>
      <c r="AQ116" s="15"/>
      <c r="AR116" s="15"/>
      <c r="AS116" s="1"/>
      <c r="AT116" s="1"/>
      <c r="AU116" s="1"/>
      <c r="AV116" s="1"/>
      <c r="AW116" s="1"/>
      <c r="AX116" s="1"/>
      <c r="AY116" s="1"/>
      <c r="AZ116" s="1"/>
    </row>
    <row r="117" ht="15.75" customHeight="1">
      <c r="A117" s="14"/>
      <c r="B117" s="117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5"/>
      <c r="AQ117" s="15"/>
      <c r="AR117" s="15"/>
      <c r="AS117" s="1"/>
      <c r="AT117" s="1"/>
      <c r="AU117" s="1"/>
      <c r="AV117" s="1"/>
      <c r="AW117" s="1"/>
      <c r="AX117" s="1"/>
      <c r="AY117" s="1"/>
      <c r="AZ117" s="1"/>
    </row>
    <row r="118" ht="15.75" customHeight="1">
      <c r="A118" s="14"/>
      <c r="B118" s="117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5"/>
      <c r="AQ118" s="15"/>
      <c r="AR118" s="15"/>
      <c r="AS118" s="1"/>
      <c r="AT118" s="1"/>
      <c r="AU118" s="1"/>
      <c r="AV118" s="1"/>
      <c r="AW118" s="1"/>
      <c r="AX118" s="1"/>
      <c r="AY118" s="1"/>
      <c r="AZ118" s="1"/>
    </row>
    <row r="119" ht="15.75" customHeight="1">
      <c r="A119" s="1"/>
      <c r="B119" s="11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4"/>
      <c r="Q119" s="1"/>
      <c r="R119" s="14"/>
      <c r="S119" s="1"/>
      <c r="T119" s="14"/>
      <c r="U119" s="1"/>
      <c r="V119" s="14"/>
      <c r="W119" s="1"/>
      <c r="X119" s="14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5"/>
      <c r="AQ119" s="15"/>
      <c r="AR119" s="15"/>
      <c r="AS119" s="1"/>
      <c r="AT119" s="1"/>
      <c r="AU119" s="1"/>
      <c r="AV119" s="1"/>
      <c r="AW119" s="1"/>
      <c r="AX119" s="1"/>
      <c r="AY119" s="1"/>
      <c r="AZ119" s="1"/>
    </row>
    <row r="120" ht="15.75" customHeight="1">
      <c r="A120" s="1"/>
      <c r="B120" s="11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4"/>
      <c r="Q120" s="1"/>
      <c r="R120" s="14"/>
      <c r="S120" s="1"/>
      <c r="T120" s="14"/>
      <c r="U120" s="1"/>
      <c r="V120" s="14"/>
      <c r="W120" s="1"/>
      <c r="X120" s="14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5"/>
      <c r="AQ120" s="15"/>
      <c r="AR120" s="15"/>
      <c r="AS120" s="1"/>
      <c r="AT120" s="1"/>
      <c r="AU120" s="1"/>
      <c r="AV120" s="1"/>
      <c r="AW120" s="1"/>
      <c r="AX120" s="1"/>
      <c r="AY120" s="1"/>
      <c r="AZ120" s="1"/>
    </row>
    <row r="121" ht="15.75" customHeight="1">
      <c r="A121" s="1"/>
      <c r="B121" s="11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4"/>
      <c r="Q121" s="1"/>
      <c r="R121" s="14"/>
      <c r="S121" s="1"/>
      <c r="T121" s="14"/>
      <c r="U121" s="1"/>
      <c r="V121" s="14"/>
      <c r="W121" s="1"/>
      <c r="X121" s="14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5"/>
      <c r="AQ121" s="15"/>
      <c r="AR121" s="15"/>
      <c r="AS121" s="1"/>
      <c r="AT121" s="1"/>
      <c r="AU121" s="1"/>
      <c r="AV121" s="1"/>
      <c r="AW121" s="1"/>
      <c r="AX121" s="1"/>
      <c r="AY121" s="1"/>
      <c r="AZ121" s="1"/>
    </row>
    <row r="122" ht="15.75" customHeight="1">
      <c r="A122" s="1"/>
      <c r="B122" s="11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4"/>
      <c r="Q122" s="1"/>
      <c r="R122" s="14"/>
      <c r="S122" s="1"/>
      <c r="T122" s="14"/>
      <c r="U122" s="1"/>
      <c r="V122" s="14"/>
      <c r="W122" s="1"/>
      <c r="X122" s="14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5"/>
      <c r="AQ122" s="15"/>
      <c r="AR122" s="15"/>
      <c r="AS122" s="1"/>
      <c r="AT122" s="1"/>
      <c r="AU122" s="1"/>
      <c r="AV122" s="1"/>
      <c r="AW122" s="1"/>
      <c r="AX122" s="1"/>
      <c r="AY122" s="1"/>
      <c r="AZ122" s="1"/>
    </row>
    <row r="123" ht="15.75" customHeight="1">
      <c r="A123" s="1"/>
      <c r="B123" s="11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4"/>
      <c r="Q123" s="1"/>
      <c r="R123" s="14"/>
      <c r="S123" s="1"/>
      <c r="T123" s="14"/>
      <c r="U123" s="1"/>
      <c r="V123" s="14"/>
      <c r="W123" s="1"/>
      <c r="X123" s="14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5"/>
      <c r="AQ123" s="15"/>
      <c r="AR123" s="15"/>
      <c r="AS123" s="1"/>
      <c r="AT123" s="1"/>
      <c r="AU123" s="1"/>
      <c r="AV123" s="1"/>
      <c r="AW123" s="1"/>
      <c r="AX123" s="1"/>
      <c r="AY123" s="1"/>
      <c r="AZ123" s="1"/>
    </row>
    <row r="124" ht="15.75" customHeight="1">
      <c r="A124" s="1"/>
      <c r="B124" s="11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4"/>
      <c r="Q124" s="1"/>
      <c r="R124" s="14"/>
      <c r="S124" s="1"/>
      <c r="T124" s="14"/>
      <c r="U124" s="1"/>
      <c r="V124" s="14"/>
      <c r="W124" s="1"/>
      <c r="X124" s="14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5"/>
      <c r="AQ124" s="15"/>
      <c r="AR124" s="15"/>
      <c r="AS124" s="1"/>
      <c r="AT124" s="1"/>
      <c r="AU124" s="1"/>
      <c r="AV124" s="1"/>
      <c r="AW124" s="1"/>
      <c r="AX124" s="1"/>
      <c r="AY124" s="1"/>
      <c r="AZ124" s="1"/>
    </row>
    <row r="125" ht="15.75" customHeight="1">
      <c r="A125" s="1"/>
      <c r="B125" s="11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4"/>
      <c r="Q125" s="1"/>
      <c r="R125" s="14"/>
      <c r="S125" s="1"/>
      <c r="T125" s="14"/>
      <c r="U125" s="1"/>
      <c r="V125" s="14"/>
      <c r="W125" s="1"/>
      <c r="X125" s="14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5"/>
      <c r="AQ125" s="15"/>
      <c r="AR125" s="15"/>
      <c r="AS125" s="1"/>
      <c r="AT125" s="1"/>
      <c r="AU125" s="1"/>
      <c r="AV125" s="1"/>
      <c r="AW125" s="1"/>
      <c r="AX125" s="1"/>
      <c r="AY125" s="1"/>
      <c r="AZ125" s="1"/>
    </row>
    <row r="126" ht="15.75" customHeight="1">
      <c r="A126" s="1"/>
      <c r="B126" s="11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4"/>
      <c r="Q126" s="1"/>
      <c r="R126" s="14"/>
      <c r="S126" s="1"/>
      <c r="T126" s="14"/>
      <c r="U126" s="1"/>
      <c r="V126" s="14"/>
      <c r="W126" s="1"/>
      <c r="X126" s="14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5"/>
      <c r="AQ126" s="15"/>
      <c r="AR126" s="15"/>
      <c r="AS126" s="1"/>
      <c r="AT126" s="1"/>
      <c r="AU126" s="1"/>
      <c r="AV126" s="1"/>
      <c r="AW126" s="1"/>
      <c r="AX126" s="1"/>
      <c r="AY126" s="1"/>
      <c r="AZ126" s="1"/>
    </row>
    <row r="127" ht="15.75" customHeight="1">
      <c r="A127" s="1"/>
      <c r="B127" s="11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4"/>
      <c r="Q127" s="1"/>
      <c r="R127" s="14"/>
      <c r="S127" s="1"/>
      <c r="T127" s="14"/>
      <c r="U127" s="1"/>
      <c r="V127" s="14"/>
      <c r="W127" s="1"/>
      <c r="X127" s="14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5"/>
      <c r="AQ127" s="15"/>
      <c r="AR127" s="15"/>
      <c r="AS127" s="1"/>
      <c r="AT127" s="1"/>
      <c r="AU127" s="1"/>
      <c r="AV127" s="1"/>
      <c r="AW127" s="1"/>
      <c r="AX127" s="1"/>
      <c r="AY127" s="1"/>
      <c r="AZ127" s="1"/>
    </row>
    <row r="128" ht="15.75" customHeight="1">
      <c r="A128" s="1"/>
      <c r="B128" s="11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4"/>
      <c r="Q128" s="1"/>
      <c r="R128" s="14"/>
      <c r="S128" s="1"/>
      <c r="T128" s="14"/>
      <c r="U128" s="1"/>
      <c r="V128" s="14"/>
      <c r="W128" s="1"/>
      <c r="X128" s="14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5"/>
      <c r="AQ128" s="15"/>
      <c r="AR128" s="15"/>
      <c r="AS128" s="1"/>
      <c r="AT128" s="1"/>
      <c r="AU128" s="1"/>
      <c r="AV128" s="1"/>
      <c r="AW128" s="1"/>
      <c r="AX128" s="1"/>
      <c r="AY128" s="1"/>
      <c r="AZ128" s="1"/>
    </row>
    <row r="129" ht="15.75" customHeight="1">
      <c r="A129" s="1"/>
      <c r="B129" s="11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4"/>
      <c r="Q129" s="1"/>
      <c r="R129" s="14"/>
      <c r="S129" s="1"/>
      <c r="T129" s="14"/>
      <c r="U129" s="1"/>
      <c r="V129" s="14"/>
      <c r="W129" s="1"/>
      <c r="X129" s="14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5"/>
      <c r="AQ129" s="15"/>
      <c r="AR129" s="15"/>
      <c r="AS129" s="1"/>
      <c r="AT129" s="1"/>
      <c r="AU129" s="1"/>
      <c r="AV129" s="1"/>
      <c r="AW129" s="1"/>
      <c r="AX129" s="1"/>
      <c r="AY129" s="1"/>
      <c r="AZ129" s="1"/>
    </row>
    <row r="130" ht="15.75" customHeight="1">
      <c r="A130" s="1"/>
      <c r="B130" s="11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4"/>
      <c r="Q130" s="1"/>
      <c r="R130" s="14"/>
      <c r="S130" s="1"/>
      <c r="T130" s="14"/>
      <c r="U130" s="1"/>
      <c r="V130" s="14"/>
      <c r="W130" s="1"/>
      <c r="X130" s="14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5"/>
      <c r="AQ130" s="15"/>
      <c r="AR130" s="15"/>
      <c r="AS130" s="1"/>
      <c r="AT130" s="1"/>
      <c r="AU130" s="1"/>
      <c r="AV130" s="1"/>
      <c r="AW130" s="1"/>
      <c r="AX130" s="1"/>
      <c r="AY130" s="1"/>
      <c r="AZ130" s="1"/>
    </row>
    <row r="131" ht="15.75" customHeight="1">
      <c r="A131" s="1"/>
      <c r="B131" s="11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4"/>
      <c r="Q131" s="1"/>
      <c r="R131" s="14"/>
      <c r="S131" s="1"/>
      <c r="T131" s="14"/>
      <c r="U131" s="1"/>
      <c r="V131" s="14"/>
      <c r="W131" s="1"/>
      <c r="X131" s="14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5"/>
      <c r="AQ131" s="15"/>
      <c r="AR131" s="15"/>
      <c r="AS131" s="1"/>
      <c r="AT131" s="1"/>
      <c r="AU131" s="1"/>
      <c r="AV131" s="1"/>
      <c r="AW131" s="1"/>
      <c r="AX131" s="1"/>
      <c r="AY131" s="1"/>
      <c r="AZ131" s="1"/>
    </row>
    <row r="132" ht="15.75" customHeight="1">
      <c r="A132" s="1"/>
      <c r="B132" s="11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4"/>
      <c r="Q132" s="1"/>
      <c r="R132" s="14"/>
      <c r="S132" s="1"/>
      <c r="T132" s="14"/>
      <c r="U132" s="1"/>
      <c r="V132" s="14"/>
      <c r="W132" s="1"/>
      <c r="X132" s="14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5"/>
      <c r="AQ132" s="15"/>
      <c r="AR132" s="15"/>
      <c r="AS132" s="1"/>
      <c r="AT132" s="1"/>
      <c r="AU132" s="1"/>
      <c r="AV132" s="1"/>
      <c r="AW132" s="1"/>
      <c r="AX132" s="1"/>
      <c r="AY132" s="1"/>
      <c r="AZ132" s="1"/>
    </row>
    <row r="133" ht="15.75" customHeight="1">
      <c r="A133" s="1"/>
      <c r="B133" s="11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4"/>
      <c r="Q133" s="1"/>
      <c r="R133" s="14"/>
      <c r="S133" s="1"/>
      <c r="T133" s="14"/>
      <c r="U133" s="1"/>
      <c r="V133" s="14"/>
      <c r="W133" s="1"/>
      <c r="X133" s="14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5"/>
      <c r="AQ133" s="15"/>
      <c r="AR133" s="15"/>
      <c r="AS133" s="1"/>
      <c r="AT133" s="1"/>
      <c r="AU133" s="1"/>
      <c r="AV133" s="1"/>
      <c r="AW133" s="1"/>
      <c r="AX133" s="1"/>
      <c r="AY133" s="1"/>
      <c r="AZ133" s="1"/>
    </row>
    <row r="134" ht="15.75" customHeight="1">
      <c r="A134" s="1"/>
      <c r="B134" s="11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4"/>
      <c r="Q134" s="1"/>
      <c r="R134" s="14"/>
      <c r="S134" s="1"/>
      <c r="T134" s="14"/>
      <c r="U134" s="1"/>
      <c r="V134" s="14"/>
      <c r="W134" s="1"/>
      <c r="X134" s="14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5"/>
      <c r="AQ134" s="15"/>
      <c r="AR134" s="15"/>
      <c r="AS134" s="1"/>
      <c r="AT134" s="1"/>
      <c r="AU134" s="1"/>
      <c r="AV134" s="1"/>
      <c r="AW134" s="1"/>
      <c r="AX134" s="1"/>
      <c r="AY134" s="1"/>
      <c r="AZ134" s="1"/>
    </row>
    <row r="135" ht="15.75" customHeight="1">
      <c r="A135" s="1"/>
      <c r="B135" s="11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4"/>
      <c r="Q135" s="1"/>
      <c r="R135" s="14"/>
      <c r="S135" s="1"/>
      <c r="T135" s="14"/>
      <c r="U135" s="1"/>
      <c r="V135" s="14"/>
      <c r="W135" s="1"/>
      <c r="X135" s="14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5"/>
      <c r="AQ135" s="15"/>
      <c r="AR135" s="15"/>
      <c r="AS135" s="1"/>
      <c r="AT135" s="1"/>
      <c r="AU135" s="1"/>
      <c r="AV135" s="1"/>
      <c r="AW135" s="1"/>
      <c r="AX135" s="1"/>
      <c r="AY135" s="1"/>
      <c r="AZ135" s="1"/>
    </row>
    <row r="136" ht="15.75" customHeight="1">
      <c r="A136" s="1"/>
      <c r="B136" s="11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4"/>
      <c r="Q136" s="1"/>
      <c r="R136" s="14"/>
      <c r="S136" s="1"/>
      <c r="T136" s="14"/>
      <c r="U136" s="1"/>
      <c r="V136" s="14"/>
      <c r="W136" s="1"/>
      <c r="X136" s="14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5"/>
      <c r="AQ136" s="15"/>
      <c r="AR136" s="15"/>
      <c r="AS136" s="1"/>
      <c r="AT136" s="1"/>
      <c r="AU136" s="1"/>
      <c r="AV136" s="1"/>
      <c r="AW136" s="1"/>
      <c r="AX136" s="1"/>
      <c r="AY136" s="1"/>
      <c r="AZ136" s="1"/>
    </row>
    <row r="137" ht="15.75" customHeight="1">
      <c r="A137" s="1"/>
      <c r="B137" s="11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4"/>
      <c r="Q137" s="1"/>
      <c r="R137" s="14"/>
      <c r="S137" s="1"/>
      <c r="T137" s="14"/>
      <c r="U137" s="1"/>
      <c r="V137" s="14"/>
      <c r="W137" s="1"/>
      <c r="X137" s="14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5"/>
      <c r="AQ137" s="15"/>
      <c r="AR137" s="15"/>
      <c r="AS137" s="1"/>
      <c r="AT137" s="1"/>
      <c r="AU137" s="1"/>
      <c r="AV137" s="1"/>
      <c r="AW137" s="1"/>
      <c r="AX137" s="1"/>
      <c r="AY137" s="1"/>
      <c r="AZ137" s="1"/>
    </row>
    <row r="138" ht="15.75" customHeight="1">
      <c r="A138" s="1"/>
      <c r="B138" s="11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4"/>
      <c r="Q138" s="1"/>
      <c r="R138" s="14"/>
      <c r="S138" s="1"/>
      <c r="T138" s="14"/>
      <c r="U138" s="1"/>
      <c r="V138" s="14"/>
      <c r="W138" s="1"/>
      <c r="X138" s="14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5"/>
      <c r="AQ138" s="15"/>
      <c r="AR138" s="15"/>
      <c r="AS138" s="1"/>
      <c r="AT138" s="1"/>
      <c r="AU138" s="1"/>
      <c r="AV138" s="1"/>
      <c r="AW138" s="1"/>
      <c r="AX138" s="1"/>
      <c r="AY138" s="1"/>
      <c r="AZ138" s="1"/>
    </row>
    <row r="139" ht="15.75" customHeight="1">
      <c r="A139" s="1"/>
      <c r="B139" s="11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4"/>
      <c r="Q139" s="1"/>
      <c r="R139" s="14"/>
      <c r="S139" s="1"/>
      <c r="T139" s="14"/>
      <c r="U139" s="1"/>
      <c r="V139" s="14"/>
      <c r="W139" s="1"/>
      <c r="X139" s="14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5"/>
      <c r="AQ139" s="15"/>
      <c r="AR139" s="15"/>
      <c r="AS139" s="1"/>
      <c r="AT139" s="1"/>
      <c r="AU139" s="1"/>
      <c r="AV139" s="1"/>
      <c r="AW139" s="1"/>
      <c r="AX139" s="1"/>
      <c r="AY139" s="1"/>
      <c r="AZ139" s="1"/>
    </row>
    <row r="140" ht="15.75" customHeight="1">
      <c r="A140" s="1"/>
      <c r="B140" s="11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4"/>
      <c r="Q140" s="1"/>
      <c r="R140" s="14"/>
      <c r="S140" s="1"/>
      <c r="T140" s="14"/>
      <c r="U140" s="1"/>
      <c r="V140" s="14"/>
      <c r="W140" s="1"/>
      <c r="X140" s="14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5"/>
      <c r="AQ140" s="15"/>
      <c r="AR140" s="15"/>
      <c r="AS140" s="1"/>
      <c r="AT140" s="1"/>
      <c r="AU140" s="1"/>
      <c r="AV140" s="1"/>
      <c r="AW140" s="1"/>
      <c r="AX140" s="1"/>
      <c r="AY140" s="1"/>
      <c r="AZ140" s="1"/>
    </row>
    <row r="141" ht="15.75" customHeight="1">
      <c r="A141" s="1"/>
      <c r="B141" s="11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4"/>
      <c r="Q141" s="1"/>
      <c r="R141" s="14"/>
      <c r="S141" s="1"/>
      <c r="T141" s="14"/>
      <c r="U141" s="1"/>
      <c r="V141" s="14"/>
      <c r="W141" s="1"/>
      <c r="X141" s="14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5"/>
      <c r="AQ141" s="15"/>
      <c r="AR141" s="15"/>
      <c r="AS141" s="1"/>
      <c r="AT141" s="1"/>
      <c r="AU141" s="1"/>
      <c r="AV141" s="1"/>
      <c r="AW141" s="1"/>
      <c r="AX141" s="1"/>
      <c r="AY141" s="1"/>
      <c r="AZ141" s="1"/>
    </row>
    <row r="142" ht="15.75" customHeight="1">
      <c r="A142" s="1"/>
      <c r="B142" s="11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4"/>
      <c r="Q142" s="1"/>
      <c r="R142" s="14"/>
      <c r="S142" s="1"/>
      <c r="T142" s="14"/>
      <c r="U142" s="1"/>
      <c r="V142" s="14"/>
      <c r="W142" s="1"/>
      <c r="X142" s="14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5"/>
      <c r="AQ142" s="15"/>
      <c r="AR142" s="15"/>
      <c r="AS142" s="1"/>
      <c r="AT142" s="1"/>
      <c r="AU142" s="1"/>
      <c r="AV142" s="1"/>
      <c r="AW142" s="1"/>
      <c r="AX142" s="1"/>
      <c r="AY142" s="1"/>
      <c r="AZ142" s="1"/>
    </row>
    <row r="143" ht="15.75" customHeight="1">
      <c r="A143" s="1"/>
      <c r="B143" s="11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4"/>
      <c r="Q143" s="1"/>
      <c r="R143" s="14"/>
      <c r="S143" s="1"/>
      <c r="T143" s="14"/>
      <c r="U143" s="1"/>
      <c r="V143" s="14"/>
      <c r="W143" s="1"/>
      <c r="X143" s="14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5"/>
      <c r="AQ143" s="15"/>
      <c r="AR143" s="15"/>
      <c r="AS143" s="1"/>
      <c r="AT143" s="1"/>
      <c r="AU143" s="1"/>
      <c r="AV143" s="1"/>
      <c r="AW143" s="1"/>
      <c r="AX143" s="1"/>
      <c r="AY143" s="1"/>
      <c r="AZ143" s="1"/>
    </row>
    <row r="144" ht="15.75" customHeight="1">
      <c r="A144" s="1"/>
      <c r="B144" s="11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4"/>
      <c r="Q144" s="1"/>
      <c r="R144" s="14"/>
      <c r="S144" s="1"/>
      <c r="T144" s="14"/>
      <c r="U144" s="1"/>
      <c r="V144" s="14"/>
      <c r="W144" s="1"/>
      <c r="X144" s="14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5"/>
      <c r="AQ144" s="15"/>
      <c r="AR144" s="15"/>
      <c r="AS144" s="1"/>
      <c r="AT144" s="1"/>
      <c r="AU144" s="1"/>
      <c r="AV144" s="1"/>
      <c r="AW144" s="1"/>
      <c r="AX144" s="1"/>
      <c r="AY144" s="1"/>
      <c r="AZ144" s="1"/>
    </row>
    <row r="145" ht="15.75" customHeight="1">
      <c r="A145" s="1"/>
      <c r="B145" s="11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4"/>
      <c r="Q145" s="1"/>
      <c r="R145" s="14"/>
      <c r="S145" s="1"/>
      <c r="T145" s="14"/>
      <c r="U145" s="1"/>
      <c r="V145" s="14"/>
      <c r="W145" s="1"/>
      <c r="X145" s="14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5"/>
      <c r="AQ145" s="15"/>
      <c r="AR145" s="15"/>
      <c r="AS145" s="1"/>
      <c r="AT145" s="1"/>
      <c r="AU145" s="1"/>
      <c r="AV145" s="1"/>
      <c r="AW145" s="1"/>
      <c r="AX145" s="1"/>
      <c r="AY145" s="1"/>
      <c r="AZ145" s="1"/>
    </row>
    <row r="146" ht="15.75" customHeight="1">
      <c r="A146" s="1"/>
      <c r="B146" s="11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4"/>
      <c r="Q146" s="1"/>
      <c r="R146" s="14"/>
      <c r="S146" s="1"/>
      <c r="T146" s="14"/>
      <c r="U146" s="1"/>
      <c r="V146" s="14"/>
      <c r="W146" s="1"/>
      <c r="X146" s="14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5"/>
      <c r="AQ146" s="15"/>
      <c r="AR146" s="15"/>
      <c r="AS146" s="1"/>
      <c r="AT146" s="1"/>
      <c r="AU146" s="1"/>
      <c r="AV146" s="1"/>
      <c r="AW146" s="1"/>
      <c r="AX146" s="1"/>
      <c r="AY146" s="1"/>
      <c r="AZ146" s="1"/>
    </row>
    <row r="147" ht="15.75" customHeight="1">
      <c r="A147" s="1"/>
      <c r="B147" s="11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4"/>
      <c r="Q147" s="1"/>
      <c r="R147" s="14"/>
      <c r="S147" s="1"/>
      <c r="T147" s="14"/>
      <c r="U147" s="1"/>
      <c r="V147" s="14"/>
      <c r="W147" s="1"/>
      <c r="X147" s="14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5"/>
      <c r="AQ147" s="15"/>
      <c r="AR147" s="15"/>
      <c r="AS147" s="1"/>
      <c r="AT147" s="1"/>
      <c r="AU147" s="1"/>
      <c r="AV147" s="1"/>
      <c r="AW147" s="1"/>
      <c r="AX147" s="1"/>
      <c r="AY147" s="1"/>
      <c r="AZ147" s="1"/>
    </row>
    <row r="148" ht="15.75" customHeight="1">
      <c r="A148" s="1"/>
      <c r="B148" s="11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4"/>
      <c r="Q148" s="1"/>
      <c r="R148" s="14"/>
      <c r="S148" s="1"/>
      <c r="T148" s="14"/>
      <c r="U148" s="1"/>
      <c r="V148" s="14"/>
      <c r="W148" s="1"/>
      <c r="X148" s="14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5"/>
      <c r="AQ148" s="15"/>
      <c r="AR148" s="15"/>
      <c r="AS148" s="1"/>
      <c r="AT148" s="1"/>
      <c r="AU148" s="1"/>
      <c r="AV148" s="1"/>
      <c r="AW148" s="1"/>
      <c r="AX148" s="1"/>
      <c r="AY148" s="1"/>
      <c r="AZ148" s="1"/>
    </row>
    <row r="149" ht="15.75" customHeight="1">
      <c r="A149" s="1"/>
      <c r="B149" s="11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4"/>
      <c r="Q149" s="1"/>
      <c r="R149" s="14"/>
      <c r="S149" s="1"/>
      <c r="T149" s="14"/>
      <c r="U149" s="1"/>
      <c r="V149" s="14"/>
      <c r="W149" s="1"/>
      <c r="X149" s="14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5"/>
      <c r="AQ149" s="15"/>
      <c r="AR149" s="15"/>
      <c r="AS149" s="1"/>
      <c r="AT149" s="1"/>
      <c r="AU149" s="1"/>
      <c r="AV149" s="1"/>
      <c r="AW149" s="1"/>
      <c r="AX149" s="1"/>
      <c r="AY149" s="1"/>
      <c r="AZ149" s="1"/>
    </row>
    <row r="150" ht="15.75" customHeight="1">
      <c r="A150" s="1"/>
      <c r="B150" s="11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4"/>
      <c r="Q150" s="1"/>
      <c r="R150" s="14"/>
      <c r="S150" s="1"/>
      <c r="T150" s="14"/>
      <c r="U150" s="1"/>
      <c r="V150" s="14"/>
      <c r="W150" s="1"/>
      <c r="X150" s="14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5"/>
      <c r="AQ150" s="15"/>
      <c r="AR150" s="15"/>
      <c r="AS150" s="1"/>
      <c r="AT150" s="1"/>
      <c r="AU150" s="1"/>
      <c r="AV150" s="1"/>
      <c r="AW150" s="1"/>
      <c r="AX150" s="1"/>
      <c r="AY150" s="1"/>
      <c r="AZ150" s="1"/>
    </row>
    <row r="151" ht="15.75" customHeight="1">
      <c r="A151" s="1"/>
      <c r="B151" s="11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4"/>
      <c r="Q151" s="1"/>
      <c r="R151" s="14"/>
      <c r="S151" s="1"/>
      <c r="T151" s="14"/>
      <c r="U151" s="1"/>
      <c r="V151" s="14"/>
      <c r="W151" s="1"/>
      <c r="X151" s="14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5"/>
      <c r="AQ151" s="15"/>
      <c r="AR151" s="15"/>
      <c r="AS151" s="1"/>
      <c r="AT151" s="1"/>
      <c r="AU151" s="1"/>
      <c r="AV151" s="1"/>
      <c r="AW151" s="1"/>
      <c r="AX151" s="1"/>
      <c r="AY151" s="1"/>
      <c r="AZ151" s="1"/>
    </row>
    <row r="152" ht="15.75" customHeight="1">
      <c r="A152" s="1"/>
      <c r="B152" s="11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4"/>
      <c r="Q152" s="1"/>
      <c r="R152" s="14"/>
      <c r="S152" s="1"/>
      <c r="T152" s="14"/>
      <c r="U152" s="1"/>
      <c r="V152" s="14"/>
      <c r="W152" s="1"/>
      <c r="X152" s="14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5"/>
      <c r="AQ152" s="15"/>
      <c r="AR152" s="15"/>
      <c r="AS152" s="1"/>
      <c r="AT152" s="1"/>
      <c r="AU152" s="1"/>
      <c r="AV152" s="1"/>
      <c r="AW152" s="1"/>
      <c r="AX152" s="1"/>
      <c r="AY152" s="1"/>
      <c r="AZ152" s="1"/>
    </row>
    <row r="153" ht="15.75" customHeight="1">
      <c r="A153" s="1"/>
      <c r="B153" s="11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4"/>
      <c r="Q153" s="1"/>
      <c r="R153" s="14"/>
      <c r="S153" s="1"/>
      <c r="T153" s="14"/>
      <c r="U153" s="1"/>
      <c r="V153" s="14"/>
      <c r="W153" s="1"/>
      <c r="X153" s="14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5"/>
      <c r="AQ153" s="15"/>
      <c r="AR153" s="15"/>
      <c r="AS153" s="1"/>
      <c r="AT153" s="1"/>
      <c r="AU153" s="1"/>
      <c r="AV153" s="1"/>
      <c r="AW153" s="1"/>
      <c r="AX153" s="1"/>
      <c r="AY153" s="1"/>
      <c r="AZ153" s="1"/>
    </row>
    <row r="154" ht="15.75" customHeight="1">
      <c r="A154" s="1"/>
      <c r="B154" s="11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4"/>
      <c r="Q154" s="1"/>
      <c r="R154" s="14"/>
      <c r="S154" s="1"/>
      <c r="T154" s="14"/>
      <c r="U154" s="1"/>
      <c r="V154" s="14"/>
      <c r="W154" s="1"/>
      <c r="X154" s="14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5"/>
      <c r="AQ154" s="15"/>
      <c r="AR154" s="15"/>
      <c r="AS154" s="1"/>
      <c r="AT154" s="1"/>
      <c r="AU154" s="1"/>
      <c r="AV154" s="1"/>
      <c r="AW154" s="1"/>
      <c r="AX154" s="1"/>
      <c r="AY154" s="1"/>
      <c r="AZ154" s="1"/>
    </row>
    <row r="155" ht="15.75" customHeight="1">
      <c r="A155" s="1"/>
      <c r="B155" s="11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4"/>
      <c r="Q155" s="1"/>
      <c r="R155" s="14"/>
      <c r="S155" s="1"/>
      <c r="T155" s="14"/>
      <c r="U155" s="1"/>
      <c r="V155" s="14"/>
      <c r="W155" s="1"/>
      <c r="X155" s="14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5"/>
      <c r="AQ155" s="15"/>
      <c r="AR155" s="15"/>
      <c r="AS155" s="1"/>
      <c r="AT155" s="1"/>
      <c r="AU155" s="1"/>
      <c r="AV155" s="1"/>
      <c r="AW155" s="1"/>
      <c r="AX155" s="1"/>
      <c r="AY155" s="1"/>
      <c r="AZ155" s="1"/>
    </row>
    <row r="156" ht="15.75" customHeight="1">
      <c r="A156" s="1"/>
      <c r="B156" s="11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4"/>
      <c r="Q156" s="1"/>
      <c r="R156" s="14"/>
      <c r="S156" s="1"/>
      <c r="T156" s="14"/>
      <c r="U156" s="1"/>
      <c r="V156" s="14"/>
      <c r="W156" s="1"/>
      <c r="X156" s="14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5"/>
      <c r="AQ156" s="15"/>
      <c r="AR156" s="15"/>
      <c r="AS156" s="1"/>
      <c r="AT156" s="1"/>
      <c r="AU156" s="1"/>
      <c r="AV156" s="1"/>
      <c r="AW156" s="1"/>
      <c r="AX156" s="1"/>
      <c r="AY156" s="1"/>
      <c r="AZ156" s="1"/>
    </row>
    <row r="157" ht="15.75" customHeight="1">
      <c r="A157" s="1"/>
      <c r="B157" s="11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4"/>
      <c r="Q157" s="1"/>
      <c r="R157" s="14"/>
      <c r="S157" s="1"/>
      <c r="T157" s="14"/>
      <c r="U157" s="1"/>
      <c r="V157" s="14"/>
      <c r="W157" s="1"/>
      <c r="X157" s="14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5"/>
      <c r="AQ157" s="15"/>
      <c r="AR157" s="15"/>
      <c r="AS157" s="1"/>
      <c r="AT157" s="1"/>
      <c r="AU157" s="1"/>
      <c r="AV157" s="1"/>
      <c r="AW157" s="1"/>
      <c r="AX157" s="1"/>
      <c r="AY157" s="1"/>
      <c r="AZ157" s="1"/>
    </row>
    <row r="158" ht="15.75" customHeight="1">
      <c r="A158" s="1"/>
      <c r="B158" s="11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4"/>
      <c r="Q158" s="1"/>
      <c r="R158" s="14"/>
      <c r="S158" s="1"/>
      <c r="T158" s="14"/>
      <c r="U158" s="1"/>
      <c r="V158" s="14"/>
      <c r="W158" s="1"/>
      <c r="X158" s="14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5"/>
      <c r="AQ158" s="15"/>
      <c r="AR158" s="15"/>
      <c r="AS158" s="1"/>
      <c r="AT158" s="1"/>
      <c r="AU158" s="1"/>
      <c r="AV158" s="1"/>
      <c r="AW158" s="1"/>
      <c r="AX158" s="1"/>
      <c r="AY158" s="1"/>
      <c r="AZ158" s="1"/>
    </row>
    <row r="159" ht="15.75" customHeight="1">
      <c r="A159" s="1"/>
      <c r="B159" s="11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4"/>
      <c r="Q159" s="1"/>
      <c r="R159" s="14"/>
      <c r="S159" s="1"/>
      <c r="T159" s="14"/>
      <c r="U159" s="1"/>
      <c r="V159" s="14"/>
      <c r="W159" s="1"/>
      <c r="X159" s="14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5"/>
      <c r="AQ159" s="15"/>
      <c r="AR159" s="15"/>
      <c r="AS159" s="1"/>
      <c r="AT159" s="1"/>
      <c r="AU159" s="1"/>
      <c r="AV159" s="1"/>
      <c r="AW159" s="1"/>
      <c r="AX159" s="1"/>
      <c r="AY159" s="1"/>
      <c r="AZ159" s="1"/>
    </row>
    <row r="160" ht="15.75" customHeight="1">
      <c r="A160" s="1"/>
      <c r="B160" s="11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4"/>
      <c r="Q160" s="1"/>
      <c r="R160" s="14"/>
      <c r="S160" s="1"/>
      <c r="T160" s="14"/>
      <c r="U160" s="1"/>
      <c r="V160" s="14"/>
      <c r="W160" s="1"/>
      <c r="X160" s="14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5"/>
      <c r="AQ160" s="15"/>
      <c r="AR160" s="15"/>
      <c r="AS160" s="1"/>
      <c r="AT160" s="1"/>
      <c r="AU160" s="1"/>
      <c r="AV160" s="1"/>
      <c r="AW160" s="1"/>
      <c r="AX160" s="1"/>
      <c r="AY160" s="1"/>
      <c r="AZ160" s="1"/>
    </row>
    <row r="161" ht="15.75" customHeight="1">
      <c r="A161" s="1"/>
      <c r="B161" s="11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4"/>
      <c r="Q161" s="1"/>
      <c r="R161" s="14"/>
      <c r="S161" s="1"/>
      <c r="T161" s="14"/>
      <c r="U161" s="1"/>
      <c r="V161" s="14"/>
      <c r="W161" s="1"/>
      <c r="X161" s="14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5"/>
      <c r="AQ161" s="15"/>
      <c r="AR161" s="15"/>
      <c r="AS161" s="1"/>
      <c r="AT161" s="1"/>
      <c r="AU161" s="1"/>
      <c r="AV161" s="1"/>
      <c r="AW161" s="1"/>
      <c r="AX161" s="1"/>
      <c r="AY161" s="1"/>
      <c r="AZ161" s="1"/>
    </row>
    <row r="162" ht="15.75" customHeight="1">
      <c r="A162" s="1"/>
      <c r="B162" s="11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4"/>
      <c r="Q162" s="1"/>
      <c r="R162" s="14"/>
      <c r="S162" s="1"/>
      <c r="T162" s="14"/>
      <c r="U162" s="1"/>
      <c r="V162" s="14"/>
      <c r="W162" s="1"/>
      <c r="X162" s="14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5"/>
      <c r="AQ162" s="15"/>
      <c r="AR162" s="15"/>
      <c r="AS162" s="1"/>
      <c r="AT162" s="1"/>
      <c r="AU162" s="1"/>
      <c r="AV162" s="1"/>
      <c r="AW162" s="1"/>
      <c r="AX162" s="1"/>
      <c r="AY162" s="1"/>
      <c r="AZ162" s="1"/>
    </row>
    <row r="163" ht="15.75" customHeight="1">
      <c r="A163" s="1"/>
      <c r="B163" s="11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4"/>
      <c r="Q163" s="1"/>
      <c r="R163" s="14"/>
      <c r="S163" s="1"/>
      <c r="T163" s="14"/>
      <c r="U163" s="1"/>
      <c r="V163" s="14"/>
      <c r="W163" s="1"/>
      <c r="X163" s="14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5"/>
      <c r="AQ163" s="15"/>
      <c r="AR163" s="15"/>
      <c r="AS163" s="1"/>
      <c r="AT163" s="1"/>
      <c r="AU163" s="1"/>
      <c r="AV163" s="1"/>
      <c r="AW163" s="1"/>
      <c r="AX163" s="1"/>
      <c r="AY163" s="1"/>
      <c r="AZ163" s="1"/>
    </row>
    <row r="164" ht="15.75" customHeight="1">
      <c r="A164" s="1"/>
      <c r="B164" s="11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4"/>
      <c r="Q164" s="1"/>
      <c r="R164" s="14"/>
      <c r="S164" s="1"/>
      <c r="T164" s="14"/>
      <c r="U164" s="1"/>
      <c r="V164" s="14"/>
      <c r="W164" s="1"/>
      <c r="X164" s="14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5"/>
      <c r="AQ164" s="15"/>
      <c r="AR164" s="15"/>
      <c r="AS164" s="1"/>
      <c r="AT164" s="1"/>
      <c r="AU164" s="1"/>
      <c r="AV164" s="1"/>
      <c r="AW164" s="1"/>
      <c r="AX164" s="1"/>
      <c r="AY164" s="1"/>
      <c r="AZ164" s="1"/>
    </row>
    <row r="165" ht="15.75" customHeight="1">
      <c r="A165" s="1"/>
      <c r="B165" s="11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4"/>
      <c r="Q165" s="1"/>
      <c r="R165" s="14"/>
      <c r="S165" s="1"/>
      <c r="T165" s="14"/>
      <c r="U165" s="1"/>
      <c r="V165" s="14"/>
      <c r="W165" s="1"/>
      <c r="X165" s="14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5"/>
      <c r="AQ165" s="15"/>
      <c r="AR165" s="15"/>
      <c r="AS165" s="1"/>
      <c r="AT165" s="1"/>
      <c r="AU165" s="1"/>
      <c r="AV165" s="1"/>
      <c r="AW165" s="1"/>
      <c r="AX165" s="1"/>
      <c r="AY165" s="1"/>
      <c r="AZ165" s="1"/>
    </row>
    <row r="166" ht="15.75" customHeight="1">
      <c r="A166" s="1"/>
      <c r="B166" s="1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4"/>
      <c r="Q166" s="1"/>
      <c r="R166" s="14"/>
      <c r="S166" s="1"/>
      <c r="T166" s="14"/>
      <c r="U166" s="1"/>
      <c r="V166" s="14"/>
      <c r="W166" s="1"/>
      <c r="X166" s="14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5"/>
      <c r="AQ166" s="15"/>
      <c r="AR166" s="15"/>
      <c r="AS166" s="1"/>
      <c r="AT166" s="1"/>
      <c r="AU166" s="1"/>
      <c r="AV166" s="1"/>
      <c r="AW166" s="1"/>
      <c r="AX166" s="1"/>
      <c r="AY166" s="1"/>
      <c r="AZ166" s="1"/>
    </row>
    <row r="167" ht="15.75" customHeight="1">
      <c r="A167" s="1"/>
      <c r="B167" s="11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4"/>
      <c r="Q167" s="1"/>
      <c r="R167" s="14"/>
      <c r="S167" s="1"/>
      <c r="T167" s="14"/>
      <c r="U167" s="1"/>
      <c r="V167" s="14"/>
      <c r="W167" s="1"/>
      <c r="X167" s="14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5"/>
      <c r="AQ167" s="15"/>
      <c r="AR167" s="15"/>
      <c r="AS167" s="1"/>
      <c r="AT167" s="1"/>
      <c r="AU167" s="1"/>
      <c r="AV167" s="1"/>
      <c r="AW167" s="1"/>
      <c r="AX167" s="1"/>
      <c r="AY167" s="1"/>
      <c r="AZ167" s="1"/>
    </row>
    <row r="168" ht="15.75" customHeight="1">
      <c r="A168" s="1"/>
      <c r="B168" s="11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4"/>
      <c r="Q168" s="1"/>
      <c r="R168" s="14"/>
      <c r="S168" s="1"/>
      <c r="T168" s="14"/>
      <c r="U168" s="1"/>
      <c r="V168" s="14"/>
      <c r="W168" s="1"/>
      <c r="X168" s="14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5"/>
      <c r="AQ168" s="15"/>
      <c r="AR168" s="15"/>
      <c r="AS168" s="1"/>
      <c r="AT168" s="1"/>
      <c r="AU168" s="1"/>
      <c r="AV168" s="1"/>
      <c r="AW168" s="1"/>
      <c r="AX168" s="1"/>
      <c r="AY168" s="1"/>
      <c r="AZ168" s="1"/>
    </row>
    <row r="169" ht="15.75" customHeight="1">
      <c r="A169" s="1"/>
      <c r="B169" s="11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4"/>
      <c r="Q169" s="1"/>
      <c r="R169" s="14"/>
      <c r="S169" s="1"/>
      <c r="T169" s="14"/>
      <c r="U169" s="1"/>
      <c r="V169" s="14"/>
      <c r="W169" s="1"/>
      <c r="X169" s="14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5"/>
      <c r="AQ169" s="15"/>
      <c r="AR169" s="15"/>
      <c r="AS169" s="1"/>
      <c r="AT169" s="1"/>
      <c r="AU169" s="1"/>
      <c r="AV169" s="1"/>
      <c r="AW169" s="1"/>
      <c r="AX169" s="1"/>
      <c r="AY169" s="1"/>
      <c r="AZ169" s="1"/>
    </row>
    <row r="170" ht="15.75" customHeight="1">
      <c r="A170" s="1"/>
      <c r="B170" s="11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4"/>
      <c r="Q170" s="1"/>
      <c r="R170" s="14"/>
      <c r="S170" s="1"/>
      <c r="T170" s="14"/>
      <c r="U170" s="1"/>
      <c r="V170" s="14"/>
      <c r="W170" s="1"/>
      <c r="X170" s="14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5"/>
      <c r="AQ170" s="15"/>
      <c r="AR170" s="15"/>
      <c r="AS170" s="1"/>
      <c r="AT170" s="1"/>
      <c r="AU170" s="1"/>
      <c r="AV170" s="1"/>
      <c r="AW170" s="1"/>
      <c r="AX170" s="1"/>
      <c r="AY170" s="1"/>
      <c r="AZ170" s="1"/>
    </row>
    <row r="171" ht="15.75" customHeight="1">
      <c r="A171" s="1"/>
      <c r="B171" s="11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4"/>
      <c r="Q171" s="1"/>
      <c r="R171" s="14"/>
      <c r="S171" s="1"/>
      <c r="T171" s="14"/>
      <c r="U171" s="1"/>
      <c r="V171" s="14"/>
      <c r="W171" s="1"/>
      <c r="X171" s="14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5"/>
      <c r="AQ171" s="15"/>
      <c r="AR171" s="15"/>
      <c r="AS171" s="1"/>
      <c r="AT171" s="1"/>
      <c r="AU171" s="1"/>
      <c r="AV171" s="1"/>
      <c r="AW171" s="1"/>
      <c r="AX171" s="1"/>
      <c r="AY171" s="1"/>
      <c r="AZ171" s="1"/>
    </row>
    <row r="172" ht="15.75" customHeight="1">
      <c r="A172" s="1"/>
      <c r="B172" s="11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4"/>
      <c r="Q172" s="1"/>
      <c r="R172" s="14"/>
      <c r="S172" s="1"/>
      <c r="T172" s="14"/>
      <c r="U172" s="1"/>
      <c r="V172" s="14"/>
      <c r="W172" s="1"/>
      <c r="X172" s="14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5"/>
      <c r="AQ172" s="15"/>
      <c r="AR172" s="15"/>
      <c r="AS172" s="1"/>
      <c r="AT172" s="1"/>
      <c r="AU172" s="1"/>
      <c r="AV172" s="1"/>
      <c r="AW172" s="1"/>
      <c r="AX172" s="1"/>
      <c r="AY172" s="1"/>
      <c r="AZ172" s="1"/>
    </row>
    <row r="173" ht="15.75" customHeight="1">
      <c r="A173" s="1"/>
      <c r="B173" s="11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4"/>
      <c r="Q173" s="1"/>
      <c r="R173" s="14"/>
      <c r="S173" s="1"/>
      <c r="T173" s="14"/>
      <c r="U173" s="1"/>
      <c r="V173" s="14"/>
      <c r="W173" s="1"/>
      <c r="X173" s="14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5"/>
      <c r="AQ173" s="15"/>
      <c r="AR173" s="15"/>
      <c r="AS173" s="1"/>
      <c r="AT173" s="1"/>
      <c r="AU173" s="1"/>
      <c r="AV173" s="1"/>
      <c r="AW173" s="1"/>
      <c r="AX173" s="1"/>
      <c r="AY173" s="1"/>
      <c r="AZ173" s="1"/>
    </row>
    <row r="174" ht="15.75" customHeight="1">
      <c r="A174" s="1"/>
      <c r="B174" s="11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4"/>
      <c r="Q174" s="1"/>
      <c r="R174" s="14"/>
      <c r="S174" s="1"/>
      <c r="T174" s="14"/>
      <c r="U174" s="1"/>
      <c r="V174" s="14"/>
      <c r="W174" s="1"/>
      <c r="X174" s="14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5"/>
      <c r="AQ174" s="15"/>
      <c r="AR174" s="15"/>
      <c r="AS174" s="1"/>
      <c r="AT174" s="1"/>
      <c r="AU174" s="1"/>
      <c r="AV174" s="1"/>
      <c r="AW174" s="1"/>
      <c r="AX174" s="1"/>
      <c r="AY174" s="1"/>
      <c r="AZ174" s="1"/>
    </row>
    <row r="175" ht="15.75" customHeight="1">
      <c r="A175" s="1"/>
      <c r="B175" s="11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4"/>
      <c r="Q175" s="1"/>
      <c r="R175" s="14"/>
      <c r="S175" s="1"/>
      <c r="T175" s="14"/>
      <c r="U175" s="1"/>
      <c r="V175" s="14"/>
      <c r="W175" s="1"/>
      <c r="X175" s="14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5"/>
      <c r="AQ175" s="15"/>
      <c r="AR175" s="15"/>
      <c r="AS175" s="1"/>
      <c r="AT175" s="1"/>
      <c r="AU175" s="1"/>
      <c r="AV175" s="1"/>
      <c r="AW175" s="1"/>
      <c r="AX175" s="1"/>
      <c r="AY175" s="1"/>
      <c r="AZ175" s="1"/>
    </row>
    <row r="176" ht="15.75" customHeight="1">
      <c r="A176" s="1"/>
      <c r="B176" s="11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4"/>
      <c r="Q176" s="1"/>
      <c r="R176" s="14"/>
      <c r="S176" s="1"/>
      <c r="T176" s="14"/>
      <c r="U176" s="1"/>
      <c r="V176" s="14"/>
      <c r="W176" s="1"/>
      <c r="X176" s="14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5"/>
      <c r="AQ176" s="15"/>
      <c r="AR176" s="15"/>
      <c r="AS176" s="1"/>
      <c r="AT176" s="1"/>
      <c r="AU176" s="1"/>
      <c r="AV176" s="1"/>
      <c r="AW176" s="1"/>
      <c r="AX176" s="1"/>
      <c r="AY176" s="1"/>
      <c r="AZ176" s="1"/>
    </row>
    <row r="177" ht="15.75" customHeight="1">
      <c r="A177" s="1"/>
      <c r="B177" s="11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4"/>
      <c r="Q177" s="1"/>
      <c r="R177" s="14"/>
      <c r="S177" s="1"/>
      <c r="T177" s="14"/>
      <c r="U177" s="1"/>
      <c r="V177" s="14"/>
      <c r="W177" s="1"/>
      <c r="X177" s="14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5"/>
      <c r="AQ177" s="15"/>
      <c r="AR177" s="15"/>
      <c r="AS177" s="1"/>
      <c r="AT177" s="1"/>
      <c r="AU177" s="1"/>
      <c r="AV177" s="1"/>
      <c r="AW177" s="1"/>
      <c r="AX177" s="1"/>
      <c r="AY177" s="1"/>
      <c r="AZ177" s="1"/>
    </row>
    <row r="178" ht="15.75" customHeight="1">
      <c r="A178" s="1"/>
      <c r="B178" s="11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4"/>
      <c r="Q178" s="1"/>
      <c r="R178" s="14"/>
      <c r="S178" s="1"/>
      <c r="T178" s="14"/>
      <c r="U178" s="1"/>
      <c r="V178" s="14"/>
      <c r="W178" s="1"/>
      <c r="X178" s="14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5"/>
      <c r="AQ178" s="15"/>
      <c r="AR178" s="15"/>
      <c r="AS178" s="1"/>
      <c r="AT178" s="1"/>
      <c r="AU178" s="1"/>
      <c r="AV178" s="1"/>
      <c r="AW178" s="1"/>
      <c r="AX178" s="1"/>
      <c r="AY178" s="1"/>
      <c r="AZ178" s="1"/>
    </row>
    <row r="179" ht="15.75" customHeight="1">
      <c r="A179" s="1"/>
      <c r="B179" s="11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4"/>
      <c r="Q179" s="1"/>
      <c r="R179" s="14"/>
      <c r="S179" s="1"/>
      <c r="T179" s="14"/>
      <c r="U179" s="1"/>
      <c r="V179" s="14"/>
      <c r="W179" s="1"/>
      <c r="X179" s="14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5"/>
      <c r="AQ179" s="15"/>
      <c r="AR179" s="15"/>
      <c r="AS179" s="1"/>
      <c r="AT179" s="1"/>
      <c r="AU179" s="1"/>
      <c r="AV179" s="1"/>
      <c r="AW179" s="1"/>
      <c r="AX179" s="1"/>
      <c r="AY179" s="1"/>
      <c r="AZ179" s="1"/>
    </row>
    <row r="180" ht="15.75" customHeight="1">
      <c r="A180" s="1"/>
      <c r="B180" s="11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4"/>
      <c r="Q180" s="1"/>
      <c r="R180" s="14"/>
      <c r="S180" s="1"/>
      <c r="T180" s="14"/>
      <c r="U180" s="1"/>
      <c r="V180" s="14"/>
      <c r="W180" s="1"/>
      <c r="X180" s="14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5"/>
      <c r="AQ180" s="15"/>
      <c r="AR180" s="15"/>
      <c r="AS180" s="1"/>
      <c r="AT180" s="1"/>
      <c r="AU180" s="1"/>
      <c r="AV180" s="1"/>
      <c r="AW180" s="1"/>
      <c r="AX180" s="1"/>
      <c r="AY180" s="1"/>
      <c r="AZ180" s="1"/>
    </row>
    <row r="181" ht="15.75" customHeight="1">
      <c r="A181" s="1"/>
      <c r="B181" s="11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4"/>
      <c r="Q181" s="1"/>
      <c r="R181" s="14"/>
      <c r="S181" s="1"/>
      <c r="T181" s="14"/>
      <c r="U181" s="1"/>
      <c r="V181" s="14"/>
      <c r="W181" s="1"/>
      <c r="X181" s="14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5"/>
      <c r="AQ181" s="15"/>
      <c r="AR181" s="15"/>
      <c r="AS181" s="1"/>
      <c r="AT181" s="1"/>
      <c r="AU181" s="1"/>
      <c r="AV181" s="1"/>
      <c r="AW181" s="1"/>
      <c r="AX181" s="1"/>
      <c r="AY181" s="1"/>
      <c r="AZ181" s="1"/>
    </row>
    <row r="182" ht="15.75" customHeight="1">
      <c r="A182" s="1"/>
      <c r="B182" s="11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4"/>
      <c r="Q182" s="1"/>
      <c r="R182" s="14"/>
      <c r="S182" s="1"/>
      <c r="T182" s="14"/>
      <c r="U182" s="1"/>
      <c r="V182" s="14"/>
      <c r="W182" s="1"/>
      <c r="X182" s="14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5"/>
      <c r="AQ182" s="15"/>
      <c r="AR182" s="15"/>
      <c r="AS182" s="1"/>
      <c r="AT182" s="1"/>
      <c r="AU182" s="1"/>
      <c r="AV182" s="1"/>
      <c r="AW182" s="1"/>
      <c r="AX182" s="1"/>
      <c r="AY182" s="1"/>
      <c r="AZ182" s="1"/>
    </row>
    <row r="183" ht="15.75" customHeight="1">
      <c r="A183" s="1"/>
      <c r="B183" s="11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4"/>
      <c r="Q183" s="1"/>
      <c r="R183" s="14"/>
      <c r="S183" s="1"/>
      <c r="T183" s="14"/>
      <c r="U183" s="1"/>
      <c r="V183" s="14"/>
      <c r="W183" s="1"/>
      <c r="X183" s="14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5"/>
      <c r="AQ183" s="15"/>
      <c r="AR183" s="15"/>
      <c r="AS183" s="1"/>
      <c r="AT183" s="1"/>
      <c r="AU183" s="1"/>
      <c r="AV183" s="1"/>
      <c r="AW183" s="1"/>
      <c r="AX183" s="1"/>
      <c r="AY183" s="1"/>
      <c r="AZ183" s="1"/>
    </row>
    <row r="184" ht="15.75" customHeight="1">
      <c r="A184" s="1"/>
      <c r="B184" s="11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4"/>
      <c r="Q184" s="1"/>
      <c r="R184" s="14"/>
      <c r="S184" s="1"/>
      <c r="T184" s="14"/>
      <c r="U184" s="1"/>
      <c r="V184" s="14"/>
      <c r="W184" s="1"/>
      <c r="X184" s="14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5"/>
      <c r="AQ184" s="15"/>
      <c r="AR184" s="15"/>
      <c r="AS184" s="1"/>
      <c r="AT184" s="1"/>
      <c r="AU184" s="1"/>
      <c r="AV184" s="1"/>
      <c r="AW184" s="1"/>
      <c r="AX184" s="1"/>
      <c r="AY184" s="1"/>
      <c r="AZ184" s="1"/>
    </row>
    <row r="185" ht="15.75" customHeight="1">
      <c r="A185" s="1"/>
      <c r="B185" s="11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4"/>
      <c r="Q185" s="1"/>
      <c r="R185" s="14"/>
      <c r="S185" s="1"/>
      <c r="T185" s="14"/>
      <c r="U185" s="1"/>
      <c r="V185" s="14"/>
      <c r="W185" s="1"/>
      <c r="X185" s="14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5"/>
      <c r="AQ185" s="15"/>
      <c r="AR185" s="15"/>
      <c r="AS185" s="1"/>
      <c r="AT185" s="1"/>
      <c r="AU185" s="1"/>
      <c r="AV185" s="1"/>
      <c r="AW185" s="1"/>
      <c r="AX185" s="1"/>
      <c r="AY185" s="1"/>
      <c r="AZ185" s="1"/>
    </row>
    <row r="186" ht="15.75" customHeight="1">
      <c r="A186" s="1"/>
      <c r="B186" s="11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4"/>
      <c r="Q186" s="1"/>
      <c r="R186" s="14"/>
      <c r="S186" s="1"/>
      <c r="T186" s="14"/>
      <c r="U186" s="1"/>
      <c r="V186" s="14"/>
      <c r="W186" s="1"/>
      <c r="X186" s="14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5"/>
      <c r="AQ186" s="15"/>
      <c r="AR186" s="15"/>
      <c r="AS186" s="1"/>
      <c r="AT186" s="1"/>
      <c r="AU186" s="1"/>
      <c r="AV186" s="1"/>
      <c r="AW186" s="1"/>
      <c r="AX186" s="1"/>
      <c r="AY186" s="1"/>
      <c r="AZ186" s="1"/>
    </row>
    <row r="187" ht="15.75" customHeight="1">
      <c r="A187" s="1"/>
      <c r="B187" s="11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4"/>
      <c r="Q187" s="1"/>
      <c r="R187" s="14"/>
      <c r="S187" s="1"/>
      <c r="T187" s="14"/>
      <c r="U187" s="1"/>
      <c r="V187" s="14"/>
      <c r="W187" s="1"/>
      <c r="X187" s="14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5"/>
      <c r="AQ187" s="15"/>
      <c r="AR187" s="15"/>
      <c r="AS187" s="1"/>
      <c r="AT187" s="1"/>
      <c r="AU187" s="1"/>
      <c r="AV187" s="1"/>
      <c r="AW187" s="1"/>
      <c r="AX187" s="1"/>
      <c r="AY187" s="1"/>
      <c r="AZ187" s="1"/>
    </row>
    <row r="188" ht="15.75" customHeight="1">
      <c r="A188" s="1"/>
      <c r="B188" s="11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4"/>
      <c r="Q188" s="1"/>
      <c r="R188" s="14"/>
      <c r="S188" s="1"/>
      <c r="T188" s="14"/>
      <c r="U188" s="1"/>
      <c r="V188" s="14"/>
      <c r="W188" s="1"/>
      <c r="X188" s="14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5"/>
      <c r="AQ188" s="15"/>
      <c r="AR188" s="15"/>
      <c r="AS188" s="1"/>
      <c r="AT188" s="1"/>
      <c r="AU188" s="1"/>
      <c r="AV188" s="1"/>
      <c r="AW188" s="1"/>
      <c r="AX188" s="1"/>
      <c r="AY188" s="1"/>
      <c r="AZ188" s="1"/>
    </row>
    <row r="189" ht="15.75" customHeight="1">
      <c r="A189" s="1"/>
      <c r="B189" s="11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4"/>
      <c r="Q189" s="1"/>
      <c r="R189" s="14"/>
      <c r="S189" s="1"/>
      <c r="T189" s="14"/>
      <c r="U189" s="1"/>
      <c r="V189" s="14"/>
      <c r="W189" s="1"/>
      <c r="X189" s="14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5"/>
      <c r="AQ189" s="15"/>
      <c r="AR189" s="15"/>
      <c r="AS189" s="1"/>
      <c r="AT189" s="1"/>
      <c r="AU189" s="1"/>
      <c r="AV189" s="1"/>
      <c r="AW189" s="1"/>
      <c r="AX189" s="1"/>
      <c r="AY189" s="1"/>
      <c r="AZ189" s="1"/>
    </row>
    <row r="190" ht="15.75" customHeight="1">
      <c r="A190" s="1"/>
      <c r="B190" s="11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4"/>
      <c r="Q190" s="1"/>
      <c r="R190" s="14"/>
      <c r="S190" s="1"/>
      <c r="T190" s="14"/>
      <c r="U190" s="1"/>
      <c r="V190" s="14"/>
      <c r="W190" s="1"/>
      <c r="X190" s="14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5"/>
      <c r="AQ190" s="15"/>
      <c r="AR190" s="15"/>
      <c r="AS190" s="1"/>
      <c r="AT190" s="1"/>
      <c r="AU190" s="1"/>
      <c r="AV190" s="1"/>
      <c r="AW190" s="1"/>
      <c r="AX190" s="1"/>
      <c r="AY190" s="1"/>
      <c r="AZ190" s="1"/>
    </row>
    <row r="191" ht="15.75" customHeight="1">
      <c r="A191" s="1"/>
      <c r="B191" s="11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4"/>
      <c r="Q191" s="1"/>
      <c r="R191" s="14"/>
      <c r="S191" s="1"/>
      <c r="T191" s="14"/>
      <c r="U191" s="1"/>
      <c r="V191" s="14"/>
      <c r="W191" s="1"/>
      <c r="X191" s="14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5"/>
      <c r="AQ191" s="15"/>
      <c r="AR191" s="15"/>
      <c r="AS191" s="1"/>
      <c r="AT191" s="1"/>
      <c r="AU191" s="1"/>
      <c r="AV191" s="1"/>
      <c r="AW191" s="1"/>
      <c r="AX191" s="1"/>
      <c r="AY191" s="1"/>
      <c r="AZ191" s="1"/>
    </row>
    <row r="192" ht="15.75" customHeight="1">
      <c r="A192" s="1"/>
      <c r="B192" s="11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4"/>
      <c r="Q192" s="1"/>
      <c r="R192" s="14"/>
      <c r="S192" s="1"/>
      <c r="T192" s="14"/>
      <c r="U192" s="1"/>
      <c r="V192" s="14"/>
      <c r="W192" s="1"/>
      <c r="X192" s="14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5"/>
      <c r="AQ192" s="15"/>
      <c r="AR192" s="15"/>
      <c r="AS192" s="1"/>
      <c r="AT192" s="1"/>
      <c r="AU192" s="1"/>
      <c r="AV192" s="1"/>
      <c r="AW192" s="1"/>
      <c r="AX192" s="1"/>
      <c r="AY192" s="1"/>
      <c r="AZ192" s="1"/>
    </row>
    <row r="193" ht="15.75" customHeight="1">
      <c r="A193" s="1"/>
      <c r="B193" s="11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4"/>
      <c r="Q193" s="1"/>
      <c r="R193" s="14"/>
      <c r="S193" s="1"/>
      <c r="T193" s="14"/>
      <c r="U193" s="1"/>
      <c r="V193" s="14"/>
      <c r="W193" s="1"/>
      <c r="X193" s="14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5"/>
      <c r="AQ193" s="15"/>
      <c r="AR193" s="15"/>
      <c r="AS193" s="1"/>
      <c r="AT193" s="1"/>
      <c r="AU193" s="1"/>
      <c r="AV193" s="1"/>
      <c r="AW193" s="1"/>
      <c r="AX193" s="1"/>
      <c r="AY193" s="1"/>
      <c r="AZ193" s="1"/>
    </row>
    <row r="194" ht="15.75" customHeight="1">
      <c r="A194" s="1"/>
      <c r="B194" s="11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4"/>
      <c r="Q194" s="1"/>
      <c r="R194" s="14"/>
      <c r="S194" s="1"/>
      <c r="T194" s="14"/>
      <c r="U194" s="1"/>
      <c r="V194" s="14"/>
      <c r="W194" s="1"/>
      <c r="X194" s="14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5"/>
      <c r="AQ194" s="15"/>
      <c r="AR194" s="15"/>
      <c r="AS194" s="1"/>
      <c r="AT194" s="1"/>
      <c r="AU194" s="1"/>
      <c r="AV194" s="1"/>
      <c r="AW194" s="1"/>
      <c r="AX194" s="1"/>
      <c r="AY194" s="1"/>
      <c r="AZ194" s="1"/>
    </row>
    <row r="195" ht="15.75" customHeight="1">
      <c r="A195" s="1"/>
      <c r="B195" s="11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4"/>
      <c r="Q195" s="1"/>
      <c r="R195" s="14"/>
      <c r="S195" s="1"/>
      <c r="T195" s="14"/>
      <c r="U195" s="1"/>
      <c r="V195" s="14"/>
      <c r="W195" s="1"/>
      <c r="X195" s="14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5"/>
      <c r="AQ195" s="15"/>
      <c r="AR195" s="15"/>
      <c r="AS195" s="1"/>
      <c r="AT195" s="1"/>
      <c r="AU195" s="1"/>
      <c r="AV195" s="1"/>
      <c r="AW195" s="1"/>
      <c r="AX195" s="1"/>
      <c r="AY195" s="1"/>
      <c r="AZ195" s="1"/>
    </row>
    <row r="196" ht="15.75" customHeight="1">
      <c r="A196" s="1"/>
      <c r="B196" s="11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4"/>
      <c r="Q196" s="1"/>
      <c r="R196" s="14"/>
      <c r="S196" s="1"/>
      <c r="T196" s="14"/>
      <c r="U196" s="1"/>
      <c r="V196" s="14"/>
      <c r="W196" s="1"/>
      <c r="X196" s="14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5"/>
      <c r="AQ196" s="15"/>
      <c r="AR196" s="15"/>
      <c r="AS196" s="1"/>
      <c r="AT196" s="1"/>
      <c r="AU196" s="1"/>
      <c r="AV196" s="1"/>
      <c r="AW196" s="1"/>
      <c r="AX196" s="1"/>
      <c r="AY196" s="1"/>
      <c r="AZ196" s="1"/>
    </row>
    <row r="197" ht="15.75" customHeight="1">
      <c r="A197" s="1"/>
      <c r="B197" s="11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4"/>
      <c r="Q197" s="1"/>
      <c r="R197" s="14"/>
      <c r="S197" s="1"/>
      <c r="T197" s="14"/>
      <c r="U197" s="1"/>
      <c r="V197" s="14"/>
      <c r="W197" s="1"/>
      <c r="X197" s="14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5"/>
      <c r="AQ197" s="15"/>
      <c r="AR197" s="15"/>
      <c r="AS197" s="1"/>
      <c r="AT197" s="1"/>
      <c r="AU197" s="1"/>
      <c r="AV197" s="1"/>
      <c r="AW197" s="1"/>
      <c r="AX197" s="1"/>
      <c r="AY197" s="1"/>
      <c r="AZ197" s="1"/>
    </row>
    <row r="198" ht="15.75" customHeight="1">
      <c r="A198" s="1"/>
      <c r="B198" s="11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4"/>
      <c r="Q198" s="1"/>
      <c r="R198" s="14"/>
      <c r="S198" s="1"/>
      <c r="T198" s="14"/>
      <c r="U198" s="1"/>
      <c r="V198" s="14"/>
      <c r="W198" s="1"/>
      <c r="X198" s="14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5"/>
      <c r="AQ198" s="15"/>
      <c r="AR198" s="15"/>
      <c r="AS198" s="1"/>
      <c r="AT198" s="1"/>
      <c r="AU198" s="1"/>
      <c r="AV198" s="1"/>
      <c r="AW198" s="1"/>
      <c r="AX198" s="1"/>
      <c r="AY198" s="1"/>
      <c r="AZ198" s="1"/>
    </row>
    <row r="199" ht="15.75" customHeight="1">
      <c r="A199" s="1"/>
      <c r="B199" s="11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4"/>
      <c r="Q199" s="1"/>
      <c r="R199" s="14"/>
      <c r="S199" s="1"/>
      <c r="T199" s="14"/>
      <c r="U199" s="1"/>
      <c r="V199" s="14"/>
      <c r="W199" s="1"/>
      <c r="X199" s="14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5"/>
      <c r="AQ199" s="15"/>
      <c r="AR199" s="15"/>
      <c r="AS199" s="1"/>
      <c r="AT199" s="1"/>
      <c r="AU199" s="1"/>
      <c r="AV199" s="1"/>
      <c r="AW199" s="1"/>
      <c r="AX199" s="1"/>
      <c r="AY199" s="1"/>
      <c r="AZ199" s="1"/>
    </row>
    <row r="200" ht="15.75" customHeight="1">
      <c r="A200" s="1"/>
      <c r="B200" s="11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4"/>
      <c r="Q200" s="1"/>
      <c r="R200" s="14"/>
      <c r="S200" s="1"/>
      <c r="T200" s="14"/>
      <c r="U200" s="1"/>
      <c r="V200" s="14"/>
      <c r="W200" s="1"/>
      <c r="X200" s="14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5"/>
      <c r="AQ200" s="15"/>
      <c r="AR200" s="15"/>
      <c r="AS200" s="1"/>
      <c r="AT200" s="1"/>
      <c r="AU200" s="1"/>
      <c r="AV200" s="1"/>
      <c r="AW200" s="1"/>
      <c r="AX200" s="1"/>
      <c r="AY200" s="1"/>
      <c r="AZ200" s="1"/>
    </row>
    <row r="201" ht="15.75" customHeight="1">
      <c r="A201" s="1"/>
      <c r="B201" s="11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4"/>
      <c r="Q201" s="1"/>
      <c r="R201" s="14"/>
      <c r="S201" s="1"/>
      <c r="T201" s="14"/>
      <c r="U201" s="1"/>
      <c r="V201" s="14"/>
      <c r="W201" s="1"/>
      <c r="X201" s="14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5"/>
      <c r="AQ201" s="15"/>
      <c r="AR201" s="15"/>
      <c r="AS201" s="1"/>
      <c r="AT201" s="1"/>
      <c r="AU201" s="1"/>
      <c r="AV201" s="1"/>
      <c r="AW201" s="1"/>
      <c r="AX201" s="1"/>
      <c r="AY201" s="1"/>
      <c r="AZ201" s="1"/>
    </row>
    <row r="202" ht="15.75" customHeight="1">
      <c r="A202" s="1"/>
      <c r="B202" s="11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4"/>
      <c r="Q202" s="1"/>
      <c r="R202" s="14"/>
      <c r="S202" s="1"/>
      <c r="T202" s="14"/>
      <c r="U202" s="1"/>
      <c r="V202" s="14"/>
      <c r="W202" s="1"/>
      <c r="X202" s="14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5"/>
      <c r="AQ202" s="15"/>
      <c r="AR202" s="15"/>
      <c r="AS202" s="1"/>
      <c r="AT202" s="1"/>
      <c r="AU202" s="1"/>
      <c r="AV202" s="1"/>
      <c r="AW202" s="1"/>
      <c r="AX202" s="1"/>
      <c r="AY202" s="1"/>
      <c r="AZ202" s="1"/>
    </row>
    <row r="203" ht="15.75" customHeight="1">
      <c r="A203" s="1"/>
      <c r="B203" s="11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4"/>
      <c r="Q203" s="1"/>
      <c r="R203" s="14"/>
      <c r="S203" s="1"/>
      <c r="T203" s="14"/>
      <c r="U203" s="1"/>
      <c r="V203" s="14"/>
      <c r="W203" s="1"/>
      <c r="X203" s="14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5"/>
      <c r="AQ203" s="15"/>
      <c r="AR203" s="15"/>
      <c r="AS203" s="1"/>
      <c r="AT203" s="1"/>
      <c r="AU203" s="1"/>
      <c r="AV203" s="1"/>
      <c r="AW203" s="1"/>
      <c r="AX203" s="1"/>
      <c r="AY203" s="1"/>
      <c r="AZ203" s="1"/>
    </row>
    <row r="204" ht="15.75" customHeight="1">
      <c r="A204" s="1"/>
      <c r="B204" s="11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4"/>
      <c r="Q204" s="1"/>
      <c r="R204" s="14"/>
      <c r="S204" s="1"/>
      <c r="T204" s="14"/>
      <c r="U204" s="1"/>
      <c r="V204" s="14"/>
      <c r="W204" s="1"/>
      <c r="X204" s="14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5"/>
      <c r="AQ204" s="15"/>
      <c r="AR204" s="15"/>
      <c r="AS204" s="1"/>
      <c r="AT204" s="1"/>
      <c r="AU204" s="1"/>
      <c r="AV204" s="1"/>
      <c r="AW204" s="1"/>
      <c r="AX204" s="1"/>
      <c r="AY204" s="1"/>
      <c r="AZ204" s="1"/>
    </row>
    <row r="205" ht="15.75" customHeight="1">
      <c r="A205" s="1"/>
      <c r="B205" s="11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4"/>
      <c r="Q205" s="1"/>
      <c r="R205" s="14"/>
      <c r="S205" s="1"/>
      <c r="T205" s="14"/>
      <c r="U205" s="1"/>
      <c r="V205" s="14"/>
      <c r="W205" s="1"/>
      <c r="X205" s="14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5"/>
      <c r="AQ205" s="15"/>
      <c r="AR205" s="15"/>
      <c r="AS205" s="1"/>
      <c r="AT205" s="1"/>
      <c r="AU205" s="1"/>
      <c r="AV205" s="1"/>
      <c r="AW205" s="1"/>
      <c r="AX205" s="1"/>
      <c r="AY205" s="1"/>
      <c r="AZ205" s="1"/>
    </row>
    <row r="206" ht="15.75" customHeight="1">
      <c r="A206" s="1"/>
      <c r="B206" s="11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4"/>
      <c r="Q206" s="1"/>
      <c r="R206" s="14"/>
      <c r="S206" s="1"/>
      <c r="T206" s="14"/>
      <c r="U206" s="1"/>
      <c r="V206" s="14"/>
      <c r="W206" s="1"/>
      <c r="X206" s="14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5"/>
      <c r="AQ206" s="15"/>
      <c r="AR206" s="15"/>
      <c r="AS206" s="1"/>
      <c r="AT206" s="1"/>
      <c r="AU206" s="1"/>
      <c r="AV206" s="1"/>
      <c r="AW206" s="1"/>
      <c r="AX206" s="1"/>
      <c r="AY206" s="1"/>
      <c r="AZ206" s="1"/>
    </row>
    <row r="207" ht="15.75" customHeight="1">
      <c r="A207" s="1"/>
      <c r="B207" s="11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4"/>
      <c r="Q207" s="1"/>
      <c r="R207" s="14"/>
      <c r="S207" s="1"/>
      <c r="T207" s="14"/>
      <c r="U207" s="1"/>
      <c r="V207" s="14"/>
      <c r="W207" s="1"/>
      <c r="X207" s="14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5"/>
      <c r="AQ207" s="15"/>
      <c r="AR207" s="15"/>
      <c r="AS207" s="1"/>
      <c r="AT207" s="1"/>
      <c r="AU207" s="1"/>
      <c r="AV207" s="1"/>
      <c r="AW207" s="1"/>
      <c r="AX207" s="1"/>
      <c r="AY207" s="1"/>
      <c r="AZ207" s="1"/>
    </row>
    <row r="208" ht="15.75" customHeight="1">
      <c r="A208" s="1"/>
      <c r="B208" s="11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4"/>
      <c r="Q208" s="1"/>
      <c r="R208" s="14"/>
      <c r="S208" s="1"/>
      <c r="T208" s="14"/>
      <c r="U208" s="1"/>
      <c r="V208" s="14"/>
      <c r="W208" s="1"/>
      <c r="X208" s="14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5"/>
      <c r="AQ208" s="15"/>
      <c r="AR208" s="15"/>
      <c r="AS208" s="1"/>
      <c r="AT208" s="1"/>
      <c r="AU208" s="1"/>
      <c r="AV208" s="1"/>
      <c r="AW208" s="1"/>
      <c r="AX208" s="1"/>
      <c r="AY208" s="1"/>
      <c r="AZ208" s="1"/>
    </row>
    <row r="209" ht="15.75" customHeight="1">
      <c r="A209" s="1"/>
      <c r="B209" s="11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4"/>
      <c r="Q209" s="1"/>
      <c r="R209" s="14"/>
      <c r="S209" s="1"/>
      <c r="T209" s="14"/>
      <c r="U209" s="1"/>
      <c r="V209" s="14"/>
      <c r="W209" s="1"/>
      <c r="X209" s="14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5"/>
      <c r="AQ209" s="15"/>
      <c r="AR209" s="15"/>
      <c r="AS209" s="1"/>
      <c r="AT209" s="1"/>
      <c r="AU209" s="1"/>
      <c r="AV209" s="1"/>
      <c r="AW209" s="1"/>
      <c r="AX209" s="1"/>
      <c r="AY209" s="1"/>
      <c r="AZ209" s="1"/>
    </row>
    <row r="210" ht="15.75" customHeight="1">
      <c r="A210" s="1"/>
      <c r="B210" s="11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4"/>
      <c r="Q210" s="1"/>
      <c r="R210" s="14"/>
      <c r="S210" s="1"/>
      <c r="T210" s="14"/>
      <c r="U210" s="1"/>
      <c r="V210" s="14"/>
      <c r="W210" s="1"/>
      <c r="X210" s="14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5"/>
      <c r="AQ210" s="15"/>
      <c r="AR210" s="15"/>
      <c r="AS210" s="1"/>
      <c r="AT210" s="1"/>
      <c r="AU210" s="1"/>
      <c r="AV210" s="1"/>
      <c r="AW210" s="1"/>
      <c r="AX210" s="1"/>
      <c r="AY210" s="1"/>
      <c r="AZ210" s="1"/>
    </row>
    <row r="211" ht="15.75" customHeight="1">
      <c r="A211" s="1"/>
      <c r="B211" s="11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4"/>
      <c r="Q211" s="1"/>
      <c r="R211" s="14"/>
      <c r="S211" s="1"/>
      <c r="T211" s="14"/>
      <c r="U211" s="1"/>
      <c r="V211" s="14"/>
      <c r="W211" s="1"/>
      <c r="X211" s="14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5"/>
      <c r="AQ211" s="15"/>
      <c r="AR211" s="15"/>
      <c r="AS211" s="1"/>
      <c r="AT211" s="1"/>
      <c r="AU211" s="1"/>
      <c r="AV211" s="1"/>
      <c r="AW211" s="1"/>
      <c r="AX211" s="1"/>
      <c r="AY211" s="1"/>
      <c r="AZ211" s="1"/>
    </row>
    <row r="212" ht="15.75" customHeight="1">
      <c r="A212" s="1"/>
      <c r="B212" s="11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4"/>
      <c r="Q212" s="1"/>
      <c r="R212" s="14"/>
      <c r="S212" s="1"/>
      <c r="T212" s="14"/>
      <c r="U212" s="1"/>
      <c r="V212" s="14"/>
      <c r="W212" s="1"/>
      <c r="X212" s="14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5"/>
      <c r="AQ212" s="15"/>
      <c r="AR212" s="15"/>
      <c r="AS212" s="1"/>
      <c r="AT212" s="1"/>
      <c r="AU212" s="1"/>
      <c r="AV212" s="1"/>
      <c r="AW212" s="1"/>
      <c r="AX212" s="1"/>
      <c r="AY212" s="1"/>
      <c r="AZ212" s="1"/>
    </row>
    <row r="213" ht="15.75" customHeight="1">
      <c r="A213" s="1"/>
      <c r="B213" s="11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4"/>
      <c r="Q213" s="1"/>
      <c r="R213" s="14"/>
      <c r="S213" s="1"/>
      <c r="T213" s="14"/>
      <c r="U213" s="1"/>
      <c r="V213" s="14"/>
      <c r="W213" s="1"/>
      <c r="X213" s="14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5"/>
      <c r="AQ213" s="15"/>
      <c r="AR213" s="15"/>
      <c r="AS213" s="1"/>
      <c r="AT213" s="1"/>
      <c r="AU213" s="1"/>
      <c r="AV213" s="1"/>
      <c r="AW213" s="1"/>
      <c r="AX213" s="1"/>
      <c r="AY213" s="1"/>
      <c r="AZ213" s="1"/>
    </row>
    <row r="214" ht="15.75" customHeight="1">
      <c r="A214" s="1"/>
      <c r="B214" s="11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4"/>
      <c r="Q214" s="1"/>
      <c r="R214" s="14"/>
      <c r="S214" s="1"/>
      <c r="T214" s="14"/>
      <c r="U214" s="1"/>
      <c r="V214" s="14"/>
      <c r="W214" s="1"/>
      <c r="X214" s="14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5"/>
      <c r="AQ214" s="15"/>
      <c r="AR214" s="15"/>
      <c r="AS214" s="1"/>
      <c r="AT214" s="1"/>
      <c r="AU214" s="1"/>
      <c r="AV214" s="1"/>
      <c r="AW214" s="1"/>
      <c r="AX214" s="1"/>
      <c r="AY214" s="1"/>
      <c r="AZ214" s="1"/>
    </row>
    <row r="215" ht="15.75" customHeight="1">
      <c r="A215" s="1"/>
      <c r="B215" s="11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4"/>
      <c r="Q215" s="1"/>
      <c r="R215" s="14"/>
      <c r="S215" s="1"/>
      <c r="T215" s="14"/>
      <c r="U215" s="1"/>
      <c r="V215" s="14"/>
      <c r="W215" s="1"/>
      <c r="X215" s="14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5"/>
      <c r="AQ215" s="15"/>
      <c r="AR215" s="15"/>
      <c r="AS215" s="1"/>
      <c r="AT215" s="1"/>
      <c r="AU215" s="1"/>
      <c r="AV215" s="1"/>
      <c r="AW215" s="1"/>
      <c r="AX215" s="1"/>
      <c r="AY215" s="1"/>
      <c r="AZ215" s="1"/>
    </row>
    <row r="216" ht="15.75" customHeight="1">
      <c r="A216" s="1"/>
      <c r="B216" s="11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4"/>
      <c r="Q216" s="1"/>
      <c r="R216" s="14"/>
      <c r="S216" s="1"/>
      <c r="T216" s="14"/>
      <c r="U216" s="1"/>
      <c r="V216" s="14"/>
      <c r="W216" s="1"/>
      <c r="X216" s="14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5"/>
      <c r="AQ216" s="15"/>
      <c r="AR216" s="15"/>
      <c r="AS216" s="1"/>
      <c r="AT216" s="1"/>
      <c r="AU216" s="1"/>
      <c r="AV216" s="1"/>
      <c r="AW216" s="1"/>
      <c r="AX216" s="1"/>
      <c r="AY216" s="1"/>
      <c r="AZ216" s="1"/>
    </row>
    <row r="217" ht="15.75" customHeight="1">
      <c r="A217" s="1"/>
      <c r="B217" s="11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4"/>
      <c r="Q217" s="1"/>
      <c r="R217" s="14"/>
      <c r="S217" s="1"/>
      <c r="T217" s="14"/>
      <c r="U217" s="1"/>
      <c r="V217" s="14"/>
      <c r="W217" s="1"/>
      <c r="X217" s="14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5"/>
      <c r="AQ217" s="15"/>
      <c r="AR217" s="15"/>
      <c r="AS217" s="1"/>
      <c r="AT217" s="1"/>
      <c r="AU217" s="1"/>
      <c r="AV217" s="1"/>
      <c r="AW217" s="1"/>
      <c r="AX217" s="1"/>
      <c r="AY217" s="1"/>
      <c r="AZ217" s="1"/>
    </row>
    <row r="218" ht="15.75" customHeight="1">
      <c r="A218" s="1"/>
      <c r="B218" s="11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4"/>
      <c r="Q218" s="1"/>
      <c r="R218" s="14"/>
      <c r="S218" s="1"/>
      <c r="T218" s="14"/>
      <c r="U218" s="1"/>
      <c r="V218" s="14"/>
      <c r="W218" s="1"/>
      <c r="X218" s="14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5"/>
      <c r="AQ218" s="15"/>
      <c r="AR218" s="15"/>
      <c r="AS218" s="1"/>
      <c r="AT218" s="1"/>
      <c r="AU218" s="1"/>
      <c r="AV218" s="1"/>
      <c r="AW218" s="1"/>
      <c r="AX218" s="1"/>
      <c r="AY218" s="1"/>
      <c r="AZ218" s="1"/>
    </row>
    <row r="219" ht="15.75" customHeight="1">
      <c r="A219" s="1"/>
      <c r="B219" s="11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4"/>
      <c r="Q219" s="1"/>
      <c r="R219" s="14"/>
      <c r="S219" s="1"/>
      <c r="T219" s="14"/>
      <c r="U219" s="1"/>
      <c r="V219" s="14"/>
      <c r="W219" s="1"/>
      <c r="X219" s="14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5"/>
      <c r="AQ219" s="15"/>
      <c r="AR219" s="15"/>
      <c r="AS219" s="1"/>
      <c r="AT219" s="1"/>
      <c r="AU219" s="1"/>
      <c r="AV219" s="1"/>
      <c r="AW219" s="1"/>
      <c r="AX219" s="1"/>
      <c r="AY219" s="1"/>
      <c r="AZ219" s="1"/>
    </row>
    <row r="220" ht="15.75" customHeight="1">
      <c r="A220" s="1"/>
      <c r="B220" s="11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4"/>
      <c r="Q220" s="1"/>
      <c r="R220" s="14"/>
      <c r="S220" s="1"/>
      <c r="T220" s="14"/>
      <c r="U220" s="1"/>
      <c r="V220" s="14"/>
      <c r="W220" s="1"/>
      <c r="X220" s="14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5"/>
      <c r="AQ220" s="15"/>
      <c r="AR220" s="15"/>
      <c r="AS220" s="1"/>
      <c r="AT220" s="1"/>
      <c r="AU220" s="1"/>
      <c r="AV220" s="1"/>
      <c r="AW220" s="1"/>
      <c r="AX220" s="1"/>
      <c r="AY220" s="1"/>
      <c r="AZ220" s="1"/>
    </row>
    <row r="221" ht="15.75" customHeight="1">
      <c r="A221" s="1"/>
      <c r="B221" s="11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4"/>
      <c r="Q221" s="1"/>
      <c r="R221" s="14"/>
      <c r="S221" s="1"/>
      <c r="T221" s="14"/>
      <c r="U221" s="1"/>
      <c r="V221" s="14"/>
      <c r="W221" s="1"/>
      <c r="X221" s="14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5"/>
      <c r="AQ221" s="15"/>
      <c r="AR221" s="15"/>
      <c r="AS221" s="1"/>
      <c r="AT221" s="1"/>
      <c r="AU221" s="1"/>
      <c r="AV221" s="1"/>
      <c r="AW221" s="1"/>
      <c r="AX221" s="1"/>
      <c r="AY221" s="1"/>
      <c r="AZ221" s="1"/>
    </row>
    <row r="222" ht="15.75" customHeight="1">
      <c r="A222" s="1"/>
      <c r="B222" s="11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4"/>
      <c r="Q222" s="1"/>
      <c r="R222" s="14"/>
      <c r="S222" s="1"/>
      <c r="T222" s="14"/>
      <c r="U222" s="1"/>
      <c r="V222" s="14"/>
      <c r="W222" s="1"/>
      <c r="X222" s="14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5"/>
      <c r="AQ222" s="15"/>
      <c r="AR222" s="15"/>
      <c r="AS222" s="1"/>
      <c r="AT222" s="1"/>
      <c r="AU222" s="1"/>
      <c r="AV222" s="1"/>
      <c r="AW222" s="1"/>
      <c r="AX222" s="1"/>
      <c r="AY222" s="1"/>
      <c r="AZ222" s="1"/>
    </row>
    <row r="223" ht="15.75" customHeight="1">
      <c r="A223" s="1"/>
      <c r="B223" s="11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4"/>
      <c r="Q223" s="1"/>
      <c r="R223" s="14"/>
      <c r="S223" s="1"/>
      <c r="T223" s="14"/>
      <c r="U223" s="1"/>
      <c r="V223" s="14"/>
      <c r="W223" s="1"/>
      <c r="X223" s="14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5"/>
      <c r="AQ223" s="15"/>
      <c r="AR223" s="15"/>
      <c r="AS223" s="1"/>
      <c r="AT223" s="1"/>
      <c r="AU223" s="1"/>
      <c r="AV223" s="1"/>
      <c r="AW223" s="1"/>
      <c r="AX223" s="1"/>
      <c r="AY223" s="1"/>
      <c r="AZ223" s="1"/>
    </row>
    <row r="224" ht="15.75" customHeight="1">
      <c r="A224" s="1"/>
      <c r="B224" s="11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4"/>
      <c r="Q224" s="1"/>
      <c r="R224" s="14"/>
      <c r="S224" s="1"/>
      <c r="T224" s="14"/>
      <c r="U224" s="1"/>
      <c r="V224" s="14"/>
      <c r="W224" s="1"/>
      <c r="X224" s="14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5"/>
      <c r="AQ224" s="15"/>
      <c r="AR224" s="15"/>
      <c r="AS224" s="1"/>
      <c r="AT224" s="1"/>
      <c r="AU224" s="1"/>
      <c r="AV224" s="1"/>
      <c r="AW224" s="1"/>
      <c r="AX224" s="1"/>
      <c r="AY224" s="1"/>
      <c r="AZ224" s="1"/>
    </row>
    <row r="225" ht="15.75" customHeight="1">
      <c r="A225" s="1"/>
      <c r="B225" s="11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4"/>
      <c r="Q225" s="1"/>
      <c r="R225" s="14"/>
      <c r="S225" s="1"/>
      <c r="T225" s="14"/>
      <c r="U225" s="1"/>
      <c r="V225" s="14"/>
      <c r="W225" s="1"/>
      <c r="X225" s="14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5"/>
      <c r="AQ225" s="15"/>
      <c r="AR225" s="15"/>
      <c r="AS225" s="1"/>
      <c r="AT225" s="1"/>
      <c r="AU225" s="1"/>
      <c r="AV225" s="1"/>
      <c r="AW225" s="1"/>
      <c r="AX225" s="1"/>
      <c r="AY225" s="1"/>
      <c r="AZ225" s="1"/>
    </row>
    <row r="226" ht="15.75" customHeight="1">
      <c r="A226" s="1"/>
      <c r="B226" s="11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4"/>
      <c r="Q226" s="1"/>
      <c r="R226" s="14"/>
      <c r="S226" s="1"/>
      <c r="T226" s="14"/>
      <c r="U226" s="1"/>
      <c r="V226" s="14"/>
      <c r="W226" s="1"/>
      <c r="X226" s="14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5"/>
      <c r="AQ226" s="15"/>
      <c r="AR226" s="15"/>
      <c r="AS226" s="1"/>
      <c r="AT226" s="1"/>
      <c r="AU226" s="1"/>
      <c r="AV226" s="1"/>
      <c r="AW226" s="1"/>
      <c r="AX226" s="1"/>
      <c r="AY226" s="1"/>
      <c r="AZ226" s="1"/>
    </row>
    <row r="227" ht="15.75" customHeight="1">
      <c r="A227" s="1"/>
      <c r="B227" s="11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4"/>
      <c r="Q227" s="1"/>
      <c r="R227" s="14"/>
      <c r="S227" s="1"/>
      <c r="T227" s="14"/>
      <c r="U227" s="1"/>
      <c r="V227" s="14"/>
      <c r="W227" s="1"/>
      <c r="X227" s="14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5"/>
      <c r="AQ227" s="15"/>
      <c r="AR227" s="15"/>
      <c r="AS227" s="1"/>
      <c r="AT227" s="1"/>
      <c r="AU227" s="1"/>
      <c r="AV227" s="1"/>
      <c r="AW227" s="1"/>
      <c r="AX227" s="1"/>
      <c r="AY227" s="1"/>
      <c r="AZ227" s="1"/>
    </row>
    <row r="228" ht="15.75" customHeight="1">
      <c r="A228" s="1"/>
      <c r="B228" s="11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4"/>
      <c r="Q228" s="1"/>
      <c r="R228" s="14"/>
      <c r="S228" s="1"/>
      <c r="T228" s="14"/>
      <c r="U228" s="1"/>
      <c r="V228" s="14"/>
      <c r="W228" s="1"/>
      <c r="X228" s="14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5"/>
      <c r="AQ228" s="15"/>
      <c r="AR228" s="15"/>
      <c r="AS228" s="1"/>
      <c r="AT228" s="1"/>
      <c r="AU228" s="1"/>
      <c r="AV228" s="1"/>
      <c r="AW228" s="1"/>
      <c r="AX228" s="1"/>
      <c r="AY228" s="1"/>
      <c r="AZ228" s="1"/>
    </row>
    <row r="229" ht="15.75" customHeight="1">
      <c r="A229" s="1"/>
      <c r="B229" s="11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4"/>
      <c r="Q229" s="1"/>
      <c r="R229" s="14"/>
      <c r="S229" s="1"/>
      <c r="T229" s="14"/>
      <c r="U229" s="1"/>
      <c r="V229" s="14"/>
      <c r="W229" s="1"/>
      <c r="X229" s="14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5"/>
      <c r="AQ229" s="15"/>
      <c r="AR229" s="15"/>
      <c r="AS229" s="1"/>
      <c r="AT229" s="1"/>
      <c r="AU229" s="1"/>
      <c r="AV229" s="1"/>
      <c r="AW229" s="1"/>
      <c r="AX229" s="1"/>
      <c r="AY229" s="1"/>
      <c r="AZ229" s="1"/>
    </row>
    <row r="230" ht="15.75" customHeight="1">
      <c r="A230" s="1"/>
      <c r="B230" s="11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4"/>
      <c r="Q230" s="1"/>
      <c r="R230" s="14"/>
      <c r="S230" s="1"/>
      <c r="T230" s="14"/>
      <c r="U230" s="1"/>
      <c r="V230" s="14"/>
      <c r="W230" s="1"/>
      <c r="X230" s="14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5"/>
      <c r="AQ230" s="15"/>
      <c r="AR230" s="15"/>
      <c r="AS230" s="1"/>
      <c r="AT230" s="1"/>
      <c r="AU230" s="1"/>
      <c r="AV230" s="1"/>
      <c r="AW230" s="1"/>
      <c r="AX230" s="1"/>
      <c r="AY230" s="1"/>
      <c r="AZ230" s="1"/>
    </row>
    <row r="231" ht="15.75" customHeight="1">
      <c r="A231" s="1"/>
      <c r="B231" s="11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4"/>
      <c r="Q231" s="1"/>
      <c r="R231" s="14"/>
      <c r="S231" s="1"/>
      <c r="T231" s="14"/>
      <c r="U231" s="1"/>
      <c r="V231" s="14"/>
      <c r="W231" s="1"/>
      <c r="X231" s="14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5"/>
      <c r="AQ231" s="15"/>
      <c r="AR231" s="15"/>
      <c r="AS231" s="1"/>
      <c r="AT231" s="1"/>
      <c r="AU231" s="1"/>
      <c r="AV231" s="1"/>
      <c r="AW231" s="1"/>
      <c r="AX231" s="1"/>
      <c r="AY231" s="1"/>
      <c r="AZ231" s="1"/>
    </row>
    <row r="232" ht="15.75" customHeight="1">
      <c r="A232" s="1"/>
      <c r="B232" s="11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4"/>
      <c r="Q232" s="1"/>
      <c r="R232" s="14"/>
      <c r="S232" s="1"/>
      <c r="T232" s="14"/>
      <c r="U232" s="1"/>
      <c r="V232" s="14"/>
      <c r="W232" s="1"/>
      <c r="X232" s="14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5"/>
      <c r="AQ232" s="15"/>
      <c r="AR232" s="15"/>
      <c r="AS232" s="1"/>
      <c r="AT232" s="1"/>
      <c r="AU232" s="1"/>
      <c r="AV232" s="1"/>
      <c r="AW232" s="1"/>
      <c r="AX232" s="1"/>
      <c r="AY232" s="1"/>
      <c r="AZ232" s="1"/>
    </row>
    <row r="233" ht="15.75" customHeight="1">
      <c r="A233" s="1"/>
      <c r="B233" s="11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4"/>
      <c r="Q233" s="1"/>
      <c r="R233" s="14"/>
      <c r="S233" s="1"/>
      <c r="T233" s="14"/>
      <c r="U233" s="1"/>
      <c r="V233" s="14"/>
      <c r="W233" s="1"/>
      <c r="X233" s="14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5"/>
      <c r="AQ233" s="15"/>
      <c r="AR233" s="15"/>
      <c r="AS233" s="1"/>
      <c r="AT233" s="1"/>
      <c r="AU233" s="1"/>
      <c r="AV233" s="1"/>
      <c r="AW233" s="1"/>
      <c r="AX233" s="1"/>
      <c r="AY233" s="1"/>
      <c r="AZ233" s="1"/>
    </row>
    <row r="234" ht="15.75" customHeight="1">
      <c r="A234" s="1"/>
      <c r="B234" s="11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4"/>
      <c r="Q234" s="1"/>
      <c r="R234" s="14"/>
      <c r="S234" s="1"/>
      <c r="T234" s="14"/>
      <c r="U234" s="1"/>
      <c r="V234" s="14"/>
      <c r="W234" s="1"/>
      <c r="X234" s="14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5"/>
      <c r="AQ234" s="15"/>
      <c r="AR234" s="15"/>
      <c r="AS234" s="1"/>
      <c r="AT234" s="1"/>
      <c r="AU234" s="1"/>
      <c r="AV234" s="1"/>
      <c r="AW234" s="1"/>
      <c r="AX234" s="1"/>
      <c r="AY234" s="1"/>
      <c r="AZ234" s="1"/>
    </row>
    <row r="235" ht="15.75" customHeight="1">
      <c r="A235" s="1"/>
      <c r="B235" s="11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4"/>
      <c r="Q235" s="1"/>
      <c r="R235" s="14"/>
      <c r="S235" s="1"/>
      <c r="T235" s="14"/>
      <c r="U235" s="1"/>
      <c r="V235" s="14"/>
      <c r="W235" s="1"/>
      <c r="X235" s="14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5"/>
      <c r="AQ235" s="15"/>
      <c r="AR235" s="15"/>
      <c r="AS235" s="1"/>
      <c r="AT235" s="1"/>
      <c r="AU235" s="1"/>
      <c r="AV235" s="1"/>
      <c r="AW235" s="1"/>
      <c r="AX235" s="1"/>
      <c r="AY235" s="1"/>
      <c r="AZ235" s="1"/>
    </row>
    <row r="236" ht="15.75" customHeight="1">
      <c r="A236" s="1"/>
      <c r="B236" s="11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4"/>
      <c r="Q236" s="1"/>
      <c r="R236" s="14"/>
      <c r="S236" s="1"/>
      <c r="T236" s="14"/>
      <c r="U236" s="1"/>
      <c r="V236" s="14"/>
      <c r="W236" s="1"/>
      <c r="X236" s="14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5"/>
      <c r="AQ236" s="15"/>
      <c r="AR236" s="15"/>
      <c r="AS236" s="1"/>
      <c r="AT236" s="1"/>
      <c r="AU236" s="1"/>
      <c r="AV236" s="1"/>
      <c r="AW236" s="1"/>
      <c r="AX236" s="1"/>
      <c r="AY236" s="1"/>
      <c r="AZ236" s="1"/>
    </row>
    <row r="237" ht="15.75" customHeight="1">
      <c r="A237" s="1"/>
      <c r="B237" s="11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4"/>
      <c r="Q237" s="1"/>
      <c r="R237" s="14"/>
      <c r="S237" s="1"/>
      <c r="T237" s="14"/>
      <c r="U237" s="1"/>
      <c r="V237" s="14"/>
      <c r="W237" s="1"/>
      <c r="X237" s="14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5"/>
      <c r="AQ237" s="15"/>
      <c r="AR237" s="15"/>
      <c r="AS237" s="1"/>
      <c r="AT237" s="1"/>
      <c r="AU237" s="1"/>
      <c r="AV237" s="1"/>
      <c r="AW237" s="1"/>
      <c r="AX237" s="1"/>
      <c r="AY237" s="1"/>
      <c r="AZ237" s="1"/>
    </row>
    <row r="238" ht="15.75" customHeight="1">
      <c r="A238" s="1"/>
      <c r="B238" s="11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4"/>
      <c r="Q238" s="1"/>
      <c r="R238" s="14"/>
      <c r="S238" s="1"/>
      <c r="T238" s="14"/>
      <c r="U238" s="1"/>
      <c r="V238" s="14"/>
      <c r="W238" s="1"/>
      <c r="X238" s="14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5"/>
      <c r="AQ238" s="15"/>
      <c r="AR238" s="15"/>
      <c r="AS238" s="1"/>
      <c r="AT238" s="1"/>
      <c r="AU238" s="1"/>
      <c r="AV238" s="1"/>
      <c r="AW238" s="1"/>
      <c r="AX238" s="1"/>
      <c r="AY238" s="1"/>
      <c r="AZ238" s="1"/>
    </row>
    <row r="239" ht="15.75" customHeight="1">
      <c r="A239" s="1"/>
      <c r="B239" s="11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4"/>
      <c r="Q239" s="1"/>
      <c r="R239" s="14"/>
      <c r="S239" s="1"/>
      <c r="T239" s="14"/>
      <c r="U239" s="1"/>
      <c r="V239" s="14"/>
      <c r="W239" s="1"/>
      <c r="X239" s="14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5"/>
      <c r="AQ239" s="15"/>
      <c r="AR239" s="15"/>
      <c r="AS239" s="1"/>
      <c r="AT239" s="1"/>
      <c r="AU239" s="1"/>
      <c r="AV239" s="1"/>
      <c r="AW239" s="1"/>
      <c r="AX239" s="1"/>
      <c r="AY239" s="1"/>
      <c r="AZ239" s="1"/>
    </row>
    <row r="240" ht="15.75" customHeight="1">
      <c r="A240" s="1"/>
      <c r="B240" s="11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4"/>
      <c r="Q240" s="1"/>
      <c r="R240" s="14"/>
      <c r="S240" s="1"/>
      <c r="T240" s="14"/>
      <c r="U240" s="1"/>
      <c r="V240" s="14"/>
      <c r="W240" s="1"/>
      <c r="X240" s="14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5"/>
      <c r="AQ240" s="15"/>
      <c r="AR240" s="15"/>
      <c r="AS240" s="1"/>
      <c r="AT240" s="1"/>
      <c r="AU240" s="1"/>
      <c r="AV240" s="1"/>
      <c r="AW240" s="1"/>
      <c r="AX240" s="1"/>
      <c r="AY240" s="1"/>
      <c r="AZ240" s="1"/>
    </row>
    <row r="241" ht="15.75" customHeight="1">
      <c r="A241" s="1"/>
      <c r="B241" s="11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4"/>
      <c r="Q241" s="1"/>
      <c r="R241" s="14"/>
      <c r="S241" s="1"/>
      <c r="T241" s="14"/>
      <c r="U241" s="1"/>
      <c r="V241" s="14"/>
      <c r="W241" s="1"/>
      <c r="X241" s="14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5"/>
      <c r="AQ241" s="15"/>
      <c r="AR241" s="15"/>
      <c r="AS241" s="1"/>
      <c r="AT241" s="1"/>
      <c r="AU241" s="1"/>
      <c r="AV241" s="1"/>
      <c r="AW241" s="1"/>
      <c r="AX241" s="1"/>
      <c r="AY241" s="1"/>
      <c r="AZ241" s="1"/>
    </row>
    <row r="242" ht="15.75" customHeight="1">
      <c r="A242" s="1"/>
      <c r="B242" s="11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4"/>
      <c r="Q242" s="1"/>
      <c r="R242" s="14"/>
      <c r="S242" s="1"/>
      <c r="T242" s="14"/>
      <c r="U242" s="1"/>
      <c r="V242" s="14"/>
      <c r="W242" s="1"/>
      <c r="X242" s="14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5"/>
      <c r="AQ242" s="15"/>
      <c r="AR242" s="15"/>
      <c r="AS242" s="1"/>
      <c r="AT242" s="1"/>
      <c r="AU242" s="1"/>
      <c r="AV242" s="1"/>
      <c r="AW242" s="1"/>
      <c r="AX242" s="1"/>
      <c r="AY242" s="1"/>
      <c r="AZ242" s="1"/>
    </row>
    <row r="243" ht="15.75" customHeight="1">
      <c r="A243" s="1"/>
      <c r="B243" s="11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4"/>
      <c r="Q243" s="1"/>
      <c r="R243" s="14"/>
      <c r="S243" s="1"/>
      <c r="T243" s="14"/>
      <c r="U243" s="1"/>
      <c r="V243" s="14"/>
      <c r="W243" s="1"/>
      <c r="X243" s="14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5"/>
      <c r="AQ243" s="15"/>
      <c r="AR243" s="15"/>
      <c r="AS243" s="1"/>
      <c r="AT243" s="1"/>
      <c r="AU243" s="1"/>
      <c r="AV243" s="1"/>
      <c r="AW243" s="1"/>
      <c r="AX243" s="1"/>
      <c r="AY243" s="1"/>
      <c r="AZ243" s="1"/>
    </row>
    <row r="244" ht="15.75" customHeight="1">
      <c r="A244" s="1"/>
      <c r="B244" s="11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4"/>
      <c r="Q244" s="1"/>
      <c r="R244" s="14"/>
      <c r="S244" s="1"/>
      <c r="T244" s="14"/>
      <c r="U244" s="1"/>
      <c r="V244" s="14"/>
      <c r="W244" s="1"/>
      <c r="X244" s="14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5"/>
      <c r="AQ244" s="15"/>
      <c r="AR244" s="15"/>
      <c r="AS244" s="1"/>
      <c r="AT244" s="1"/>
      <c r="AU244" s="1"/>
      <c r="AV244" s="1"/>
      <c r="AW244" s="1"/>
      <c r="AX244" s="1"/>
      <c r="AY244" s="1"/>
      <c r="AZ244" s="1"/>
    </row>
    <row r="245" ht="15.75" customHeight="1">
      <c r="A245" s="1"/>
      <c r="B245" s="11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4"/>
      <c r="Q245" s="1"/>
      <c r="R245" s="14"/>
      <c r="S245" s="1"/>
      <c r="T245" s="14"/>
      <c r="U245" s="1"/>
      <c r="V245" s="14"/>
      <c r="W245" s="1"/>
      <c r="X245" s="14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5"/>
      <c r="AQ245" s="15"/>
      <c r="AR245" s="15"/>
      <c r="AS245" s="1"/>
      <c r="AT245" s="1"/>
      <c r="AU245" s="1"/>
      <c r="AV245" s="1"/>
      <c r="AW245" s="1"/>
      <c r="AX245" s="1"/>
      <c r="AY245" s="1"/>
      <c r="AZ245" s="1"/>
    </row>
    <row r="246" ht="15.75" customHeight="1">
      <c r="A246" s="1"/>
      <c r="B246" s="11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4"/>
      <c r="Q246" s="1"/>
      <c r="R246" s="14"/>
      <c r="S246" s="1"/>
      <c r="T246" s="14"/>
      <c r="U246" s="1"/>
      <c r="V246" s="14"/>
      <c r="W246" s="1"/>
      <c r="X246" s="14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5"/>
      <c r="AQ246" s="15"/>
      <c r="AR246" s="15"/>
      <c r="AS246" s="1"/>
      <c r="AT246" s="1"/>
      <c r="AU246" s="1"/>
      <c r="AV246" s="1"/>
      <c r="AW246" s="1"/>
      <c r="AX246" s="1"/>
      <c r="AY246" s="1"/>
      <c r="AZ246" s="1"/>
    </row>
    <row r="247" ht="15.75" customHeight="1">
      <c r="A247" s="1"/>
      <c r="B247" s="11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4"/>
      <c r="Q247" s="1"/>
      <c r="R247" s="14"/>
      <c r="S247" s="1"/>
      <c r="T247" s="14"/>
      <c r="U247" s="1"/>
      <c r="V247" s="14"/>
      <c r="W247" s="1"/>
      <c r="X247" s="14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5"/>
      <c r="AQ247" s="15"/>
      <c r="AR247" s="15"/>
      <c r="AS247" s="1"/>
      <c r="AT247" s="1"/>
      <c r="AU247" s="1"/>
      <c r="AV247" s="1"/>
      <c r="AW247" s="1"/>
      <c r="AX247" s="1"/>
      <c r="AY247" s="1"/>
      <c r="AZ247" s="1"/>
    </row>
    <row r="248" ht="15.75" customHeight="1">
      <c r="A248" s="1"/>
      <c r="B248" s="11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4"/>
      <c r="Q248" s="1"/>
      <c r="R248" s="14"/>
      <c r="S248" s="1"/>
      <c r="T248" s="14"/>
      <c r="U248" s="1"/>
      <c r="V248" s="14"/>
      <c r="W248" s="1"/>
      <c r="X248" s="14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5"/>
      <c r="AQ248" s="15"/>
      <c r="AR248" s="15"/>
      <c r="AS248" s="1"/>
      <c r="AT248" s="1"/>
      <c r="AU248" s="1"/>
      <c r="AV248" s="1"/>
      <c r="AW248" s="1"/>
      <c r="AX248" s="1"/>
      <c r="AY248" s="1"/>
      <c r="AZ248" s="1"/>
    </row>
    <row r="249" ht="15.75" customHeight="1">
      <c r="A249" s="1"/>
      <c r="B249" s="11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4"/>
      <c r="Q249" s="1"/>
      <c r="R249" s="14"/>
      <c r="S249" s="1"/>
      <c r="T249" s="14"/>
      <c r="U249" s="1"/>
      <c r="V249" s="14"/>
      <c r="W249" s="1"/>
      <c r="X249" s="14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5"/>
      <c r="AQ249" s="15"/>
      <c r="AR249" s="15"/>
      <c r="AS249" s="1"/>
      <c r="AT249" s="1"/>
      <c r="AU249" s="1"/>
      <c r="AV249" s="1"/>
      <c r="AW249" s="1"/>
      <c r="AX249" s="1"/>
      <c r="AY249" s="1"/>
      <c r="AZ249" s="1"/>
    </row>
    <row r="250" ht="15.75" customHeight="1">
      <c r="A250" s="1"/>
      <c r="B250" s="11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4"/>
      <c r="Q250" s="1"/>
      <c r="R250" s="14"/>
      <c r="S250" s="1"/>
      <c r="T250" s="14"/>
      <c r="U250" s="1"/>
      <c r="V250" s="14"/>
      <c r="W250" s="1"/>
      <c r="X250" s="14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5"/>
      <c r="AQ250" s="15"/>
      <c r="AR250" s="15"/>
      <c r="AS250" s="1"/>
      <c r="AT250" s="1"/>
      <c r="AU250" s="1"/>
      <c r="AV250" s="1"/>
      <c r="AW250" s="1"/>
      <c r="AX250" s="1"/>
      <c r="AY250" s="1"/>
      <c r="AZ250" s="1"/>
    </row>
    <row r="251" ht="15.75" customHeight="1">
      <c r="A251" s="1"/>
      <c r="B251" s="11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4"/>
      <c r="Q251" s="1"/>
      <c r="R251" s="14"/>
      <c r="S251" s="1"/>
      <c r="T251" s="14"/>
      <c r="U251" s="1"/>
      <c r="V251" s="14"/>
      <c r="W251" s="1"/>
      <c r="X251" s="14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5"/>
      <c r="AQ251" s="15"/>
      <c r="AR251" s="15"/>
      <c r="AS251" s="1"/>
      <c r="AT251" s="1"/>
      <c r="AU251" s="1"/>
      <c r="AV251" s="1"/>
      <c r="AW251" s="1"/>
      <c r="AX251" s="1"/>
      <c r="AY251" s="1"/>
      <c r="AZ251" s="1"/>
    </row>
    <row r="252" ht="15.75" customHeight="1">
      <c r="A252" s="1"/>
      <c r="B252" s="11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4"/>
      <c r="Q252" s="1"/>
      <c r="R252" s="14"/>
      <c r="S252" s="1"/>
      <c r="T252" s="14"/>
      <c r="U252" s="1"/>
      <c r="V252" s="14"/>
      <c r="W252" s="1"/>
      <c r="X252" s="14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5"/>
      <c r="AQ252" s="15"/>
      <c r="AR252" s="15"/>
      <c r="AS252" s="1"/>
      <c r="AT252" s="1"/>
      <c r="AU252" s="1"/>
      <c r="AV252" s="1"/>
      <c r="AW252" s="1"/>
      <c r="AX252" s="1"/>
      <c r="AY252" s="1"/>
      <c r="AZ252" s="1"/>
    </row>
    <row r="253" ht="15.75" customHeight="1">
      <c r="A253" s="1"/>
      <c r="B253" s="11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4"/>
      <c r="Q253" s="1"/>
      <c r="R253" s="14"/>
      <c r="S253" s="1"/>
      <c r="T253" s="14"/>
      <c r="U253" s="1"/>
      <c r="V253" s="14"/>
      <c r="W253" s="1"/>
      <c r="X253" s="14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5"/>
      <c r="AQ253" s="15"/>
      <c r="AR253" s="15"/>
      <c r="AS253" s="1"/>
      <c r="AT253" s="1"/>
      <c r="AU253" s="1"/>
      <c r="AV253" s="1"/>
      <c r="AW253" s="1"/>
      <c r="AX253" s="1"/>
      <c r="AY253" s="1"/>
      <c r="AZ253" s="1"/>
    </row>
    <row r="254" ht="15.75" customHeight="1">
      <c r="A254" s="1"/>
      <c r="B254" s="11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4"/>
      <c r="Q254" s="1"/>
      <c r="R254" s="14"/>
      <c r="S254" s="1"/>
      <c r="T254" s="14"/>
      <c r="U254" s="1"/>
      <c r="V254" s="14"/>
      <c r="W254" s="1"/>
      <c r="X254" s="14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5"/>
      <c r="AQ254" s="15"/>
      <c r="AR254" s="15"/>
      <c r="AS254" s="1"/>
      <c r="AT254" s="1"/>
      <c r="AU254" s="1"/>
      <c r="AV254" s="1"/>
      <c r="AW254" s="1"/>
      <c r="AX254" s="1"/>
      <c r="AY254" s="1"/>
      <c r="AZ254" s="1"/>
    </row>
    <row r="255" ht="15.75" customHeight="1">
      <c r="A255" s="1"/>
      <c r="B255" s="11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4"/>
      <c r="Q255" s="1"/>
      <c r="R255" s="14"/>
      <c r="S255" s="1"/>
      <c r="T255" s="14"/>
      <c r="U255" s="1"/>
      <c r="V255" s="14"/>
      <c r="W255" s="1"/>
      <c r="X255" s="14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5"/>
      <c r="AQ255" s="15"/>
      <c r="AR255" s="15"/>
      <c r="AS255" s="1"/>
      <c r="AT255" s="1"/>
      <c r="AU255" s="1"/>
      <c r="AV255" s="1"/>
      <c r="AW255" s="1"/>
      <c r="AX255" s="1"/>
      <c r="AY255" s="1"/>
      <c r="AZ255" s="1"/>
    </row>
    <row r="256" ht="15.75" customHeight="1">
      <c r="A256" s="1"/>
      <c r="B256" s="11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4"/>
      <c r="Q256" s="1"/>
      <c r="R256" s="14"/>
      <c r="S256" s="1"/>
      <c r="T256" s="14"/>
      <c r="U256" s="1"/>
      <c r="V256" s="14"/>
      <c r="W256" s="1"/>
      <c r="X256" s="14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5"/>
      <c r="AQ256" s="15"/>
      <c r="AR256" s="15"/>
      <c r="AS256" s="1"/>
      <c r="AT256" s="1"/>
      <c r="AU256" s="1"/>
      <c r="AV256" s="1"/>
      <c r="AW256" s="1"/>
      <c r="AX256" s="1"/>
      <c r="AY256" s="1"/>
      <c r="AZ256" s="1"/>
    </row>
    <row r="257" ht="15.75" customHeight="1">
      <c r="A257" s="1"/>
      <c r="B257" s="11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4"/>
      <c r="Q257" s="1"/>
      <c r="R257" s="14"/>
      <c r="S257" s="1"/>
      <c r="T257" s="14"/>
      <c r="U257" s="1"/>
      <c r="V257" s="14"/>
      <c r="W257" s="1"/>
      <c r="X257" s="14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5"/>
      <c r="AQ257" s="15"/>
      <c r="AR257" s="15"/>
      <c r="AS257" s="1"/>
      <c r="AT257" s="1"/>
      <c r="AU257" s="1"/>
      <c r="AV257" s="1"/>
      <c r="AW257" s="1"/>
      <c r="AX257" s="1"/>
      <c r="AY257" s="1"/>
      <c r="AZ257" s="1"/>
    </row>
    <row r="258" ht="15.75" customHeight="1">
      <c r="A258" s="1"/>
      <c r="B258" s="11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4"/>
      <c r="Q258" s="1"/>
      <c r="R258" s="14"/>
      <c r="S258" s="1"/>
      <c r="T258" s="14"/>
      <c r="U258" s="1"/>
      <c r="V258" s="14"/>
      <c r="W258" s="1"/>
      <c r="X258" s="14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5"/>
      <c r="AQ258" s="15"/>
      <c r="AR258" s="15"/>
      <c r="AS258" s="1"/>
      <c r="AT258" s="1"/>
      <c r="AU258" s="1"/>
      <c r="AV258" s="1"/>
      <c r="AW258" s="1"/>
      <c r="AX258" s="1"/>
      <c r="AY258" s="1"/>
      <c r="AZ258" s="1"/>
    </row>
    <row r="259" ht="15.75" customHeight="1">
      <c r="A259" s="1"/>
      <c r="B259" s="11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4"/>
      <c r="Q259" s="1"/>
      <c r="R259" s="14"/>
      <c r="S259" s="1"/>
      <c r="T259" s="14"/>
      <c r="U259" s="1"/>
      <c r="V259" s="14"/>
      <c r="W259" s="1"/>
      <c r="X259" s="14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5"/>
      <c r="AQ259" s="15"/>
      <c r="AR259" s="15"/>
      <c r="AS259" s="1"/>
      <c r="AT259" s="1"/>
      <c r="AU259" s="1"/>
      <c r="AV259" s="1"/>
      <c r="AW259" s="1"/>
      <c r="AX259" s="1"/>
      <c r="AY259" s="1"/>
      <c r="AZ259" s="1"/>
    </row>
    <row r="260" ht="15.75" customHeight="1">
      <c r="A260" s="1"/>
      <c r="B260" s="11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4"/>
      <c r="Q260" s="1"/>
      <c r="R260" s="14"/>
      <c r="S260" s="1"/>
      <c r="T260" s="14"/>
      <c r="U260" s="1"/>
      <c r="V260" s="14"/>
      <c r="W260" s="1"/>
      <c r="X260" s="14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5"/>
      <c r="AQ260" s="15"/>
      <c r="AR260" s="15"/>
      <c r="AS260" s="1"/>
      <c r="AT260" s="1"/>
      <c r="AU260" s="1"/>
      <c r="AV260" s="1"/>
      <c r="AW260" s="1"/>
      <c r="AX260" s="1"/>
      <c r="AY260" s="1"/>
      <c r="AZ260" s="1"/>
    </row>
    <row r="261" ht="15.75" customHeight="1">
      <c r="A261" s="1"/>
      <c r="B261" s="11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4"/>
      <c r="Q261" s="1"/>
      <c r="R261" s="14"/>
      <c r="S261" s="1"/>
      <c r="T261" s="14"/>
      <c r="U261" s="1"/>
      <c r="V261" s="14"/>
      <c r="W261" s="1"/>
      <c r="X261" s="14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5"/>
      <c r="AQ261" s="15"/>
      <c r="AR261" s="15"/>
      <c r="AS261" s="1"/>
      <c r="AT261" s="1"/>
      <c r="AU261" s="1"/>
      <c r="AV261" s="1"/>
      <c r="AW261" s="1"/>
      <c r="AX261" s="1"/>
      <c r="AY261" s="1"/>
      <c r="AZ261" s="1"/>
    </row>
    <row r="262" ht="15.75" customHeight="1">
      <c r="A262" s="1"/>
      <c r="B262" s="11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4"/>
      <c r="Q262" s="1"/>
      <c r="R262" s="14"/>
      <c r="S262" s="1"/>
      <c r="T262" s="14"/>
      <c r="U262" s="1"/>
      <c r="V262" s="14"/>
      <c r="W262" s="1"/>
      <c r="X262" s="14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5"/>
      <c r="AQ262" s="15"/>
      <c r="AR262" s="15"/>
      <c r="AS262" s="1"/>
      <c r="AT262" s="1"/>
      <c r="AU262" s="1"/>
      <c r="AV262" s="1"/>
      <c r="AW262" s="1"/>
      <c r="AX262" s="1"/>
      <c r="AY262" s="1"/>
      <c r="AZ262" s="1"/>
    </row>
    <row r="263" ht="15.75" customHeight="1">
      <c r="A263" s="1"/>
      <c r="B263" s="11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4"/>
      <c r="Q263" s="1"/>
      <c r="R263" s="14"/>
      <c r="S263" s="1"/>
      <c r="T263" s="14"/>
      <c r="U263" s="1"/>
      <c r="V263" s="14"/>
      <c r="W263" s="1"/>
      <c r="X263" s="14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5"/>
      <c r="AQ263" s="15"/>
      <c r="AR263" s="15"/>
      <c r="AS263" s="1"/>
      <c r="AT263" s="1"/>
      <c r="AU263" s="1"/>
      <c r="AV263" s="1"/>
      <c r="AW263" s="1"/>
      <c r="AX263" s="1"/>
      <c r="AY263" s="1"/>
      <c r="AZ263" s="1"/>
    </row>
    <row r="264" ht="15.75" customHeight="1">
      <c r="A264" s="1"/>
      <c r="B264" s="11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4"/>
      <c r="Q264" s="1"/>
      <c r="R264" s="14"/>
      <c r="S264" s="1"/>
      <c r="T264" s="14"/>
      <c r="U264" s="1"/>
      <c r="V264" s="14"/>
      <c r="W264" s="1"/>
      <c r="X264" s="14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5"/>
      <c r="AQ264" s="15"/>
      <c r="AR264" s="15"/>
      <c r="AS264" s="1"/>
      <c r="AT264" s="1"/>
      <c r="AU264" s="1"/>
      <c r="AV264" s="1"/>
      <c r="AW264" s="1"/>
      <c r="AX264" s="1"/>
      <c r="AY264" s="1"/>
      <c r="AZ264" s="1"/>
    </row>
    <row r="265" ht="15.75" customHeight="1">
      <c r="A265" s="1"/>
      <c r="B265" s="11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4"/>
      <c r="Q265" s="1"/>
      <c r="R265" s="14"/>
      <c r="S265" s="1"/>
      <c r="T265" s="14"/>
      <c r="U265" s="1"/>
      <c r="V265" s="14"/>
      <c r="W265" s="1"/>
      <c r="X265" s="14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5"/>
      <c r="AQ265" s="15"/>
      <c r="AR265" s="15"/>
      <c r="AS265" s="1"/>
      <c r="AT265" s="1"/>
      <c r="AU265" s="1"/>
      <c r="AV265" s="1"/>
      <c r="AW265" s="1"/>
      <c r="AX265" s="1"/>
      <c r="AY265" s="1"/>
      <c r="AZ265" s="1"/>
    </row>
    <row r="266" ht="15.75" customHeight="1">
      <c r="A266" s="1"/>
      <c r="B266" s="11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4"/>
      <c r="Q266" s="1"/>
      <c r="R266" s="14"/>
      <c r="S266" s="1"/>
      <c r="T266" s="14"/>
      <c r="U266" s="1"/>
      <c r="V266" s="14"/>
      <c r="W266" s="1"/>
      <c r="X266" s="14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5"/>
      <c r="AQ266" s="15"/>
      <c r="AR266" s="15"/>
      <c r="AS266" s="1"/>
      <c r="AT266" s="1"/>
      <c r="AU266" s="1"/>
      <c r="AV266" s="1"/>
      <c r="AW266" s="1"/>
      <c r="AX266" s="1"/>
      <c r="AY266" s="1"/>
      <c r="AZ266" s="1"/>
    </row>
    <row r="267" ht="15.75" customHeight="1">
      <c r="A267" s="1"/>
      <c r="B267" s="11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4"/>
      <c r="Q267" s="1"/>
      <c r="R267" s="14"/>
      <c r="S267" s="1"/>
      <c r="T267" s="14"/>
      <c r="U267" s="1"/>
      <c r="V267" s="14"/>
      <c r="W267" s="1"/>
      <c r="X267" s="14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5"/>
      <c r="AQ267" s="15"/>
      <c r="AR267" s="15"/>
      <c r="AS267" s="1"/>
      <c r="AT267" s="1"/>
      <c r="AU267" s="1"/>
      <c r="AV267" s="1"/>
      <c r="AW267" s="1"/>
      <c r="AX267" s="1"/>
      <c r="AY267" s="1"/>
      <c r="AZ267" s="1"/>
    </row>
    <row r="268" ht="15.75" customHeight="1">
      <c r="A268" s="1"/>
      <c r="B268" s="11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4"/>
      <c r="Q268" s="1"/>
      <c r="R268" s="14"/>
      <c r="S268" s="1"/>
      <c r="T268" s="14"/>
      <c r="U268" s="1"/>
      <c r="V268" s="14"/>
      <c r="W268" s="1"/>
      <c r="X268" s="14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5"/>
      <c r="AQ268" s="15"/>
      <c r="AR268" s="15"/>
      <c r="AS268" s="1"/>
      <c r="AT268" s="1"/>
      <c r="AU268" s="1"/>
      <c r="AV268" s="1"/>
      <c r="AW268" s="1"/>
      <c r="AX268" s="1"/>
      <c r="AY268" s="1"/>
      <c r="AZ268" s="1"/>
    </row>
    <row r="269" ht="15.75" customHeight="1">
      <c r="A269" s="1"/>
      <c r="B269" s="11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4"/>
      <c r="Q269" s="1"/>
      <c r="R269" s="14"/>
      <c r="S269" s="1"/>
      <c r="T269" s="14"/>
      <c r="U269" s="1"/>
      <c r="V269" s="14"/>
      <c r="W269" s="1"/>
      <c r="X269" s="14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5"/>
      <c r="AQ269" s="15"/>
      <c r="AR269" s="15"/>
      <c r="AS269" s="1"/>
      <c r="AT269" s="1"/>
      <c r="AU269" s="1"/>
      <c r="AV269" s="1"/>
      <c r="AW269" s="1"/>
      <c r="AX269" s="1"/>
      <c r="AY269" s="1"/>
      <c r="AZ269" s="1"/>
    </row>
    <row r="270" ht="15.75" customHeight="1">
      <c r="A270" s="1"/>
      <c r="B270" s="11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4"/>
      <c r="Q270" s="1"/>
      <c r="R270" s="14"/>
      <c r="S270" s="1"/>
      <c r="T270" s="14"/>
      <c r="U270" s="1"/>
      <c r="V270" s="14"/>
      <c r="W270" s="1"/>
      <c r="X270" s="14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5"/>
      <c r="AQ270" s="15"/>
      <c r="AR270" s="15"/>
      <c r="AS270" s="1"/>
      <c r="AT270" s="1"/>
      <c r="AU270" s="1"/>
      <c r="AV270" s="1"/>
      <c r="AW270" s="1"/>
      <c r="AX270" s="1"/>
      <c r="AY270" s="1"/>
      <c r="AZ270" s="1"/>
    </row>
    <row r="271" ht="15.75" customHeight="1">
      <c r="A271" s="1"/>
      <c r="B271" s="11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4"/>
      <c r="Q271" s="1"/>
      <c r="R271" s="14"/>
      <c r="S271" s="1"/>
      <c r="T271" s="14"/>
      <c r="U271" s="1"/>
      <c r="V271" s="14"/>
      <c r="W271" s="1"/>
      <c r="X271" s="14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5"/>
      <c r="AQ271" s="15"/>
      <c r="AR271" s="15"/>
      <c r="AS271" s="1"/>
      <c r="AT271" s="1"/>
      <c r="AU271" s="1"/>
      <c r="AV271" s="1"/>
      <c r="AW271" s="1"/>
      <c r="AX271" s="1"/>
      <c r="AY271" s="1"/>
      <c r="AZ271" s="1"/>
    </row>
    <row r="272" ht="15.75" customHeight="1">
      <c r="A272" s="1"/>
      <c r="B272" s="11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4"/>
      <c r="Q272" s="1"/>
      <c r="R272" s="14"/>
      <c r="S272" s="1"/>
      <c r="T272" s="14"/>
      <c r="U272" s="1"/>
      <c r="V272" s="14"/>
      <c r="W272" s="1"/>
      <c r="X272" s="14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5"/>
      <c r="AQ272" s="15"/>
      <c r="AR272" s="15"/>
      <c r="AS272" s="1"/>
      <c r="AT272" s="1"/>
      <c r="AU272" s="1"/>
      <c r="AV272" s="1"/>
      <c r="AW272" s="1"/>
      <c r="AX272" s="1"/>
      <c r="AY272" s="1"/>
      <c r="AZ272" s="1"/>
    </row>
    <row r="273" ht="15.75" customHeight="1">
      <c r="A273" s="1"/>
      <c r="B273" s="11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4"/>
      <c r="Q273" s="1"/>
      <c r="R273" s="14"/>
      <c r="S273" s="1"/>
      <c r="T273" s="14"/>
      <c r="U273" s="1"/>
      <c r="V273" s="14"/>
      <c r="W273" s="1"/>
      <c r="X273" s="14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5"/>
      <c r="AQ273" s="15"/>
      <c r="AR273" s="15"/>
      <c r="AS273" s="1"/>
      <c r="AT273" s="1"/>
      <c r="AU273" s="1"/>
      <c r="AV273" s="1"/>
      <c r="AW273" s="1"/>
      <c r="AX273" s="1"/>
      <c r="AY273" s="1"/>
      <c r="AZ273" s="1"/>
    </row>
    <row r="274" ht="15.75" customHeight="1">
      <c r="A274" s="1"/>
      <c r="B274" s="11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4"/>
      <c r="Q274" s="1"/>
      <c r="R274" s="14"/>
      <c r="S274" s="1"/>
      <c r="T274" s="14"/>
      <c r="U274" s="1"/>
      <c r="V274" s="14"/>
      <c r="W274" s="1"/>
      <c r="X274" s="14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5"/>
      <c r="AQ274" s="15"/>
      <c r="AR274" s="15"/>
      <c r="AS274" s="1"/>
      <c r="AT274" s="1"/>
      <c r="AU274" s="1"/>
      <c r="AV274" s="1"/>
      <c r="AW274" s="1"/>
      <c r="AX274" s="1"/>
      <c r="AY274" s="1"/>
      <c r="AZ274" s="1"/>
    </row>
    <row r="275" ht="15.75" customHeight="1">
      <c r="A275" s="1"/>
      <c r="B275" s="11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4"/>
      <c r="Q275" s="1"/>
      <c r="R275" s="14"/>
      <c r="S275" s="1"/>
      <c r="T275" s="14"/>
      <c r="U275" s="1"/>
      <c r="V275" s="14"/>
      <c r="W275" s="1"/>
      <c r="X275" s="14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5"/>
      <c r="AQ275" s="15"/>
      <c r="AR275" s="15"/>
      <c r="AS275" s="1"/>
      <c r="AT275" s="1"/>
      <c r="AU275" s="1"/>
      <c r="AV275" s="1"/>
      <c r="AW275" s="1"/>
      <c r="AX275" s="1"/>
      <c r="AY275" s="1"/>
      <c r="AZ275" s="1"/>
    </row>
    <row r="276" ht="15.75" customHeight="1">
      <c r="A276" s="1"/>
      <c r="B276" s="11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4"/>
      <c r="Q276" s="1"/>
      <c r="R276" s="14"/>
      <c r="S276" s="1"/>
      <c r="T276" s="14"/>
      <c r="U276" s="1"/>
      <c r="V276" s="14"/>
      <c r="W276" s="1"/>
      <c r="X276" s="14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5"/>
      <c r="AQ276" s="15"/>
      <c r="AR276" s="15"/>
      <c r="AS276" s="1"/>
      <c r="AT276" s="1"/>
      <c r="AU276" s="1"/>
      <c r="AV276" s="1"/>
      <c r="AW276" s="1"/>
      <c r="AX276" s="1"/>
      <c r="AY276" s="1"/>
      <c r="AZ276" s="1"/>
    </row>
    <row r="277" ht="15.75" customHeight="1">
      <c r="A277" s="1"/>
      <c r="B277" s="11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4"/>
      <c r="Q277" s="1"/>
      <c r="R277" s="14"/>
      <c r="S277" s="1"/>
      <c r="T277" s="14"/>
      <c r="U277" s="1"/>
      <c r="V277" s="14"/>
      <c r="W277" s="1"/>
      <c r="X277" s="14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5"/>
      <c r="AQ277" s="15"/>
      <c r="AR277" s="15"/>
      <c r="AS277" s="1"/>
      <c r="AT277" s="1"/>
      <c r="AU277" s="1"/>
      <c r="AV277" s="1"/>
      <c r="AW277" s="1"/>
      <c r="AX277" s="1"/>
      <c r="AY277" s="1"/>
      <c r="AZ277" s="1"/>
    </row>
    <row r="278" ht="15.75" customHeight="1">
      <c r="A278" s="1"/>
      <c r="B278" s="11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4"/>
      <c r="Q278" s="1"/>
      <c r="R278" s="14"/>
      <c r="S278" s="1"/>
      <c r="T278" s="14"/>
      <c r="U278" s="1"/>
      <c r="V278" s="14"/>
      <c r="W278" s="1"/>
      <c r="X278" s="14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5"/>
      <c r="AQ278" s="15"/>
      <c r="AR278" s="15"/>
      <c r="AS278" s="1"/>
      <c r="AT278" s="1"/>
      <c r="AU278" s="1"/>
      <c r="AV278" s="1"/>
      <c r="AW278" s="1"/>
      <c r="AX278" s="1"/>
      <c r="AY278" s="1"/>
      <c r="AZ278" s="1"/>
    </row>
    <row r="279" ht="15.75" customHeight="1">
      <c r="A279" s="1"/>
      <c r="B279" s="11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4"/>
      <c r="Q279" s="1"/>
      <c r="R279" s="14"/>
      <c r="S279" s="1"/>
      <c r="T279" s="14"/>
      <c r="U279" s="1"/>
      <c r="V279" s="14"/>
      <c r="W279" s="1"/>
      <c r="X279" s="14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5"/>
      <c r="AQ279" s="15"/>
      <c r="AR279" s="15"/>
      <c r="AS279" s="1"/>
      <c r="AT279" s="1"/>
      <c r="AU279" s="1"/>
      <c r="AV279" s="1"/>
      <c r="AW279" s="1"/>
      <c r="AX279" s="1"/>
      <c r="AY279" s="1"/>
      <c r="AZ279" s="1"/>
    </row>
    <row r="280" ht="15.75" customHeight="1">
      <c r="A280" s="1"/>
      <c r="B280" s="11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4"/>
      <c r="Q280" s="1"/>
      <c r="R280" s="14"/>
      <c r="S280" s="1"/>
      <c r="T280" s="14"/>
      <c r="U280" s="1"/>
      <c r="V280" s="14"/>
      <c r="W280" s="1"/>
      <c r="X280" s="14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5"/>
      <c r="AQ280" s="15"/>
      <c r="AR280" s="15"/>
      <c r="AS280" s="1"/>
      <c r="AT280" s="1"/>
      <c r="AU280" s="1"/>
      <c r="AV280" s="1"/>
      <c r="AW280" s="1"/>
      <c r="AX280" s="1"/>
      <c r="AY280" s="1"/>
      <c r="AZ280" s="1"/>
    </row>
    <row r="281" ht="15.75" customHeight="1">
      <c r="A281" s="1"/>
      <c r="B281" s="11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4"/>
      <c r="Q281" s="1"/>
      <c r="R281" s="14"/>
      <c r="S281" s="1"/>
      <c r="T281" s="14"/>
      <c r="U281" s="1"/>
      <c r="V281" s="14"/>
      <c r="W281" s="1"/>
      <c r="X281" s="14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5"/>
      <c r="AQ281" s="15"/>
      <c r="AR281" s="15"/>
      <c r="AS281" s="1"/>
      <c r="AT281" s="1"/>
      <c r="AU281" s="1"/>
      <c r="AV281" s="1"/>
      <c r="AW281" s="1"/>
      <c r="AX281" s="1"/>
      <c r="AY281" s="1"/>
      <c r="AZ281" s="1"/>
    </row>
    <row r="282" ht="15.75" customHeight="1">
      <c r="A282" s="1"/>
      <c r="B282" s="11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4"/>
      <c r="Q282" s="1"/>
      <c r="R282" s="14"/>
      <c r="S282" s="1"/>
      <c r="T282" s="14"/>
      <c r="U282" s="1"/>
      <c r="V282" s="14"/>
      <c r="W282" s="1"/>
      <c r="X282" s="14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5"/>
      <c r="AQ282" s="15"/>
      <c r="AR282" s="15"/>
      <c r="AS282" s="1"/>
      <c r="AT282" s="1"/>
      <c r="AU282" s="1"/>
      <c r="AV282" s="1"/>
      <c r="AW282" s="1"/>
      <c r="AX282" s="1"/>
      <c r="AY282" s="1"/>
      <c r="AZ282" s="1"/>
    </row>
    <row r="283" ht="15.75" customHeight="1">
      <c r="A283" s="1"/>
      <c r="B283" s="11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4"/>
      <c r="Q283" s="1"/>
      <c r="R283" s="14"/>
      <c r="S283" s="1"/>
      <c r="T283" s="14"/>
      <c r="U283" s="1"/>
      <c r="V283" s="14"/>
      <c r="W283" s="1"/>
      <c r="X283" s="14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5"/>
      <c r="AQ283" s="15"/>
      <c r="AR283" s="15"/>
      <c r="AS283" s="1"/>
      <c r="AT283" s="1"/>
      <c r="AU283" s="1"/>
      <c r="AV283" s="1"/>
      <c r="AW283" s="1"/>
      <c r="AX283" s="1"/>
      <c r="AY283" s="1"/>
      <c r="AZ283" s="1"/>
    </row>
    <row r="284" ht="15.75" customHeight="1">
      <c r="A284" s="1"/>
      <c r="B284" s="11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4"/>
      <c r="Q284" s="1"/>
      <c r="R284" s="14"/>
      <c r="S284" s="1"/>
      <c r="T284" s="14"/>
      <c r="U284" s="1"/>
      <c r="V284" s="14"/>
      <c r="W284" s="1"/>
      <c r="X284" s="14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5"/>
      <c r="AQ284" s="15"/>
      <c r="AR284" s="15"/>
      <c r="AS284" s="1"/>
      <c r="AT284" s="1"/>
      <c r="AU284" s="1"/>
      <c r="AV284" s="1"/>
      <c r="AW284" s="1"/>
      <c r="AX284" s="1"/>
      <c r="AY284" s="1"/>
      <c r="AZ284" s="1"/>
    </row>
    <row r="285" ht="15.75" customHeight="1">
      <c r="A285" s="1"/>
      <c r="B285" s="11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4"/>
      <c r="Q285" s="1"/>
      <c r="R285" s="14"/>
      <c r="S285" s="1"/>
      <c r="T285" s="14"/>
      <c r="U285" s="1"/>
      <c r="V285" s="14"/>
      <c r="W285" s="1"/>
      <c r="X285" s="14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5"/>
      <c r="AQ285" s="15"/>
      <c r="AR285" s="15"/>
      <c r="AS285" s="1"/>
      <c r="AT285" s="1"/>
      <c r="AU285" s="1"/>
      <c r="AV285" s="1"/>
      <c r="AW285" s="1"/>
      <c r="AX285" s="1"/>
      <c r="AY285" s="1"/>
      <c r="AZ285" s="1"/>
    </row>
    <row r="286" ht="15.75" customHeight="1">
      <c r="A286" s="1"/>
      <c r="B286" s="11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4"/>
      <c r="Q286" s="1"/>
      <c r="R286" s="14"/>
      <c r="S286" s="1"/>
      <c r="T286" s="14"/>
      <c r="U286" s="1"/>
      <c r="V286" s="14"/>
      <c r="W286" s="1"/>
      <c r="X286" s="14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5"/>
      <c r="AQ286" s="15"/>
      <c r="AR286" s="15"/>
      <c r="AS286" s="1"/>
      <c r="AT286" s="1"/>
      <c r="AU286" s="1"/>
      <c r="AV286" s="1"/>
      <c r="AW286" s="1"/>
      <c r="AX286" s="1"/>
      <c r="AY286" s="1"/>
      <c r="AZ286" s="1"/>
    </row>
    <row r="287" ht="15.75" customHeight="1">
      <c r="A287" s="1"/>
      <c r="B287" s="11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4"/>
      <c r="Q287" s="1"/>
      <c r="R287" s="14"/>
      <c r="S287" s="1"/>
      <c r="T287" s="14"/>
      <c r="U287" s="1"/>
      <c r="V287" s="14"/>
      <c r="W287" s="1"/>
      <c r="X287" s="14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5"/>
      <c r="AQ287" s="15"/>
      <c r="AR287" s="15"/>
      <c r="AS287" s="1"/>
      <c r="AT287" s="1"/>
      <c r="AU287" s="1"/>
      <c r="AV287" s="1"/>
      <c r="AW287" s="1"/>
      <c r="AX287" s="1"/>
      <c r="AY287" s="1"/>
      <c r="AZ287" s="1"/>
    </row>
    <row r="288" ht="15.75" customHeight="1">
      <c r="A288" s="1"/>
      <c r="B288" s="11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4"/>
      <c r="Q288" s="1"/>
      <c r="R288" s="14"/>
      <c r="S288" s="1"/>
      <c r="T288" s="14"/>
      <c r="U288" s="1"/>
      <c r="V288" s="14"/>
      <c r="W288" s="1"/>
      <c r="X288" s="14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5"/>
      <c r="AQ288" s="15"/>
      <c r="AR288" s="15"/>
      <c r="AS288" s="1"/>
      <c r="AT288" s="1"/>
      <c r="AU288" s="1"/>
      <c r="AV288" s="1"/>
      <c r="AW288" s="1"/>
      <c r="AX288" s="1"/>
      <c r="AY288" s="1"/>
      <c r="AZ288" s="1"/>
    </row>
    <row r="289" ht="15.75" customHeight="1">
      <c r="A289" s="1"/>
      <c r="B289" s="11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4"/>
      <c r="Q289" s="1"/>
      <c r="R289" s="14"/>
      <c r="S289" s="1"/>
      <c r="T289" s="14"/>
      <c r="U289" s="1"/>
      <c r="V289" s="14"/>
      <c r="W289" s="1"/>
      <c r="X289" s="14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5"/>
      <c r="AQ289" s="15"/>
      <c r="AR289" s="15"/>
      <c r="AS289" s="1"/>
      <c r="AT289" s="1"/>
      <c r="AU289" s="1"/>
      <c r="AV289" s="1"/>
      <c r="AW289" s="1"/>
      <c r="AX289" s="1"/>
      <c r="AY289" s="1"/>
      <c r="AZ289" s="1"/>
    </row>
    <row r="290" ht="15.75" customHeight="1">
      <c r="A290" s="1"/>
      <c r="B290" s="11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4"/>
      <c r="Q290" s="1"/>
      <c r="R290" s="14"/>
      <c r="S290" s="1"/>
      <c r="T290" s="14"/>
      <c r="U290" s="1"/>
      <c r="V290" s="14"/>
      <c r="W290" s="1"/>
      <c r="X290" s="14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5"/>
      <c r="AQ290" s="15"/>
      <c r="AR290" s="15"/>
      <c r="AS290" s="1"/>
      <c r="AT290" s="1"/>
      <c r="AU290" s="1"/>
      <c r="AV290" s="1"/>
      <c r="AW290" s="1"/>
      <c r="AX290" s="1"/>
      <c r="AY290" s="1"/>
      <c r="AZ290" s="1"/>
    </row>
    <row r="291" ht="15.75" customHeight="1">
      <c r="A291" s="1"/>
      <c r="B291" s="11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4"/>
      <c r="Q291" s="1"/>
      <c r="R291" s="14"/>
      <c r="S291" s="1"/>
      <c r="T291" s="14"/>
      <c r="U291" s="1"/>
      <c r="V291" s="14"/>
      <c r="W291" s="1"/>
      <c r="X291" s="14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5"/>
      <c r="AQ291" s="15"/>
      <c r="AR291" s="15"/>
      <c r="AS291" s="1"/>
      <c r="AT291" s="1"/>
      <c r="AU291" s="1"/>
      <c r="AV291" s="1"/>
      <c r="AW291" s="1"/>
      <c r="AX291" s="1"/>
      <c r="AY291" s="1"/>
      <c r="A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47">
    <mergeCell ref="A5:C5"/>
    <mergeCell ref="B69:C69"/>
    <mergeCell ref="L69:N72"/>
    <mergeCell ref="P69:R72"/>
    <mergeCell ref="B91:G91"/>
    <mergeCell ref="T69:V72"/>
    <mergeCell ref="B70:C70"/>
    <mergeCell ref="B71:C71"/>
    <mergeCell ref="B72:C72"/>
    <mergeCell ref="A2:C3"/>
    <mergeCell ref="D2:Y2"/>
    <mergeCell ref="Z2:Z72"/>
    <mergeCell ref="D3:W3"/>
    <mergeCell ref="X3:X72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69:F72"/>
    <mergeCell ref="H69:J72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